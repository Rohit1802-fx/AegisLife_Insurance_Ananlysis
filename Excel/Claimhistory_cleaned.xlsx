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https://d.docs.live.net/147199D137C34A9C/Documents/"/>
    </mc:Choice>
  </mc:AlternateContent>
  <xr:revisionPtr revIDLastSave="840" documentId="8_{D139A51F-A8F1-4FA2-8AE5-95076FABF1F7}" xr6:coauthVersionLast="47" xr6:coauthVersionMax="47" xr10:uidLastSave="{EC7A3B00-A613-4748-B653-72B89D7B5A48}"/>
  <bookViews>
    <workbookView xWindow="-108" yWindow="-108" windowWidth="23256" windowHeight="12456" activeTab="4" xr2:uid="{D7EA2204-5D62-4186-A875-4326A050A7AE}"/>
  </bookViews>
  <sheets>
    <sheet name="Raw" sheetId="1" r:id="rId1"/>
    <sheet name="Cleaned" sheetId="2" r:id="rId2"/>
    <sheet name="PivotTable Analysis" sheetId="3" r:id="rId3"/>
    <sheet name="Dashboard" sheetId="4" r:id="rId4"/>
    <sheet name="Insights" sheetId="5" r:id="rId5"/>
  </sheets>
  <definedNames>
    <definedName name="ExternalData_1" localSheetId="1" hidden="1">Cleaned!$A$1:$H$1407</definedName>
    <definedName name="Slicer_claim_status">#N/A</definedName>
    <definedName name="Slicer_claim_type">#N/A</definedName>
    <definedName name="Slicer_fraud_flag">#N/A</definedName>
    <definedName name="Slicer_Quarter">#N/A</definedName>
    <definedName name="Slicer_Year">#N/A</definedName>
  </definedNames>
  <calcPr calcId="191029"/>
  <pivotCaches>
    <pivotCache cacheId="5"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2" l="1"/>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949FEE1-3D1B-4BB8-A723-2DC25BE3BA6C}"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<sst xmlns="http://schemas.openxmlformats.org/spreadsheetml/2006/main" count="14265" uniqueCount="2652">
  <si>
    <t>claim_id</t>
  </si>
  <si>
    <t>policy_id</t>
  </si>
  <si>
    <t>claim_date</t>
  </si>
  <si>
    <t>claim_amount</t>
  </si>
  <si>
    <t>claim_status</t>
  </si>
  <si>
    <t>claim_type</t>
  </si>
  <si>
    <t>fraud_flag</t>
  </si>
  <si>
    <t>days_to_process</t>
  </si>
  <si>
    <t>CLM70003</t>
  </si>
  <si>
    <t>POL51902</t>
  </si>
  <si>
    <t>Pending</t>
  </si>
  <si>
    <t>Theft</t>
  </si>
  <si>
    <t>No</t>
  </si>
  <si>
    <t>CLM70004</t>
  </si>
  <si>
    <t>POL50001</t>
  </si>
  <si>
    <t>Approved</t>
  </si>
  <si>
    <t>Hospital</t>
  </si>
  <si>
    <t>CLM70005</t>
  </si>
  <si>
    <t>POL53707</t>
  </si>
  <si>
    <t>Rejected</t>
  </si>
  <si>
    <t>Death</t>
  </si>
  <si>
    <t>CLM70006</t>
  </si>
  <si>
    <t>POL53642</t>
  </si>
  <si>
    <t>Accident</t>
  </si>
  <si>
    <t>Yes</t>
  </si>
  <si>
    <t>CLM70007</t>
  </si>
  <si>
    <t>POL51744</t>
  </si>
  <si>
    <t>CLM70008</t>
  </si>
  <si>
    <t>POL53198</t>
  </si>
  <si>
    <t>Rejeted</t>
  </si>
  <si>
    <t>CLM70010</t>
  </si>
  <si>
    <t>POL51779</t>
  </si>
  <si>
    <t>CLM70012</t>
  </si>
  <si>
    <t>POL51026</t>
  </si>
  <si>
    <t>Other</t>
  </si>
  <si>
    <t>CLM70013</t>
  </si>
  <si>
    <t>POL53572</t>
  </si>
  <si>
    <t>CLM70014</t>
  </si>
  <si>
    <t>POL50965</t>
  </si>
  <si>
    <t>CLM70017</t>
  </si>
  <si>
    <t>POL50966</t>
  </si>
  <si>
    <t>CLM70018</t>
  </si>
  <si>
    <t>POL50449</t>
  </si>
  <si>
    <t>CLM70019</t>
  </si>
  <si>
    <t>POL52946</t>
  </si>
  <si>
    <t>CLM70020</t>
  </si>
  <si>
    <t>POL50889</t>
  </si>
  <si>
    <t>CLM70021</t>
  </si>
  <si>
    <t>POL50857</t>
  </si>
  <si>
    <t>CLM70022</t>
  </si>
  <si>
    <t>POL52629</t>
  </si>
  <si>
    <t>CLM70023</t>
  </si>
  <si>
    <t>POL50382</t>
  </si>
  <si>
    <t>CLM70024</t>
  </si>
  <si>
    <t>POL53516</t>
  </si>
  <si>
    <t>CLM70025</t>
  </si>
  <si>
    <t>POL53651</t>
  </si>
  <si>
    <t>CLM70026</t>
  </si>
  <si>
    <t>POL50377</t>
  </si>
  <si>
    <t>CLM70028</t>
  </si>
  <si>
    <t>POL50424</t>
  </si>
  <si>
    <t>CLM70029</t>
  </si>
  <si>
    <t>POL50715</t>
  </si>
  <si>
    <t>CLM70030</t>
  </si>
  <si>
    <t>POL50632</t>
  </si>
  <si>
    <t>CLM70031</t>
  </si>
  <si>
    <t>POL53353</t>
  </si>
  <si>
    <t>CLM70033</t>
  </si>
  <si>
    <t>POL52227</t>
  </si>
  <si>
    <t>CLM70034</t>
  </si>
  <si>
    <t>POL52157</t>
  </si>
  <si>
    <t>CLM70036</t>
  </si>
  <si>
    <t>POL50395</t>
  </si>
  <si>
    <t>CLM70038</t>
  </si>
  <si>
    <t>POL53070</t>
  </si>
  <si>
    <t>CLM70040</t>
  </si>
  <si>
    <t>POL52922</t>
  </si>
  <si>
    <t>CLM70042</t>
  </si>
  <si>
    <t>POL50440</t>
  </si>
  <si>
    <t>CLM70043</t>
  </si>
  <si>
    <t>POL51843</t>
  </si>
  <si>
    <t>CLM70044</t>
  </si>
  <si>
    <t>POL53605</t>
  </si>
  <si>
    <t>CLM70045</t>
  </si>
  <si>
    <t>POL50648</t>
  </si>
  <si>
    <t>CLM70046</t>
  </si>
  <si>
    <t>POL53560</t>
  </si>
  <si>
    <t>Aproval</t>
  </si>
  <si>
    <t>CLM70047</t>
  </si>
  <si>
    <t>POL53199</t>
  </si>
  <si>
    <t>CLM70048</t>
  </si>
  <si>
    <t>POL52707</t>
  </si>
  <si>
    <t>CLM70049</t>
  </si>
  <si>
    <t>POL52546</t>
  </si>
  <si>
    <t>CLM70050</t>
  </si>
  <si>
    <t>POL51317</t>
  </si>
  <si>
    <t>CLM70052</t>
  </si>
  <si>
    <t>POL50880</t>
  </si>
  <si>
    <t>CLM70054</t>
  </si>
  <si>
    <t>POL52454</t>
  </si>
  <si>
    <t>CLM70055</t>
  </si>
  <si>
    <t>POL53052</t>
  </si>
  <si>
    <t>CLM70056</t>
  </si>
  <si>
    <t>POL53924</t>
  </si>
  <si>
    <t>CLM70060</t>
  </si>
  <si>
    <t>POL53044</t>
  </si>
  <si>
    <t>CLM70061</t>
  </si>
  <si>
    <t>POL53715</t>
  </si>
  <si>
    <t>CLM70064</t>
  </si>
  <si>
    <t>POL51450</t>
  </si>
  <si>
    <t>CLM70065</t>
  </si>
  <si>
    <t>POL53776</t>
  </si>
  <si>
    <t>CLM70066</t>
  </si>
  <si>
    <t>POL50140</t>
  </si>
  <si>
    <t>CLM70068</t>
  </si>
  <si>
    <t>POL52957</t>
  </si>
  <si>
    <t>CLM70072</t>
  </si>
  <si>
    <t>POL51555</t>
  </si>
  <si>
    <t>CLM70074</t>
  </si>
  <si>
    <t>POL51711</t>
  </si>
  <si>
    <t>CLM70075</t>
  </si>
  <si>
    <t>POL53075</t>
  </si>
  <si>
    <t>CLM70077</t>
  </si>
  <si>
    <t>POL51482</t>
  </si>
  <si>
    <t>CLM70078</t>
  </si>
  <si>
    <t>POL51040</t>
  </si>
  <si>
    <t>CLM70081</t>
  </si>
  <si>
    <t>POL50932</t>
  </si>
  <si>
    <t>CLM70082</t>
  </si>
  <si>
    <t>POL52096</t>
  </si>
  <si>
    <t>CLM70083</t>
  </si>
  <si>
    <t>POL50428</t>
  </si>
  <si>
    <t>CLM70085</t>
  </si>
  <si>
    <t>POL53342</t>
  </si>
  <si>
    <t>CLM70088</t>
  </si>
  <si>
    <t>POL53064</t>
  </si>
  <si>
    <t>CLM70091</t>
  </si>
  <si>
    <t>POL51090</t>
  </si>
  <si>
    <t>CLM70092</t>
  </si>
  <si>
    <t>POL52701</t>
  </si>
  <si>
    <t>CLM70093</t>
  </si>
  <si>
    <t>POL51889</t>
  </si>
  <si>
    <t>CLM70095</t>
  </si>
  <si>
    <t>POL51172</t>
  </si>
  <si>
    <t>CLM70096</t>
  </si>
  <si>
    <t>POL50455</t>
  </si>
  <si>
    <t>CLM70097</t>
  </si>
  <si>
    <t>POL50408</t>
  </si>
  <si>
    <t>CLM70098</t>
  </si>
  <si>
    <t>POL50332</t>
  </si>
  <si>
    <t>CLM70099</t>
  </si>
  <si>
    <t>POL53058</t>
  </si>
  <si>
    <t>CLM70101</t>
  </si>
  <si>
    <t>POL50080</t>
  </si>
  <si>
    <t>CLM70108</t>
  </si>
  <si>
    <t>POL53583</t>
  </si>
  <si>
    <t>CLM70109</t>
  </si>
  <si>
    <t>POL52197</t>
  </si>
  <si>
    <t>CLM70110</t>
  </si>
  <si>
    <t>POL50612</t>
  </si>
  <si>
    <t>CLM70111</t>
  </si>
  <si>
    <t>POL53522</t>
  </si>
  <si>
    <t>CLM70112</t>
  </si>
  <si>
    <t>POL52971</t>
  </si>
  <si>
    <t>CLM70113</t>
  </si>
  <si>
    <t>POL52501</t>
  </si>
  <si>
    <t>CLM70115</t>
  </si>
  <si>
    <t>POL50036</t>
  </si>
  <si>
    <t>CLM70116</t>
  </si>
  <si>
    <t>POL53487</t>
  </si>
  <si>
    <t>CLM70118</t>
  </si>
  <si>
    <t>POL52012</t>
  </si>
  <si>
    <t>CLM70122</t>
  </si>
  <si>
    <t>POL52219</t>
  </si>
  <si>
    <t>CLM70123</t>
  </si>
  <si>
    <t>POL50252</t>
  </si>
  <si>
    <t>CLM70125</t>
  </si>
  <si>
    <t>POL51598</t>
  </si>
  <si>
    <t>CLM70127</t>
  </si>
  <si>
    <t>POL50251</t>
  </si>
  <si>
    <t>CLM70128</t>
  </si>
  <si>
    <t>POL53438</t>
  </si>
  <si>
    <t>CLM70129</t>
  </si>
  <si>
    <t>POL52449</t>
  </si>
  <si>
    <t>CLM70130</t>
  </si>
  <si>
    <t>POL51984</t>
  </si>
  <si>
    <t>CLM70131</t>
  </si>
  <si>
    <t>CLM70132</t>
  </si>
  <si>
    <t>POL50371</t>
  </si>
  <si>
    <t>CLM70133</t>
  </si>
  <si>
    <t>POL50876</t>
  </si>
  <si>
    <t>CLM70135</t>
  </si>
  <si>
    <t>POL51350</t>
  </si>
  <si>
    <t>CLM70137</t>
  </si>
  <si>
    <t>POL50499</t>
  </si>
  <si>
    <t>CLM70138</t>
  </si>
  <si>
    <t>POL53585</t>
  </si>
  <si>
    <t>CLM70140</t>
  </si>
  <si>
    <t>POL53148</t>
  </si>
  <si>
    <t>CLM70141</t>
  </si>
  <si>
    <t>CLM70142</t>
  </si>
  <si>
    <t>POL52479</t>
  </si>
  <si>
    <t>CLM70143</t>
  </si>
  <si>
    <t>POL51535</t>
  </si>
  <si>
    <t>CLM70144</t>
  </si>
  <si>
    <t>POL52860</t>
  </si>
  <si>
    <t>CLM70146</t>
  </si>
  <si>
    <t>POL52613</t>
  </si>
  <si>
    <t>CLM70147</t>
  </si>
  <si>
    <t>POL50250</t>
  </si>
  <si>
    <t>CLM70149</t>
  </si>
  <si>
    <t>POL53159</t>
  </si>
  <si>
    <t>CLM70150</t>
  </si>
  <si>
    <t>POL52749</t>
  </si>
  <si>
    <t>CLM70151</t>
  </si>
  <si>
    <t>POL53845</t>
  </si>
  <si>
    <t>CLM70156</t>
  </si>
  <si>
    <t>POL50739</t>
  </si>
  <si>
    <t>CLM70159</t>
  </si>
  <si>
    <t>POL50434</t>
  </si>
  <si>
    <t>CLM70160</t>
  </si>
  <si>
    <t>POL53528</t>
  </si>
  <si>
    <t>CLM70161</t>
  </si>
  <si>
    <t>POL51364</t>
  </si>
  <si>
    <t>CLM70162</t>
  </si>
  <si>
    <t>POL53660</t>
  </si>
  <si>
    <t>CLM70163</t>
  </si>
  <si>
    <t>POL52417</t>
  </si>
  <si>
    <t>CLM70164</t>
  </si>
  <si>
    <t>POL51154</t>
  </si>
  <si>
    <t>CLM70167</t>
  </si>
  <si>
    <t>POL53889</t>
  </si>
  <si>
    <t>CLM70168</t>
  </si>
  <si>
    <t>POL50743</t>
  </si>
  <si>
    <t>CLM70169</t>
  </si>
  <si>
    <t>POL50639</t>
  </si>
  <si>
    <t>CLM70171</t>
  </si>
  <si>
    <t>POL50707</t>
  </si>
  <si>
    <t>CLM70172</t>
  </si>
  <si>
    <t>POL51006</t>
  </si>
  <si>
    <t>CLM70174</t>
  </si>
  <si>
    <t>POL51069</t>
  </si>
  <si>
    <t>CLM70176</t>
  </si>
  <si>
    <t>POL50967</t>
  </si>
  <si>
    <t>CLM70178</t>
  </si>
  <si>
    <t>POL53201</t>
  </si>
  <si>
    <t>CLM70179</t>
  </si>
  <si>
    <t>CLM70180</t>
  </si>
  <si>
    <t>POL51326</t>
  </si>
  <si>
    <t>CLM70182</t>
  </si>
  <si>
    <t>POL51520</t>
  </si>
  <si>
    <t>CLM70183</t>
  </si>
  <si>
    <t>POL51707</t>
  </si>
  <si>
    <t>CLM70184</t>
  </si>
  <si>
    <t>POL51817</t>
  </si>
  <si>
    <t>CLM70187</t>
  </si>
  <si>
    <t>POL52444</t>
  </si>
  <si>
    <t>CLM70188</t>
  </si>
  <si>
    <t>POL51587</t>
  </si>
  <si>
    <t>CLM70189</t>
  </si>
  <si>
    <t>POL51575</t>
  </si>
  <si>
    <t>CLM70190</t>
  </si>
  <si>
    <t>POL50234</t>
  </si>
  <si>
    <t>CLM70191</t>
  </si>
  <si>
    <t>POL51518</t>
  </si>
  <si>
    <t>CLM70192</t>
  </si>
  <si>
    <t>POL50791</t>
  </si>
  <si>
    <t>CLM70193</t>
  </si>
  <si>
    <t>POL52721</t>
  </si>
  <si>
    <t>CLM70194</t>
  </si>
  <si>
    <t>POL50621</t>
  </si>
  <si>
    <t>CLM70195</t>
  </si>
  <si>
    <t>POL53489</t>
  </si>
  <si>
    <t>CLM70196</t>
  </si>
  <si>
    <t>POL51938</t>
  </si>
  <si>
    <t>CLM70198</t>
  </si>
  <si>
    <t>POL51780</t>
  </si>
  <si>
    <t>CLM70199</t>
  </si>
  <si>
    <t>POL51664</t>
  </si>
  <si>
    <t>CLM70200</t>
  </si>
  <si>
    <t>POL51869</t>
  </si>
  <si>
    <t>CLM70201</t>
  </si>
  <si>
    <t>POL50952</t>
  </si>
  <si>
    <t>CLM70202</t>
  </si>
  <si>
    <t>POL50884</t>
  </si>
  <si>
    <t>CLM70204</t>
  </si>
  <si>
    <t>POL53116</t>
  </si>
  <si>
    <t>CLM70206</t>
  </si>
  <si>
    <t>POL52975</t>
  </si>
  <si>
    <t>CLM70208</t>
  </si>
  <si>
    <t>POL50303</t>
  </si>
  <si>
    <t>CLM70209</t>
  </si>
  <si>
    <t>POL53401</t>
  </si>
  <si>
    <t>CLM70210</t>
  </si>
  <si>
    <t>POL51760</t>
  </si>
  <si>
    <t>CLM70212</t>
  </si>
  <si>
    <t>CLM70214</t>
  </si>
  <si>
    <t>POL53059</t>
  </si>
  <si>
    <t>CLM70215</t>
  </si>
  <si>
    <t>POL50829</t>
  </si>
  <si>
    <t>CLM70216</t>
  </si>
  <si>
    <t>POL51237</t>
  </si>
  <si>
    <t>CLM70218</t>
  </si>
  <si>
    <t>POL51582</t>
  </si>
  <si>
    <t>CLM70219</t>
  </si>
  <si>
    <t>POL52233</t>
  </si>
  <si>
    <t>CLM70220</t>
  </si>
  <si>
    <t>POL52702</t>
  </si>
  <si>
    <t>CLM70221</t>
  </si>
  <si>
    <t>POL53502</t>
  </si>
  <si>
    <t>CLM70222</t>
  </si>
  <si>
    <t>POL52882</t>
  </si>
  <si>
    <t>CLM70223</t>
  </si>
  <si>
    <t>POL52100</t>
  </si>
  <si>
    <t>CLM70224</t>
  </si>
  <si>
    <t>CLM70225</t>
  </si>
  <si>
    <t>POL53749</t>
  </si>
  <si>
    <t>CLM70228</t>
  </si>
  <si>
    <t>POL51978</t>
  </si>
  <si>
    <t>CLM70229</t>
  </si>
  <si>
    <t>POL51735</t>
  </si>
  <si>
    <t>CLM70230</t>
  </si>
  <si>
    <t>POL52883</t>
  </si>
  <si>
    <t>CLM70232</t>
  </si>
  <si>
    <t>POL50056</t>
  </si>
  <si>
    <t>CLM70235</t>
  </si>
  <si>
    <t>CLM70236</t>
  </si>
  <si>
    <t>POL50492</t>
  </si>
  <si>
    <t>CLM70238</t>
  </si>
  <si>
    <t>CLM70240</t>
  </si>
  <si>
    <t>POL53570</t>
  </si>
  <si>
    <t>CLM70242</t>
  </si>
  <si>
    <t>POL50015</t>
  </si>
  <si>
    <t>CLM70243</t>
  </si>
  <si>
    <t>POL50006</t>
  </si>
  <si>
    <t>CLM70244</t>
  </si>
  <si>
    <t>POL53301</t>
  </si>
  <si>
    <t>CLM70245</t>
  </si>
  <si>
    <t>POL50066</t>
  </si>
  <si>
    <t>CLM70248</t>
  </si>
  <si>
    <t>POL53525</t>
  </si>
  <si>
    <t>CLM70249</t>
  </si>
  <si>
    <t>POL50523</t>
  </si>
  <si>
    <t>CLM70250</t>
  </si>
  <si>
    <t>POL51404</t>
  </si>
  <si>
    <t>CLM70251</t>
  </si>
  <si>
    <t>POL52326</t>
  </si>
  <si>
    <t>CLM70252</t>
  </si>
  <si>
    <t>POL50351</t>
  </si>
  <si>
    <t>CLM70253</t>
  </si>
  <si>
    <t>POL52817</t>
  </si>
  <si>
    <t>CLM70255</t>
  </si>
  <si>
    <t>POL51239</t>
  </si>
  <si>
    <t>CLM70256</t>
  </si>
  <si>
    <t>POL51521</t>
  </si>
  <si>
    <t>CLM70257</t>
  </si>
  <si>
    <t>POL51737</t>
  </si>
  <si>
    <t>CLM70259</t>
  </si>
  <si>
    <t>POL50494</t>
  </si>
  <si>
    <t>CLM70261</t>
  </si>
  <si>
    <t>POL51972</t>
  </si>
  <si>
    <t>CLM70262</t>
  </si>
  <si>
    <t>POL52375</t>
  </si>
  <si>
    <t>CLM70263</t>
  </si>
  <si>
    <t>POL53907</t>
  </si>
  <si>
    <t>CLM70264</t>
  </si>
  <si>
    <t>POL53756</t>
  </si>
  <si>
    <t>CLM70265</t>
  </si>
  <si>
    <t>POL53476</t>
  </si>
  <si>
    <t>CLM70268</t>
  </si>
  <si>
    <t>POL50997</t>
  </si>
  <si>
    <t>CLM70269</t>
  </si>
  <si>
    <t>POL52718</t>
  </si>
  <si>
    <t>CLM70270</t>
  </si>
  <si>
    <t>POL53425</t>
  </si>
  <si>
    <t>CLM70271</t>
  </si>
  <si>
    <t>POL53514</t>
  </si>
  <si>
    <t>CLM70272</t>
  </si>
  <si>
    <t>POL50418</t>
  </si>
  <si>
    <t>CLM70273</t>
  </si>
  <si>
    <t>POL53318</t>
  </si>
  <si>
    <t>CLM70275</t>
  </si>
  <si>
    <t>POL50176</t>
  </si>
  <si>
    <t>CLM70276</t>
  </si>
  <si>
    <t>POL53833</t>
  </si>
  <si>
    <t>CLM70277</t>
  </si>
  <si>
    <t>POL52656</t>
  </si>
  <si>
    <t>CLM70278</t>
  </si>
  <si>
    <t>POL51654</t>
  </si>
  <si>
    <t>CLM70280</t>
  </si>
  <si>
    <t>POL53866</t>
  </si>
  <si>
    <t>CLM70283</t>
  </si>
  <si>
    <t>POL53340</t>
  </si>
  <si>
    <t>CLM70284</t>
  </si>
  <si>
    <t>POL50937</t>
  </si>
  <si>
    <t>CLM70285</t>
  </si>
  <si>
    <t>POL50814</t>
  </si>
  <si>
    <t>CLM70286</t>
  </si>
  <si>
    <t>POL53197</t>
  </si>
  <si>
    <t>CLM70287</t>
  </si>
  <si>
    <t>POL52198</t>
  </si>
  <si>
    <t>CLM70288</t>
  </si>
  <si>
    <t>POL53089</t>
  </si>
  <si>
    <t>CLM70290</t>
  </si>
  <si>
    <t>POL53154</t>
  </si>
  <si>
    <t>CLM70291</t>
  </si>
  <si>
    <t>POL52262</t>
  </si>
  <si>
    <t>CLM70292</t>
  </si>
  <si>
    <t>POL53614</t>
  </si>
  <si>
    <t>CLM70293</t>
  </si>
  <si>
    <t>POL50564</t>
  </si>
  <si>
    <t>CLM70294</t>
  </si>
  <si>
    <t>POL51636</t>
  </si>
  <si>
    <t>CLM70296</t>
  </si>
  <si>
    <t>POL50955</t>
  </si>
  <si>
    <t>CLM70299</t>
  </si>
  <si>
    <t>POL53163</t>
  </si>
  <si>
    <t>CLM70300</t>
  </si>
  <si>
    <t>POL53280</t>
  </si>
  <si>
    <t>CLM70301</t>
  </si>
  <si>
    <t>POL53796</t>
  </si>
  <si>
    <t>CLM70302</t>
  </si>
  <si>
    <t>POL53217</t>
  </si>
  <si>
    <t>CLM70303</t>
  </si>
  <si>
    <t>POL50877</t>
  </si>
  <si>
    <t>CLM70304</t>
  </si>
  <si>
    <t>POL52863</t>
  </si>
  <si>
    <t>CLM70305</t>
  </si>
  <si>
    <t>POL52509</t>
  </si>
  <si>
    <t>CLM70306</t>
  </si>
  <si>
    <t>POL52924</t>
  </si>
  <si>
    <t>CLM70311</t>
  </si>
  <si>
    <t>POL50316</t>
  </si>
  <si>
    <t>CLM70312</t>
  </si>
  <si>
    <t>POL51361</t>
  </si>
  <si>
    <t>CLM70314</t>
  </si>
  <si>
    <t>CLM70315</t>
  </si>
  <si>
    <t>POL52343</t>
  </si>
  <si>
    <t>CLM70316</t>
  </si>
  <si>
    <t>POL50886</t>
  </si>
  <si>
    <t>CLM70317</t>
  </si>
  <si>
    <t>POL52665</t>
  </si>
  <si>
    <t>CLM70318</t>
  </si>
  <si>
    <t>POL53050</t>
  </si>
  <si>
    <t>CLM70319</t>
  </si>
  <si>
    <t>POL53994</t>
  </si>
  <si>
    <t>CLM70320</t>
  </si>
  <si>
    <t>POL51001</t>
  </si>
  <si>
    <t>CLM70321</t>
  </si>
  <si>
    <t>POL50471</t>
  </si>
  <si>
    <t>CLM70322</t>
  </si>
  <si>
    <t>POL51096</t>
  </si>
  <si>
    <t>CLM70323</t>
  </si>
  <si>
    <t>POL52402</t>
  </si>
  <si>
    <t>CLM70324</t>
  </si>
  <si>
    <t>POL51217</t>
  </si>
  <si>
    <t>CLM70325</t>
  </si>
  <si>
    <t>POL52523</t>
  </si>
  <si>
    <t>CLM70326</t>
  </si>
  <si>
    <t>POL50777</t>
  </si>
  <si>
    <t>CLM70327</t>
  </si>
  <si>
    <t>POL50297</t>
  </si>
  <si>
    <t>CLM70329</t>
  </si>
  <si>
    <t>POL51320</t>
  </si>
  <si>
    <t>CLM70330</t>
  </si>
  <si>
    <t>POL52277</t>
  </si>
  <si>
    <t>CLM70331</t>
  </si>
  <si>
    <t>POL52834</t>
  </si>
  <si>
    <t>CLM70334</t>
  </si>
  <si>
    <t>POL53382</t>
  </si>
  <si>
    <t>CLM70335</t>
  </si>
  <si>
    <t>POL51297</t>
  </si>
  <si>
    <t>CLM70337</t>
  </si>
  <si>
    <t>POL53569</t>
  </si>
  <si>
    <t>CLM70338</t>
  </si>
  <si>
    <t>POL50323</t>
  </si>
  <si>
    <t>CLM70340</t>
  </si>
  <si>
    <t>POL50557</t>
  </si>
  <si>
    <t>CLM70341</t>
  </si>
  <si>
    <t>POL50029</t>
  </si>
  <si>
    <t>CLM70342</t>
  </si>
  <si>
    <t>POL51177</t>
  </si>
  <si>
    <t>CLM70343</t>
  </si>
  <si>
    <t>POL50681</t>
  </si>
  <si>
    <t>CLM70344</t>
  </si>
  <si>
    <t>POL52130</t>
  </si>
  <si>
    <t>CLM70345</t>
  </si>
  <si>
    <t>POL50118</t>
  </si>
  <si>
    <t>CLM70346</t>
  </si>
  <si>
    <t>POL50155</t>
  </si>
  <si>
    <t>CLM70347</t>
  </si>
  <si>
    <t>POL52651</t>
  </si>
  <si>
    <t>CLM70348</t>
  </si>
  <si>
    <t>POL53345</t>
  </si>
  <si>
    <t>CLM70349</t>
  </si>
  <si>
    <t>CLM70350</t>
  </si>
  <si>
    <t>POL51165</t>
  </si>
  <si>
    <t>CLM70351</t>
  </si>
  <si>
    <t>POL51139</t>
  </si>
  <si>
    <t>CLM70352</t>
  </si>
  <si>
    <t>POL53884</t>
  </si>
  <si>
    <t>CLM70356</t>
  </si>
  <si>
    <t>POL53851</t>
  </si>
  <si>
    <t>CLM70361</t>
  </si>
  <si>
    <t>POL53357</t>
  </si>
  <si>
    <t>CLM70363</t>
  </si>
  <si>
    <t>POL51941</t>
  </si>
  <si>
    <t>CLM70365</t>
  </si>
  <si>
    <t>POL51679</t>
  </si>
  <si>
    <t>CLM70366</t>
  </si>
  <si>
    <t>POL51095</t>
  </si>
  <si>
    <t>CLM70369</t>
  </si>
  <si>
    <t>POL52976</t>
  </si>
  <si>
    <t>CLM70370</t>
  </si>
  <si>
    <t>POL52010</t>
  </si>
  <si>
    <t>CLM70371</t>
  </si>
  <si>
    <t>POL50760</t>
  </si>
  <si>
    <t>CLM70373</t>
  </si>
  <si>
    <t>POL52294</t>
  </si>
  <si>
    <t>CLM70374</t>
  </si>
  <si>
    <t>POL53519</t>
  </si>
  <si>
    <t>CLM70377</t>
  </si>
  <si>
    <t>POL53337</t>
  </si>
  <si>
    <t>CLM70378</t>
  </si>
  <si>
    <t>CLM70379</t>
  </si>
  <si>
    <t>POL53309</t>
  </si>
  <si>
    <t>CLM70380</t>
  </si>
  <si>
    <t>CLM70381</t>
  </si>
  <si>
    <t>POL51337</t>
  </si>
  <si>
    <t>CLM70382</t>
  </si>
  <si>
    <t>POL50755</t>
  </si>
  <si>
    <t>CLM70383</t>
  </si>
  <si>
    <t>CLM70384</t>
  </si>
  <si>
    <t>POL52574</t>
  </si>
  <si>
    <t>CLM70387</t>
  </si>
  <si>
    <t>POL50816</t>
  </si>
  <si>
    <t>CLM70389</t>
  </si>
  <si>
    <t>POL52230</t>
  </si>
  <si>
    <t>CLM70391</t>
  </si>
  <si>
    <t>POL52934</t>
  </si>
  <si>
    <t>CLM70393</t>
  </si>
  <si>
    <t>POL52124</t>
  </si>
  <si>
    <t>CLM70394</t>
  </si>
  <si>
    <t>POL51328</t>
  </si>
  <si>
    <t>CLM70395</t>
  </si>
  <si>
    <t>POL52268</t>
  </si>
  <si>
    <t>CLM70396</t>
  </si>
  <si>
    <t>POL50133</t>
  </si>
  <si>
    <t>CLM70397</t>
  </si>
  <si>
    <t>POL53855</t>
  </si>
  <si>
    <t>CLM70398</t>
  </si>
  <si>
    <t>POL51507</t>
  </si>
  <si>
    <t>CLM70399</t>
  </si>
  <si>
    <t>POL52199</t>
  </si>
  <si>
    <t>CLM70400</t>
  </si>
  <si>
    <t>POL53733</t>
  </si>
  <si>
    <t>CLM70401</t>
  </si>
  <si>
    <t>POL52421</t>
  </si>
  <si>
    <t>CLM70402</t>
  </si>
  <si>
    <t>POL51376</t>
  </si>
  <si>
    <t>CLM70404</t>
  </si>
  <si>
    <t>POL53247</t>
  </si>
  <si>
    <t>CLM70405</t>
  </si>
  <si>
    <t>POL53155</t>
  </si>
  <si>
    <t>CLM70406</t>
  </si>
  <si>
    <t>POL50002</t>
  </si>
  <si>
    <t>CLM70407</t>
  </si>
  <si>
    <t>CLM70409</t>
  </si>
  <si>
    <t>POL52106</t>
  </si>
  <si>
    <t>CLM70410</t>
  </si>
  <si>
    <t>POL53065</t>
  </si>
  <si>
    <t>CLM70411</t>
  </si>
  <si>
    <t>POL50274</t>
  </si>
  <si>
    <t>CLM70412</t>
  </si>
  <si>
    <t>POL50325</t>
  </si>
  <si>
    <t>CLM70414</t>
  </si>
  <si>
    <t>POL50660</t>
  </si>
  <si>
    <t>CLM70415</t>
  </si>
  <si>
    <t>POL52518</t>
  </si>
  <si>
    <t>CLM70416</t>
  </si>
  <si>
    <t>POL51871</t>
  </si>
  <si>
    <t>CLM70417</t>
  </si>
  <si>
    <t>POL51606</t>
  </si>
  <si>
    <t>CLM70419</t>
  </si>
  <si>
    <t>POL52303</t>
  </si>
  <si>
    <t>CLM70420</t>
  </si>
  <si>
    <t>POL50726</t>
  </si>
  <si>
    <t>CLM70424</t>
  </si>
  <si>
    <t>POL52927</t>
  </si>
  <si>
    <t>CLM70426</t>
  </si>
  <si>
    <t>POL51988</t>
  </si>
  <si>
    <t>CLM70427</t>
  </si>
  <si>
    <t>POL50211</t>
  </si>
  <si>
    <t>CLM70429</t>
  </si>
  <si>
    <t>POL53244</t>
  </si>
  <si>
    <t>CLM70430</t>
  </si>
  <si>
    <t>POL51283</t>
  </si>
  <si>
    <t>CLM70431</t>
  </si>
  <si>
    <t>POL51322</t>
  </si>
  <si>
    <t>CLM70432</t>
  </si>
  <si>
    <t>POL50104</t>
  </si>
  <si>
    <t>CLM70433</t>
  </si>
  <si>
    <t>POL52272</t>
  </si>
  <si>
    <t>CLM70434</t>
  </si>
  <si>
    <t>POL51043</t>
  </si>
  <si>
    <t>CLM70438</t>
  </si>
  <si>
    <t>POL50709</t>
  </si>
  <si>
    <t>CLM70439</t>
  </si>
  <si>
    <t>POL52587</t>
  </si>
  <si>
    <t>CLM70440</t>
  </si>
  <si>
    <t>POL50698</t>
  </si>
  <si>
    <t>CLM70441</t>
  </si>
  <si>
    <t>POL51996</t>
  </si>
  <si>
    <t>CLM70442</t>
  </si>
  <si>
    <t>POL51104</t>
  </si>
  <si>
    <t>CLM70443</t>
  </si>
  <si>
    <t>POL52281</t>
  </si>
  <si>
    <t>CLM70444</t>
  </si>
  <si>
    <t>POL50860</t>
  </si>
  <si>
    <t>CLM70446</t>
  </si>
  <si>
    <t>CLM70447</t>
  </si>
  <si>
    <t>POL51558</t>
  </si>
  <si>
    <t>CLM70448</t>
  </si>
  <si>
    <t>POL50095</t>
  </si>
  <si>
    <t>CLM70449</t>
  </si>
  <si>
    <t>CLM70450</t>
  </si>
  <si>
    <t>POL53840</t>
  </si>
  <si>
    <t>CLM70451</t>
  </si>
  <si>
    <t>POL53927</t>
  </si>
  <si>
    <t>CLM70452</t>
  </si>
  <si>
    <t>POL51824</t>
  </si>
  <si>
    <t>CLM70453</t>
  </si>
  <si>
    <t>POL52102</t>
  </si>
  <si>
    <t>CLM70455</t>
  </si>
  <si>
    <t>POL53454</t>
  </si>
  <si>
    <t>CLM70456</t>
  </si>
  <si>
    <t>POL50645</t>
  </si>
  <si>
    <t>CLM70458</t>
  </si>
  <si>
    <t>POL53256</t>
  </si>
  <si>
    <t>CLM70459</t>
  </si>
  <si>
    <t>CLM70460</t>
  </si>
  <si>
    <t>POL52256</t>
  </si>
  <si>
    <t>CLM70461</t>
  </si>
  <si>
    <t>CLM70463</t>
  </si>
  <si>
    <t>POL50475</t>
  </si>
  <si>
    <t>CLM70466</t>
  </si>
  <si>
    <t>POL51601</t>
  </si>
  <si>
    <t>CLM70467</t>
  </si>
  <si>
    <t>POL51109</t>
  </si>
  <si>
    <t>CLM70468</t>
  </si>
  <si>
    <t>POL53104</t>
  </si>
  <si>
    <t>CLM70469</t>
  </si>
  <si>
    <t>POL50336</t>
  </si>
  <si>
    <t>CLM70470</t>
  </si>
  <si>
    <t>POL53542</t>
  </si>
  <si>
    <t>CLM70471</t>
  </si>
  <si>
    <t>POL50189</t>
  </si>
  <si>
    <t>CLM70472</t>
  </si>
  <si>
    <t>POL52396</t>
  </si>
  <si>
    <t>CLM70473</t>
  </si>
  <si>
    <t>POL51565</t>
  </si>
  <si>
    <t>CLM70474</t>
  </si>
  <si>
    <t>POL51662</t>
  </si>
  <si>
    <t>CLM70476</t>
  </si>
  <si>
    <t>POL52624</t>
  </si>
  <si>
    <t>CLM70477</t>
  </si>
  <si>
    <t>POL51547</t>
  </si>
  <si>
    <t>CLM70480</t>
  </si>
  <si>
    <t>POL53494</t>
  </si>
  <si>
    <t>CLM70482</t>
  </si>
  <si>
    <t>POL50514</t>
  </si>
  <si>
    <t>CLM70483</t>
  </si>
  <si>
    <t>POL50035</t>
  </si>
  <si>
    <t>CLM70485</t>
  </si>
  <si>
    <t>POL50411</t>
  </si>
  <si>
    <t>CLM70486</t>
  </si>
  <si>
    <t>POL52366</t>
  </si>
  <si>
    <t>CLM70487</t>
  </si>
  <si>
    <t>CLM70488</t>
  </si>
  <si>
    <t>POL53066</t>
  </si>
  <si>
    <t>CLM70489</t>
  </si>
  <si>
    <t>POL51191</t>
  </si>
  <si>
    <t>CLM70490</t>
  </si>
  <si>
    <t>POL53741</t>
  </si>
  <si>
    <t>CLM70491</t>
  </si>
  <si>
    <t>POL53923</t>
  </si>
  <si>
    <t>CLM70492</t>
  </si>
  <si>
    <t>POL53717</t>
  </si>
  <si>
    <t>CLM70493</t>
  </si>
  <si>
    <t>POL53760</t>
  </si>
  <si>
    <t>CLM70494</t>
  </si>
  <si>
    <t>CLM70495</t>
  </si>
  <si>
    <t>CLM70496</t>
  </si>
  <si>
    <t>POL50996</t>
  </si>
  <si>
    <t>CLM70498</t>
  </si>
  <si>
    <t>POL50828</t>
  </si>
  <si>
    <t>CLM70499</t>
  </si>
  <si>
    <t>POL53706</t>
  </si>
  <si>
    <t>CLM70500</t>
  </si>
  <si>
    <t>POL50388</t>
  </si>
  <si>
    <t>CLM70501</t>
  </si>
  <si>
    <t>POL53740</t>
  </si>
  <si>
    <t>CLM70505</t>
  </si>
  <si>
    <t>POL50210</t>
  </si>
  <si>
    <t>CLM70506</t>
  </si>
  <si>
    <t>POL51992</t>
  </si>
  <si>
    <t>CLM70508</t>
  </si>
  <si>
    <t>POL50813</t>
  </si>
  <si>
    <t>CLM70513</t>
  </si>
  <si>
    <t>POL51041</t>
  </si>
  <si>
    <t>CLM70515</t>
  </si>
  <si>
    <t>POL53990</t>
  </si>
  <si>
    <t>CLM70516</t>
  </si>
  <si>
    <t>POL53724</t>
  </si>
  <si>
    <t>CLM70517</t>
  </si>
  <si>
    <t>POL52510</t>
  </si>
  <si>
    <t>CLM70519</t>
  </si>
  <si>
    <t>CLM70520</t>
  </si>
  <si>
    <t>POL52071</t>
  </si>
  <si>
    <t>CLM70521</t>
  </si>
  <si>
    <t>POL50658</t>
  </si>
  <si>
    <t>CLM70522</t>
  </si>
  <si>
    <t>POL50170</t>
  </si>
  <si>
    <t>CLM70523</t>
  </si>
  <si>
    <t>POL53288</t>
  </si>
  <si>
    <t>CLM70524</t>
  </si>
  <si>
    <t>POL52672</t>
  </si>
  <si>
    <t>CLM70525</t>
  </si>
  <si>
    <t>POL53335</t>
  </si>
  <si>
    <t>CLM70526</t>
  </si>
  <si>
    <t>POL52295</t>
  </si>
  <si>
    <t>CLM70527</t>
  </si>
  <si>
    <t>POL50540</t>
  </si>
  <si>
    <t>CLM70528</t>
  </si>
  <si>
    <t>POL50838</t>
  </si>
  <si>
    <t>CLM70529</t>
  </si>
  <si>
    <t>POL53090</t>
  </si>
  <si>
    <t>CLM70530</t>
  </si>
  <si>
    <t>POL50830</t>
  </si>
  <si>
    <t>CLM70532</t>
  </si>
  <si>
    <t>POL50203</t>
  </si>
  <si>
    <t>CLM70533</t>
  </si>
  <si>
    <t>POL51155</t>
  </si>
  <si>
    <t>CLM70535</t>
  </si>
  <si>
    <t>CLM70537</t>
  </si>
  <si>
    <t>POL50643</t>
  </si>
  <si>
    <t>CLM70542</t>
  </si>
  <si>
    <t>POL53146</t>
  </si>
  <si>
    <t>CLM70543</t>
  </si>
  <si>
    <t>POL52579</t>
  </si>
  <si>
    <t>CLM70544</t>
  </si>
  <si>
    <t>POL50221</t>
  </si>
  <si>
    <t>CLM70545</t>
  </si>
  <si>
    <t>POL51371</t>
  </si>
  <si>
    <t>CLM70547</t>
  </si>
  <si>
    <t>CLM70548</t>
  </si>
  <si>
    <t>CLM70549</t>
  </si>
  <si>
    <t>POL50231</t>
  </si>
  <si>
    <t>CLM70550</t>
  </si>
  <si>
    <t>POL53654</t>
  </si>
  <si>
    <t>CLM70552</t>
  </si>
  <si>
    <t>POL53213</t>
  </si>
  <si>
    <t>CLM70554</t>
  </si>
  <si>
    <t>POL51645</t>
  </si>
  <si>
    <t>CLM70557</t>
  </si>
  <si>
    <t>POL52362</t>
  </si>
  <si>
    <t>CLM70558</t>
  </si>
  <si>
    <t>POL51180</t>
  </si>
  <si>
    <t>CLM70559</t>
  </si>
  <si>
    <t>POL53920</t>
  </si>
  <si>
    <t>CLM70560</t>
  </si>
  <si>
    <t>POL51274</t>
  </si>
  <si>
    <t>CLM70561</t>
  </si>
  <si>
    <t>POL50861</t>
  </si>
  <si>
    <t>CLM70562</t>
  </si>
  <si>
    <t>CLM70564</t>
  </si>
  <si>
    <t>POL53694</t>
  </si>
  <si>
    <t>CLM70565</t>
  </si>
  <si>
    <t>POL53068</t>
  </si>
  <si>
    <t>CLM70566</t>
  </si>
  <si>
    <t>POL52808</t>
  </si>
  <si>
    <t>CLM70569</t>
  </si>
  <si>
    <t>POL50026</t>
  </si>
  <si>
    <t>CLM70570</t>
  </si>
  <si>
    <t>POL51839</t>
  </si>
  <si>
    <t>CLM70571</t>
  </si>
  <si>
    <t>POL52415</t>
  </si>
  <si>
    <t>CLM70574</t>
  </si>
  <si>
    <t>POL52308</t>
  </si>
  <si>
    <t>CLM70575</t>
  </si>
  <si>
    <t>POL53678</t>
  </si>
  <si>
    <t>CLM70577</t>
  </si>
  <si>
    <t>POL52944</t>
  </si>
  <si>
    <t>CLM70578</t>
  </si>
  <si>
    <t>POL52306</t>
  </si>
  <si>
    <t>CLM70579</t>
  </si>
  <si>
    <t>POL52987</t>
  </si>
  <si>
    <t>CLM70580</t>
  </si>
  <si>
    <t>POL51803</t>
  </si>
  <si>
    <t>CLM70583</t>
  </si>
  <si>
    <t>POL51179</t>
  </si>
  <si>
    <t>CLM70584</t>
  </si>
  <si>
    <t>POL51458</t>
  </si>
  <si>
    <t>CLM70585</t>
  </si>
  <si>
    <t>POL52386</t>
  </si>
  <si>
    <t>CLM70586</t>
  </si>
  <si>
    <t>POL53270</t>
  </si>
  <si>
    <t>CLM70591</t>
  </si>
  <si>
    <t>POL50711</t>
  </si>
  <si>
    <t>CLM70593</t>
  </si>
  <si>
    <t>POL51928</t>
  </si>
  <si>
    <t>CLM70595</t>
  </si>
  <si>
    <t>POL50135</t>
  </si>
  <si>
    <t>CLM70596</t>
  </si>
  <si>
    <t>CLM70598</t>
  </si>
  <si>
    <t>POL51121</t>
  </si>
  <si>
    <t>CLM70600</t>
  </si>
  <si>
    <t>POL50076</t>
  </si>
  <si>
    <t>CLM70603</t>
  </si>
  <si>
    <t>POL52722</t>
  </si>
  <si>
    <t>CLM70604</t>
  </si>
  <si>
    <t>CLM70605</t>
  </si>
  <si>
    <t>POL52341</t>
  </si>
  <si>
    <t>CLM70607</t>
  </si>
  <si>
    <t>POL53012</t>
  </si>
  <si>
    <t>CLM70610</t>
  </si>
  <si>
    <t>POL51534</t>
  </si>
  <si>
    <t>CLM70612</t>
  </si>
  <si>
    <t>CLM70614</t>
  </si>
  <si>
    <t>CLM70615</t>
  </si>
  <si>
    <t>POL50803</t>
  </si>
  <si>
    <t>CLM70616</t>
  </si>
  <si>
    <t>POL50196</t>
  </si>
  <si>
    <t>CLM70617</t>
  </si>
  <si>
    <t>CLM70619</t>
  </si>
  <si>
    <t>POL53220</t>
  </si>
  <si>
    <t>CLM70621</t>
  </si>
  <si>
    <t>CLM70622</t>
  </si>
  <si>
    <t>POL50573</t>
  </si>
  <si>
    <t>CLM70625</t>
  </si>
  <si>
    <t>POL51572</t>
  </si>
  <si>
    <t>CLM70626</t>
  </si>
  <si>
    <t>POL52193</t>
  </si>
  <si>
    <t>CLM70628</t>
  </si>
  <si>
    <t>CLM70629</t>
  </si>
  <si>
    <t>POL50988</t>
  </si>
  <si>
    <t>CLM70630</t>
  </si>
  <si>
    <t>CLM70631</t>
  </si>
  <si>
    <t>CLM70632</t>
  </si>
  <si>
    <t>POL51610</t>
  </si>
  <si>
    <t>CLM70633</t>
  </si>
  <si>
    <t>CLM70634</t>
  </si>
  <si>
    <t>POL51726</t>
  </si>
  <si>
    <t>CLM70635</t>
  </si>
  <si>
    <t>POL53748</t>
  </si>
  <si>
    <t>CLM70636</t>
  </si>
  <si>
    <t>CLM70637</t>
  </si>
  <si>
    <t>POL53206</t>
  </si>
  <si>
    <t>CLM70638</t>
  </si>
  <si>
    <t>POL50247</t>
  </si>
  <si>
    <t>CLM70639</t>
  </si>
  <si>
    <t>POL50689</t>
  </si>
  <si>
    <t>CLM70641</t>
  </si>
  <si>
    <t>CLM70642</t>
  </si>
  <si>
    <t>POL50376</t>
  </si>
  <si>
    <t>CLM70643</t>
  </si>
  <si>
    <t>POL53323</t>
  </si>
  <si>
    <t>CLM70644</t>
  </si>
  <si>
    <t>POL51162</t>
  </si>
  <si>
    <t>CLM70645</t>
  </si>
  <si>
    <t>POL52371</t>
  </si>
  <si>
    <t>CLM70646</t>
  </si>
  <si>
    <t>POL53779</t>
  </si>
  <si>
    <t>CLM70647</t>
  </si>
  <si>
    <t>POL50833</t>
  </si>
  <si>
    <t>CLM70648</t>
  </si>
  <si>
    <t>POL52689</t>
  </si>
  <si>
    <t>CLM70649</t>
  </si>
  <si>
    <t>POL51733</t>
  </si>
  <si>
    <t>CLM70650</t>
  </si>
  <si>
    <t>POL52675</t>
  </si>
  <si>
    <t>CLM70651</t>
  </si>
  <si>
    <t>POL53644</t>
  </si>
  <si>
    <t>CLM70652</t>
  </si>
  <si>
    <t>POL53878</t>
  </si>
  <si>
    <t>CLM70653</t>
  </si>
  <si>
    <t>CLM70655</t>
  </si>
  <si>
    <t>POL50911</t>
  </si>
  <si>
    <t>CLM70656</t>
  </si>
  <si>
    <t>POL51387</t>
  </si>
  <si>
    <t>CLM70657</t>
  </si>
  <si>
    <t>POL50115</t>
  </si>
  <si>
    <t>CLM70661</t>
  </si>
  <si>
    <t>CLM70662</t>
  </si>
  <si>
    <t>CLM70663</t>
  </si>
  <si>
    <t>POL51648</t>
  </si>
  <si>
    <t>CLM70664</t>
  </si>
  <si>
    <t>POL51288</t>
  </si>
  <si>
    <t>CLM70666</t>
  </si>
  <si>
    <t>POL52632</t>
  </si>
  <si>
    <t>CLM70667</t>
  </si>
  <si>
    <t>POL50319</t>
  </si>
  <si>
    <t>CLM70668</t>
  </si>
  <si>
    <t>CLM70670</t>
  </si>
  <si>
    <t>POL50758</t>
  </si>
  <si>
    <t>CLM70671</t>
  </si>
  <si>
    <t>POL52761</t>
  </si>
  <si>
    <t>CLM70672</t>
  </si>
  <si>
    <t>POL50431</t>
  </si>
  <si>
    <t>CLM70674</t>
  </si>
  <si>
    <t>POL51718</t>
  </si>
  <si>
    <t>CLM70676</t>
  </si>
  <si>
    <t>CLM70677</t>
  </si>
  <si>
    <t>POL53218</t>
  </si>
  <si>
    <t>CLM70678</t>
  </si>
  <si>
    <t>POL53007</t>
  </si>
  <si>
    <t>CLM70679</t>
  </si>
  <si>
    <t>POL52119</t>
  </si>
  <si>
    <t>CLM70680</t>
  </si>
  <si>
    <t>POL53355</t>
  </si>
  <si>
    <t>CLM70682</t>
  </si>
  <si>
    <t>POL51669</t>
  </si>
  <si>
    <t>CLM70683</t>
  </si>
  <si>
    <t>POL53544</t>
  </si>
  <si>
    <t>CLM70685</t>
  </si>
  <si>
    <t>POL52843</t>
  </si>
  <si>
    <t>CLM70686</t>
  </si>
  <si>
    <t>POL51947</t>
  </si>
  <si>
    <t>CLM70687</t>
  </si>
  <si>
    <t>CLM70688</t>
  </si>
  <si>
    <t>POL52462</t>
  </si>
  <si>
    <t>CLM70689</t>
  </si>
  <si>
    <t>POL52070</t>
  </si>
  <si>
    <t>CLM70690</t>
  </si>
  <si>
    <t>POL50749</t>
  </si>
  <si>
    <t>CLM70691</t>
  </si>
  <si>
    <t>POL52340</t>
  </si>
  <si>
    <t>CLM70693</t>
  </si>
  <si>
    <t>POL52539</t>
  </si>
  <si>
    <t>CLM70695</t>
  </si>
  <si>
    <t>POL53325</t>
  </si>
  <si>
    <t>CLM70696</t>
  </si>
  <si>
    <t>CLM70697</t>
  </si>
  <si>
    <t>CLM70698</t>
  </si>
  <si>
    <t>POL52577</t>
  </si>
  <si>
    <t>CLM70699</t>
  </si>
  <si>
    <t>POL53399</t>
  </si>
  <si>
    <t>CLM70700</t>
  </si>
  <si>
    <t>POL52763</t>
  </si>
  <si>
    <t>CLM70701</t>
  </si>
  <si>
    <t>POL51087</t>
  </si>
  <si>
    <t>CLM70702</t>
  </si>
  <si>
    <t>POL50559</t>
  </si>
  <si>
    <t>CLM70703</t>
  </si>
  <si>
    <t>CLM70704</t>
  </si>
  <si>
    <t>POL50030</t>
  </si>
  <si>
    <t>CLM70705</t>
  </si>
  <si>
    <t>POL50577</t>
  </si>
  <si>
    <t>CLM70709</t>
  </si>
  <si>
    <t>POL53133</t>
  </si>
  <si>
    <t>CLM70710</t>
  </si>
  <si>
    <t>POL51381</t>
  </si>
  <si>
    <t>CLM70712</t>
  </si>
  <si>
    <t>POL53771</t>
  </si>
  <si>
    <t>CLM70713</t>
  </si>
  <si>
    <t>POL53670</t>
  </si>
  <si>
    <t>CLM70714</t>
  </si>
  <si>
    <t>CLM70715</t>
  </si>
  <si>
    <t>POL50028</t>
  </si>
  <si>
    <t>CLM70716</t>
  </si>
  <si>
    <t>POL51499</t>
  </si>
  <si>
    <t>CLM70717</t>
  </si>
  <si>
    <t>POL52610</t>
  </si>
  <si>
    <t>CLM70721</t>
  </si>
  <si>
    <t>POL51221</t>
  </si>
  <si>
    <t>CLM70722</t>
  </si>
  <si>
    <t>POL51246</t>
  </si>
  <si>
    <t>CLM70723</t>
  </si>
  <si>
    <t>POL50628</t>
  </si>
  <si>
    <t>CLM70724</t>
  </si>
  <si>
    <t>POL50467</t>
  </si>
  <si>
    <t>CLM70726</t>
  </si>
  <si>
    <t>POL50312</t>
  </si>
  <si>
    <t>CLM70727</t>
  </si>
  <si>
    <t>POL51423</t>
  </si>
  <si>
    <t>CLM70729</t>
  </si>
  <si>
    <t>POL50480</t>
  </si>
  <si>
    <t>CLM70731</t>
  </si>
  <si>
    <t>POL52790</t>
  </si>
  <si>
    <t>CLM70732</t>
  </si>
  <si>
    <t>POL51704</t>
  </si>
  <si>
    <t>CLM70733</t>
  </si>
  <si>
    <t>POL50957</t>
  </si>
  <si>
    <t>CLM70734</t>
  </si>
  <si>
    <t>CLM70736</t>
  </si>
  <si>
    <t>POL51396</t>
  </si>
  <si>
    <t>CLM70737</t>
  </si>
  <si>
    <t>POL51439</t>
  </si>
  <si>
    <t>CLM70738</t>
  </si>
  <si>
    <t>POL50145</t>
  </si>
  <si>
    <t>CLM70740</t>
  </si>
  <si>
    <t>POL53999</t>
  </si>
  <si>
    <t>CLM70741</t>
  </si>
  <si>
    <t>POL50390</t>
  </si>
  <si>
    <t>CLM70742</t>
  </si>
  <si>
    <t>POL52561</t>
  </si>
  <si>
    <t>CLM70743</t>
  </si>
  <si>
    <t>POL53603</t>
  </si>
  <si>
    <t>CLM70744</t>
  </si>
  <si>
    <t>POL50505</t>
  </si>
  <si>
    <t>CLM70745</t>
  </si>
  <si>
    <t>POL53164</t>
  </si>
  <si>
    <t>CLM70747</t>
  </si>
  <si>
    <t>POL52126</t>
  </si>
  <si>
    <t>CLM70748</t>
  </si>
  <si>
    <t>POL50826</t>
  </si>
  <si>
    <t>CLM70750</t>
  </si>
  <si>
    <t>POL51589</t>
  </si>
  <si>
    <t>CLM70751</t>
  </si>
  <si>
    <t>POL53260</t>
  </si>
  <si>
    <t>CLM70753</t>
  </si>
  <si>
    <t>CLM70754</t>
  </si>
  <si>
    <t>POL53587</t>
  </si>
  <si>
    <t>CLM70755</t>
  </si>
  <si>
    <t>POL50970</t>
  </si>
  <si>
    <t>CLM70756</t>
  </si>
  <si>
    <t>POL52140</t>
  </si>
  <si>
    <t>CLM70757</t>
  </si>
  <si>
    <t>CLM70759</t>
  </si>
  <si>
    <t>POL50513</t>
  </si>
  <si>
    <t>CLM70762</t>
  </si>
  <si>
    <t>POL50574</t>
  </si>
  <si>
    <t>CLM70763</t>
  </si>
  <si>
    <t>POL52212</t>
  </si>
  <si>
    <t>CLM70765</t>
  </si>
  <si>
    <t>POL52519</t>
  </si>
  <si>
    <t>CLM70766</t>
  </si>
  <si>
    <t>POL53307</t>
  </si>
  <si>
    <t>CLM70767</t>
  </si>
  <si>
    <t>POL51321</t>
  </si>
  <si>
    <t>CLM70770</t>
  </si>
  <si>
    <t>CLM70772</t>
  </si>
  <si>
    <t>POL51860</t>
  </si>
  <si>
    <t>CLM70773</t>
  </si>
  <si>
    <t>POL53599</t>
  </si>
  <si>
    <t>CLM70776</t>
  </si>
  <si>
    <t>POL50694</t>
  </si>
  <si>
    <t>CLM70777</t>
  </si>
  <si>
    <t>POL52652</t>
  </si>
  <si>
    <t>CLM70779</t>
  </si>
  <si>
    <t>POL51298</t>
  </si>
  <si>
    <t>CLM70780</t>
  </si>
  <si>
    <t>POL50765</t>
  </si>
  <si>
    <t>CLM70782</t>
  </si>
  <si>
    <t>POL50783</t>
  </si>
  <si>
    <t>CLM70783</t>
  </si>
  <si>
    <t>POL53611</t>
  </si>
  <si>
    <t>CLM70784</t>
  </si>
  <si>
    <t>POL52002</t>
  </si>
  <si>
    <t>CLM70786</t>
  </si>
  <si>
    <t>CLM70787</t>
  </si>
  <si>
    <t>POL51038</t>
  </si>
  <si>
    <t>CLM70788</t>
  </si>
  <si>
    <t>POL52711</t>
  </si>
  <si>
    <t>CLM70789</t>
  </si>
  <si>
    <t>POL50565</t>
  </si>
  <si>
    <t>CLM70790</t>
  </si>
  <si>
    <t>POL51145</t>
  </si>
  <si>
    <t>CLM70791</t>
  </si>
  <si>
    <t>POL50343</t>
  </si>
  <si>
    <t>CLM70792</t>
  </si>
  <si>
    <t>POL51542</t>
  </si>
  <si>
    <t>CLM70793</t>
  </si>
  <si>
    <t>CLM70794</t>
  </si>
  <si>
    <t>POL51153</t>
  </si>
  <si>
    <t>CLM70795</t>
  </si>
  <si>
    <t>POL50848</t>
  </si>
  <si>
    <t>CLM70797</t>
  </si>
  <si>
    <t>POL53466</t>
  </si>
  <si>
    <t>CLM70799</t>
  </si>
  <si>
    <t>POL53626</t>
  </si>
  <si>
    <t>CLM70800</t>
  </si>
  <si>
    <t>POL53637</t>
  </si>
  <si>
    <t>CLM70801</t>
  </si>
  <si>
    <t>POL52434</t>
  </si>
  <si>
    <t>CLM70802</t>
  </si>
  <si>
    <t>CLM70803</t>
  </si>
  <si>
    <t>POL51462</t>
  </si>
  <si>
    <t>CLM70804</t>
  </si>
  <si>
    <t>POL53841</t>
  </si>
  <si>
    <t>CLM70805</t>
  </si>
  <si>
    <t>POL50685</t>
  </si>
  <si>
    <t>CLM70806</t>
  </si>
  <si>
    <t>POL51604</t>
  </si>
  <si>
    <t>CLM70808</t>
  </si>
  <si>
    <t>POL52176</t>
  </si>
  <si>
    <t>CLM70810</t>
  </si>
  <si>
    <t>POL52809</t>
  </si>
  <si>
    <t>CLM70811</t>
  </si>
  <si>
    <t>POL52427</t>
  </si>
  <si>
    <t>CLM70812</t>
  </si>
  <si>
    <t>CLM70814</t>
  </si>
  <si>
    <t>POL53968</t>
  </si>
  <si>
    <t>CLM70815</t>
  </si>
  <si>
    <t>POL51585</t>
  </si>
  <si>
    <t>CLM70816</t>
  </si>
  <si>
    <t>CLM70817</t>
  </si>
  <si>
    <t>CLM70818</t>
  </si>
  <si>
    <t>POL50836</t>
  </si>
  <si>
    <t>CLM70820</t>
  </si>
  <si>
    <t>CLM70822</t>
  </si>
  <si>
    <t>POL53480</t>
  </si>
  <si>
    <t>CLM70823</t>
  </si>
  <si>
    <t>CLM70824</t>
  </si>
  <si>
    <t>POL50750</t>
  </si>
  <si>
    <t>CLM70825</t>
  </si>
  <si>
    <t>POL50635</t>
  </si>
  <si>
    <t>CLM70826</t>
  </si>
  <si>
    <t>POL52588</t>
  </si>
  <si>
    <t>CLM70827</t>
  </si>
  <si>
    <t>POL51577</t>
  </si>
  <si>
    <t>CLM70828</t>
  </si>
  <si>
    <t>POL50977</t>
  </si>
  <si>
    <t>CLM70830</t>
  </si>
  <si>
    <t>POL51411</t>
  </si>
  <si>
    <t>CLM70832</t>
  </si>
  <si>
    <t>POL51574</t>
  </si>
  <si>
    <t>CLM70833</t>
  </si>
  <si>
    <t>CLM70834</t>
  </si>
  <si>
    <t>POL53940</t>
  </si>
  <si>
    <t>CLM70835</t>
  </si>
  <si>
    <t>POL53041</t>
  </si>
  <si>
    <t>CLM70836</t>
  </si>
  <si>
    <t>POL51566</t>
  </si>
  <si>
    <t>CLM70837</t>
  </si>
  <si>
    <t>CLM70838</t>
  </si>
  <si>
    <t>POL51010</t>
  </si>
  <si>
    <t>CLM70840</t>
  </si>
  <si>
    <t>POL53752</t>
  </si>
  <si>
    <t>CLM70843</t>
  </si>
  <si>
    <t>POL53792</t>
  </si>
  <si>
    <t>CLM70844</t>
  </si>
  <si>
    <t>POL50081</t>
  </si>
  <si>
    <t>CLM70845</t>
  </si>
  <si>
    <t>CLM70846</t>
  </si>
  <si>
    <t>POL50200</t>
  </si>
  <si>
    <t>CLM70847</t>
  </si>
  <si>
    <t>POL52881</t>
  </si>
  <si>
    <t>CLM70849</t>
  </si>
  <si>
    <t>POL53705</t>
  </si>
  <si>
    <t>CLM70850</t>
  </si>
  <si>
    <t>POL50872</t>
  </si>
  <si>
    <t>CLM70851</t>
  </si>
  <si>
    <t>POL53391</t>
  </si>
  <si>
    <t>CLM70852</t>
  </si>
  <si>
    <t>POL51762</t>
  </si>
  <si>
    <t>CLM70853</t>
  </si>
  <si>
    <t>POL52555</t>
  </si>
  <si>
    <t>CLM70854</t>
  </si>
  <si>
    <t>CLM70856</t>
  </si>
  <si>
    <t>POL51686</t>
  </si>
  <si>
    <t>CLM70857</t>
  </si>
  <si>
    <t>POL52073</t>
  </si>
  <si>
    <t>CLM70860</t>
  </si>
  <si>
    <t>CLM70863</t>
  </si>
  <si>
    <t>POL52179</t>
  </si>
  <si>
    <t>CLM70864</t>
  </si>
  <si>
    <t>POL53886</t>
  </si>
  <si>
    <t>CLM70865</t>
  </si>
  <si>
    <t>POL51403</t>
  </si>
  <si>
    <t>CLM70866</t>
  </si>
  <si>
    <t>POL53249</t>
  </si>
  <si>
    <t>CLM70867</t>
  </si>
  <si>
    <t>POL53356</t>
  </si>
  <si>
    <t>CLM70868</t>
  </si>
  <si>
    <t>POL51218</t>
  </si>
  <si>
    <t>CLM70869</t>
  </si>
  <si>
    <t>POL53908</t>
  </si>
  <si>
    <t>CLM70871</t>
  </si>
  <si>
    <t>POL50797</t>
  </si>
  <si>
    <t>CLM70872</t>
  </si>
  <si>
    <t>CLM70874</t>
  </si>
  <si>
    <t>CLM70875</t>
  </si>
  <si>
    <t>POL52456</t>
  </si>
  <si>
    <t>CLM70876</t>
  </si>
  <si>
    <t>POL53869</t>
  </si>
  <si>
    <t>CLM70877</t>
  </si>
  <si>
    <t>POL50801</t>
  </si>
  <si>
    <t>CLM70878</t>
  </si>
  <si>
    <t>POL51895</t>
  </si>
  <si>
    <t>CLM70880</t>
  </si>
  <si>
    <t>POL51710</t>
  </si>
  <si>
    <t>CLM70881</t>
  </si>
  <si>
    <t>POL51573</t>
  </si>
  <si>
    <t>CLM70882</t>
  </si>
  <si>
    <t>POL53671</t>
  </si>
  <si>
    <t>CLM70883</t>
  </si>
  <si>
    <t>POL50831</t>
  </si>
  <si>
    <t>CLM70884</t>
  </si>
  <si>
    <t>POL50908</t>
  </si>
  <si>
    <t>CLM70885</t>
  </si>
  <si>
    <t>POL50740</t>
  </si>
  <si>
    <t>CLM70886</t>
  </si>
  <si>
    <t>POL51175</t>
  </si>
  <si>
    <t>CLM70887</t>
  </si>
  <si>
    <t>POL51696</t>
  </si>
  <si>
    <t>CLM70888</t>
  </si>
  <si>
    <t>POL51089</t>
  </si>
  <si>
    <t>CLM70890</t>
  </si>
  <si>
    <t>POL52058</t>
  </si>
  <si>
    <t>CLM70891</t>
  </si>
  <si>
    <t>POL52737</t>
  </si>
  <si>
    <t>CLM70892</t>
  </si>
  <si>
    <t>POL50626</t>
  </si>
  <si>
    <t>CLM70896</t>
  </si>
  <si>
    <t>POL50060</t>
  </si>
  <si>
    <t>CLM70897</t>
  </si>
  <si>
    <t>POL51216</t>
  </si>
  <si>
    <t>CLM70898</t>
  </si>
  <si>
    <t>POL51809</t>
  </si>
  <si>
    <t>CLM70899</t>
  </si>
  <si>
    <t>POL50386</t>
  </si>
  <si>
    <t>CLM70900</t>
  </si>
  <si>
    <t>POL51660</t>
  </si>
  <si>
    <t>CLM70902</t>
  </si>
  <si>
    <t>POL53339</t>
  </si>
  <si>
    <t>CLM70903</t>
  </si>
  <si>
    <t>POL50401</t>
  </si>
  <si>
    <t>CLM70906</t>
  </si>
  <si>
    <t>POL51792</t>
  </si>
  <si>
    <t>CLM70907</t>
  </si>
  <si>
    <t>POL50640</t>
  </si>
  <si>
    <t>CLM70908</t>
  </si>
  <si>
    <t>POL52075</t>
  </si>
  <si>
    <t>CLM70910</t>
  </si>
  <si>
    <t>CLM70912</t>
  </si>
  <si>
    <t>POL53800</t>
  </si>
  <si>
    <t>CLM70913</t>
  </si>
  <si>
    <t>POL50704</t>
  </si>
  <si>
    <t>CLM70914</t>
  </si>
  <si>
    <t>POL50941</t>
  </si>
  <si>
    <t>CLM70915</t>
  </si>
  <si>
    <t>CLM70917</t>
  </si>
  <si>
    <t>POL52077</t>
  </si>
  <si>
    <t>CLM70918</t>
  </si>
  <si>
    <t>POL50219</t>
  </si>
  <si>
    <t>CLM70919</t>
  </si>
  <si>
    <t>POL53376</t>
  </si>
  <si>
    <t>CLM70921</t>
  </si>
  <si>
    <t>POL50109</t>
  </si>
  <si>
    <t>CLM70923</t>
  </si>
  <si>
    <t>POL53486</t>
  </si>
  <si>
    <t>CLM70924</t>
  </si>
  <si>
    <t>CLM70925</t>
  </si>
  <si>
    <t>POL51656</t>
  </si>
  <si>
    <t>CLM70926</t>
  </si>
  <si>
    <t>CLM70928</t>
  </si>
  <si>
    <t>CLM70931</t>
  </si>
  <si>
    <t>CLM70933</t>
  </si>
  <si>
    <t>POL51356</t>
  </si>
  <si>
    <t>CLM70934</t>
  </si>
  <si>
    <t>CLM70935</t>
  </si>
  <si>
    <t>POL51732</t>
  </si>
  <si>
    <t>CLM70936</t>
  </si>
  <si>
    <t>POL52797</t>
  </si>
  <si>
    <t>CLM70939</t>
  </si>
  <si>
    <t>POL50372</t>
  </si>
  <si>
    <t>CLM70940</t>
  </si>
  <si>
    <t>POL53753</t>
  </si>
  <si>
    <t>CLM70941</t>
  </si>
  <si>
    <t>POL50935</t>
  </si>
  <si>
    <t>CLM70942</t>
  </si>
  <si>
    <t>POL51946</t>
  </si>
  <si>
    <t>CLM70943</t>
  </si>
  <si>
    <t>CLM70944</t>
  </si>
  <si>
    <t>CLM70945</t>
  </si>
  <si>
    <t>POL51950</t>
  </si>
  <si>
    <t>CLM70946</t>
  </si>
  <si>
    <t>POL53035</t>
  </si>
  <si>
    <t>CLM70947</t>
  </si>
  <si>
    <t>CLM70948</t>
  </si>
  <si>
    <t>POL53167</t>
  </si>
  <si>
    <t>CLM70949</t>
  </si>
  <si>
    <t>CLM70950</t>
  </si>
  <si>
    <t>POL52044</t>
  </si>
  <si>
    <t>CLM70951</t>
  </si>
  <si>
    <t>CLM70958</t>
  </si>
  <si>
    <t>POL50464</t>
  </si>
  <si>
    <t>CLM70959</t>
  </si>
  <si>
    <t>POL53003</t>
  </si>
  <si>
    <t>CLM70960</t>
  </si>
  <si>
    <t>POL52970</t>
  </si>
  <si>
    <t>CLM70961</t>
  </si>
  <si>
    <t>POL51183</t>
  </si>
  <si>
    <t>CLM70962</t>
  </si>
  <si>
    <t>POL52469</t>
  </si>
  <si>
    <t>CLM70963</t>
  </si>
  <si>
    <t>POL50684</t>
  </si>
  <si>
    <t>CLM70967</t>
  </si>
  <si>
    <t>POL53535</t>
  </si>
  <si>
    <t>CLM70968</t>
  </si>
  <si>
    <t>POL50346</t>
  </si>
  <si>
    <t>CLM70972</t>
  </si>
  <si>
    <t>POL53987</t>
  </si>
  <si>
    <t>CLM70973</t>
  </si>
  <si>
    <t>POL52584</t>
  </si>
  <si>
    <t>CLM70974</t>
  </si>
  <si>
    <t>POL53433</t>
  </si>
  <si>
    <t>CLM70976</t>
  </si>
  <si>
    <t>POL50143</t>
  </si>
  <si>
    <t>CLM70977</t>
  </si>
  <si>
    <t>CLM70981</t>
  </si>
  <si>
    <t>POL50310</t>
  </si>
  <si>
    <t>CLM70982</t>
  </si>
  <si>
    <t>POL53078</t>
  </si>
  <si>
    <t>CLM70983</t>
  </si>
  <si>
    <t>POL51865</t>
  </si>
  <si>
    <t>CLM70984</t>
  </si>
  <si>
    <t>POL51190</t>
  </si>
  <si>
    <t>CLM70985</t>
  </si>
  <si>
    <t>POL52094</t>
  </si>
  <si>
    <t>CLM70986</t>
  </si>
  <si>
    <t>POL52858</t>
  </si>
  <si>
    <t>CLM70988</t>
  </si>
  <si>
    <t>POL50501</t>
  </si>
  <si>
    <t>CLM70989</t>
  </si>
  <si>
    <t>POL53451</t>
  </si>
  <si>
    <t>CLM70990</t>
  </si>
  <si>
    <t>POL51313</t>
  </si>
  <si>
    <t>CLM70991</t>
  </si>
  <si>
    <t>CLM70992</t>
  </si>
  <si>
    <t>POL52170</t>
  </si>
  <si>
    <t>CLM70994</t>
  </si>
  <si>
    <t>POL51013</t>
  </si>
  <si>
    <t>CLM70995</t>
  </si>
  <si>
    <t>CLM70996</t>
  </si>
  <si>
    <t>POL53862</t>
  </si>
  <si>
    <t>CLM70998</t>
  </si>
  <si>
    <t>POL53750</t>
  </si>
  <si>
    <t>CLM71000</t>
  </si>
  <si>
    <t>POL53520</t>
  </si>
  <si>
    <t>CLM71002</t>
  </si>
  <si>
    <t>POL52764</t>
  </si>
  <si>
    <t>CLM71003</t>
  </si>
  <si>
    <t>POL52345</t>
  </si>
  <si>
    <t>CLM71004</t>
  </si>
  <si>
    <t>POL50322</t>
  </si>
  <si>
    <t>CLM71005</t>
  </si>
  <si>
    <t>POL52635</t>
  </si>
  <si>
    <t>CLM71007</t>
  </si>
  <si>
    <t>POL51846</t>
  </si>
  <si>
    <t>CLM71009</t>
  </si>
  <si>
    <t>CLM71010</t>
  </si>
  <si>
    <t>POL52210</t>
  </si>
  <si>
    <t>CLM71011</t>
  </si>
  <si>
    <t>POL53871</t>
  </si>
  <si>
    <t>CLM71012</t>
  </si>
  <si>
    <t>POL51622</t>
  </si>
  <si>
    <t>CLM71013</t>
  </si>
  <si>
    <t>CLM71014</t>
  </si>
  <si>
    <t>CLM71016</t>
  </si>
  <si>
    <t>POL52161</t>
  </si>
  <si>
    <t>CLM71017</t>
  </si>
  <si>
    <t>POL50757</t>
  </si>
  <si>
    <t>CLM71019</t>
  </si>
  <si>
    <t>POL51351</t>
  </si>
  <si>
    <t>CLM71020</t>
  </si>
  <si>
    <t>POL52916</t>
  </si>
  <si>
    <t>CLM71022</t>
  </si>
  <si>
    <t>POL51898</t>
  </si>
  <si>
    <t>CLM71024</t>
  </si>
  <si>
    <t>POL52323</t>
  </si>
  <si>
    <t>CLM71025</t>
  </si>
  <si>
    <t>POL53592</t>
  </si>
  <si>
    <t>CLM71026</t>
  </si>
  <si>
    <t>CLM71027</t>
  </si>
  <si>
    <t>POL51827</t>
  </si>
  <si>
    <t>CLM71028</t>
  </si>
  <si>
    <t>POL53729</t>
  </si>
  <si>
    <t>CLM71030</t>
  </si>
  <si>
    <t>POL51312</t>
  </si>
  <si>
    <t>CLM71031</t>
  </si>
  <si>
    <t>POL50495</t>
  </si>
  <si>
    <t>CLM71032</t>
  </si>
  <si>
    <t>POL50519</t>
  </si>
  <si>
    <t>CLM71033</t>
  </si>
  <si>
    <t>POL53662</t>
  </si>
  <si>
    <t>CLM71034</t>
  </si>
  <si>
    <t>POL51292</t>
  </si>
  <si>
    <t>CLM71035</t>
  </si>
  <si>
    <t>POL52024</t>
  </si>
  <si>
    <t>CLM71037</t>
  </si>
  <si>
    <t>POL51330</t>
  </si>
  <si>
    <t>CLM71038</t>
  </si>
  <si>
    <t>POL53061</t>
  </si>
  <si>
    <t>CLM71039</t>
  </si>
  <si>
    <t>POL50493</t>
  </si>
  <si>
    <t>CLM71040</t>
  </si>
  <si>
    <t>POL51169</t>
  </si>
  <si>
    <t>CLM71041</t>
  </si>
  <si>
    <t>POL51039</t>
  </si>
  <si>
    <t>CLM71043</t>
  </si>
  <si>
    <t>POL52849</t>
  </si>
  <si>
    <t>CLM71044</t>
  </si>
  <si>
    <t>POL53314</t>
  </si>
  <si>
    <t>CLM71045</t>
  </si>
  <si>
    <t>CLM71046</t>
  </si>
  <si>
    <t>CLM71047</t>
  </si>
  <si>
    <t>CLM71048</t>
  </si>
  <si>
    <t>POL53916</t>
  </si>
  <si>
    <t>CLM71049</t>
  </si>
  <si>
    <t>POL50452</t>
  </si>
  <si>
    <t>CLM71052</t>
  </si>
  <si>
    <t>POL51917</t>
  </si>
  <si>
    <t>CLM71053</t>
  </si>
  <si>
    <t>POL53324</t>
  </si>
  <si>
    <t>CLM71054</t>
  </si>
  <si>
    <t>CLM71056</t>
  </si>
  <si>
    <t>POL53563</t>
  </si>
  <si>
    <t>CLM71057</t>
  </si>
  <si>
    <t>POL52159</t>
  </si>
  <si>
    <t>CLM71060</t>
  </si>
  <si>
    <t>POL52431</t>
  </si>
  <si>
    <t>CLM71061</t>
  </si>
  <si>
    <t>POL51699</t>
  </si>
  <si>
    <t>CLM71063</t>
  </si>
  <si>
    <t>POL52245</t>
  </si>
  <si>
    <t>CLM71067</t>
  </si>
  <si>
    <t>POL50429</t>
  </si>
  <si>
    <t>CLM71068</t>
  </si>
  <si>
    <t>POL51529</t>
  </si>
  <si>
    <t>CLM71070</t>
  </si>
  <si>
    <t>POL51505</t>
  </si>
  <si>
    <t>CLM71071</t>
  </si>
  <si>
    <t>CLM71072</t>
  </si>
  <si>
    <t>POL52852</t>
  </si>
  <si>
    <t>CLM71073</t>
  </si>
  <si>
    <t>POL52134</t>
  </si>
  <si>
    <t>CLM71074</t>
  </si>
  <si>
    <t>POL53503</t>
  </si>
  <si>
    <t>CLM71075</t>
  </si>
  <si>
    <t>POL53359</t>
  </si>
  <si>
    <t>CLM71077</t>
  </si>
  <si>
    <t>POL51770</t>
  </si>
  <si>
    <t>CLM71079</t>
  </si>
  <si>
    <t>POL52477</t>
  </si>
  <si>
    <t>CLM71081</t>
  </si>
  <si>
    <t>CLM71082</t>
  </si>
  <si>
    <t>POL52474</t>
  </si>
  <si>
    <t>CLM71083</t>
  </si>
  <si>
    <t>CLM71084</t>
  </si>
  <si>
    <t>POL51998</t>
  </si>
  <si>
    <t>CLM71086</t>
  </si>
  <si>
    <t>POL53985</t>
  </si>
  <si>
    <t>CLM71087</t>
  </si>
  <si>
    <t>POL51926</t>
  </si>
  <si>
    <t>CLM71088</t>
  </si>
  <si>
    <t>CLM71089</t>
  </si>
  <si>
    <t>POL53374</t>
  </si>
  <si>
    <t>CLM71090</t>
  </si>
  <si>
    <t>CLM71091</t>
  </si>
  <si>
    <t>CLM71092</t>
  </si>
  <si>
    <t>CLM71095</t>
  </si>
  <si>
    <t>POL50820</t>
  </si>
  <si>
    <t>CLM71096</t>
  </si>
  <si>
    <t>CLM71097</t>
  </si>
  <si>
    <t>CLM71098</t>
  </si>
  <si>
    <t>POL52750</t>
  </si>
  <si>
    <t>CLM71099</t>
  </si>
  <si>
    <t>CLM71101</t>
  </si>
  <si>
    <t>POL51647</t>
  </si>
  <si>
    <t>CLM71104</t>
  </si>
  <si>
    <t>POL52765</t>
  </si>
  <si>
    <t>CLM71105</t>
  </si>
  <si>
    <t>POL52447</t>
  </si>
  <si>
    <t>CLM71106</t>
  </si>
  <si>
    <t>POL53930</t>
  </si>
  <si>
    <t>CLM71107</t>
  </si>
  <si>
    <t>CLM71108</t>
  </si>
  <si>
    <t>POL52465</t>
  </si>
  <si>
    <t>CLM71111</t>
  </si>
  <si>
    <t>CLM71112</t>
  </si>
  <si>
    <t>CLM71113</t>
  </si>
  <si>
    <t>POL53852</t>
  </si>
  <si>
    <t>CLM71115</t>
  </si>
  <si>
    <t>POL51568</t>
  </si>
  <si>
    <t>CLM71117</t>
  </si>
  <si>
    <t>CLM71119</t>
  </si>
  <si>
    <t>POL52246</t>
  </si>
  <si>
    <t>CLM71120</t>
  </si>
  <si>
    <t>POL53120</t>
  </si>
  <si>
    <t>CLM71121</t>
  </si>
  <si>
    <t>POL51015</t>
  </si>
  <si>
    <t>CLM71123</t>
  </si>
  <si>
    <t>CLM71124</t>
  </si>
  <si>
    <t>POL50571</t>
  </si>
  <si>
    <t>CLM71126</t>
  </si>
  <si>
    <t>POL53284</t>
  </si>
  <si>
    <t>CLM71127</t>
  </si>
  <si>
    <t>CLM71128</t>
  </si>
  <si>
    <t>POL53445</t>
  </si>
  <si>
    <t>CLM71132</t>
  </si>
  <si>
    <t>POL53311</t>
  </si>
  <si>
    <t>CLM71133</t>
  </si>
  <si>
    <t>POL50785</t>
  </si>
  <si>
    <t>CLM71134</t>
  </si>
  <si>
    <t>POL51969</t>
  </si>
  <si>
    <t>CLM71135</t>
  </si>
  <si>
    <t>POL51355</t>
  </si>
  <si>
    <t>CLM71136</t>
  </si>
  <si>
    <t>POL53970</t>
  </si>
  <si>
    <t>CLM71137</t>
  </si>
  <si>
    <t>POL52196</t>
  </si>
  <si>
    <t>CLM71139</t>
  </si>
  <si>
    <t>CLM71140</t>
  </si>
  <si>
    <t>POL52986</t>
  </si>
  <si>
    <t>CLM71143</t>
  </si>
  <si>
    <t>POL53141</t>
  </si>
  <si>
    <t>CLM71144</t>
  </si>
  <si>
    <t>CLM71145</t>
  </si>
  <si>
    <t>POL52560</t>
  </si>
  <si>
    <t>CLM71146</t>
  </si>
  <si>
    <t>POL52842</t>
  </si>
  <si>
    <t>CLM71147</t>
  </si>
  <si>
    <t>POL51719</t>
  </si>
  <si>
    <t>CLM71148</t>
  </si>
  <si>
    <t>POL50074</t>
  </si>
  <si>
    <t>CLM71150</t>
  </si>
  <si>
    <t>POL51618</t>
  </si>
  <si>
    <t>CLM71151</t>
  </si>
  <si>
    <t>POL50433</t>
  </si>
  <si>
    <t>CLM71152</t>
  </si>
  <si>
    <t>POL53170</t>
  </si>
  <si>
    <t>CLM71154</t>
  </si>
  <si>
    <t>POL52730</t>
  </si>
  <si>
    <t>CLM71155</t>
  </si>
  <si>
    <t>POL50469</t>
  </si>
  <si>
    <t>CLM71156</t>
  </si>
  <si>
    <t>POL50864</t>
  </si>
  <si>
    <t>CLM71157</t>
  </si>
  <si>
    <t>CLM71158</t>
  </si>
  <si>
    <t>POL52171</t>
  </si>
  <si>
    <t>CLM71159</t>
  </si>
  <si>
    <t>POL52184</t>
  </si>
  <si>
    <t>CLM71160</t>
  </si>
  <si>
    <t>POL51918</t>
  </si>
  <si>
    <t>CLM71161</t>
  </si>
  <si>
    <t>CLM71162</t>
  </si>
  <si>
    <t>POL53266</t>
  </si>
  <si>
    <t>CLM71163</t>
  </si>
  <si>
    <t>POL50383</t>
  </si>
  <si>
    <t>CLM71164</t>
  </si>
  <si>
    <t>POL50790</t>
  </si>
  <si>
    <t>CLM71165</t>
  </si>
  <si>
    <t>POL50994</t>
  </si>
  <si>
    <t>CLM71166</t>
  </si>
  <si>
    <t>CLM71167</t>
  </si>
  <si>
    <t>POL52773</t>
  </si>
  <si>
    <t>CLM71169</t>
  </si>
  <si>
    <t>POL53186</t>
  </si>
  <si>
    <t>CLM71170</t>
  </si>
  <si>
    <t>POL50936</t>
  </si>
  <si>
    <t>CLM71171</t>
  </si>
  <si>
    <t>POL51888</t>
  </si>
  <si>
    <t>CLM71174</t>
  </si>
  <si>
    <t>CLM71175</t>
  </si>
  <si>
    <t>POL50588</t>
  </si>
  <si>
    <t>CLM71177</t>
  </si>
  <si>
    <t>POL52090</t>
  </si>
  <si>
    <t>CLM71178</t>
  </si>
  <si>
    <t>POL53565</t>
  </si>
  <si>
    <t>CLM71179</t>
  </si>
  <si>
    <t>POL53669</t>
  </si>
  <si>
    <t>CLM71180</t>
  </si>
  <si>
    <t>POL50278</t>
  </si>
  <si>
    <t>CLM71181</t>
  </si>
  <si>
    <t>POL53782</t>
  </si>
  <si>
    <t>CLM71182</t>
  </si>
  <si>
    <t>POL52487</t>
  </si>
  <si>
    <t>CLM71184</t>
  </si>
  <si>
    <t>POL51173</t>
  </si>
  <si>
    <t>CLM71185</t>
  </si>
  <si>
    <t>POL52110</t>
  </si>
  <si>
    <t>CLM71186</t>
  </si>
  <si>
    <t>CLM71187</t>
  </si>
  <si>
    <t>POL50702</t>
  </si>
  <si>
    <t>CLM71188</t>
  </si>
  <si>
    <t>POL51008</t>
  </si>
  <si>
    <t>CLM71190</t>
  </si>
  <si>
    <t>POL50249</t>
  </si>
  <si>
    <t>CLM71192</t>
  </si>
  <si>
    <t>POL52153</t>
  </si>
  <si>
    <t>CLM71198</t>
  </si>
  <si>
    <t>POL52659</t>
  </si>
  <si>
    <t>CLM71199</t>
  </si>
  <si>
    <t>POL50111</t>
  </si>
  <si>
    <t>CLM71200</t>
  </si>
  <si>
    <t>POL51223</t>
  </si>
  <si>
    <t>CLM71202</t>
  </si>
  <si>
    <t>CLM71203</t>
  </si>
  <si>
    <t>POL51149</t>
  </si>
  <si>
    <t>CLM71204</t>
  </si>
  <si>
    <t>POL52332</t>
  </si>
  <si>
    <t>CLM71206</t>
  </si>
  <si>
    <t>POL50124</t>
  </si>
  <si>
    <t>CLM71207</t>
  </si>
  <si>
    <t>CLM71208</t>
  </si>
  <si>
    <t>POL53912</t>
  </si>
  <si>
    <t>CLM71209</t>
  </si>
  <si>
    <t>CLM71210</t>
  </si>
  <si>
    <t>POL53941</t>
  </si>
  <si>
    <t>CLM71211</t>
  </si>
  <si>
    <t>CLM71212</t>
  </si>
  <si>
    <t>CLM71213</t>
  </si>
  <si>
    <t>POL52785</t>
  </si>
  <si>
    <t>CLM71214</t>
  </si>
  <si>
    <t>CLM71215</t>
  </si>
  <si>
    <t>CLM71216</t>
  </si>
  <si>
    <t>POL50437</t>
  </si>
  <si>
    <t>CLM71219</t>
  </si>
  <si>
    <t>POL51745</t>
  </si>
  <si>
    <t>CLM71220</t>
  </si>
  <si>
    <t>POL52056</t>
  </si>
  <si>
    <t>CLM71221</t>
  </si>
  <si>
    <t>POL50903</t>
  </si>
  <si>
    <t>CLM71223</t>
  </si>
  <si>
    <t>POL50764</t>
  </si>
  <si>
    <t>CLM71225</t>
  </si>
  <si>
    <t>POL51485</t>
  </si>
  <si>
    <t>CLM71228</t>
  </si>
  <si>
    <t>POL52381</t>
  </si>
  <si>
    <t>CLM71229</t>
  </si>
  <si>
    <t>POL52866</t>
  </si>
  <si>
    <t>CLM71230</t>
  </si>
  <si>
    <t>CLM71231</t>
  </si>
  <si>
    <t>POL50906</t>
  </si>
  <si>
    <t>CLM71232</t>
  </si>
  <si>
    <t>POL52324</t>
  </si>
  <si>
    <t>CLM71234</t>
  </si>
  <si>
    <t>POL51923</t>
  </si>
  <si>
    <t>CLM71235</t>
  </si>
  <si>
    <t>POL51240</t>
  </si>
  <si>
    <t>CLM71238</t>
  </si>
  <si>
    <t>POL53978</t>
  </si>
  <si>
    <t>CLM71240</t>
  </si>
  <si>
    <t>CLM71241</t>
  </si>
  <si>
    <t>POL51258</t>
  </si>
  <si>
    <t>CLM71243</t>
  </si>
  <si>
    <t>CLM71246</t>
  </si>
  <si>
    <t>CLM71249</t>
  </si>
  <si>
    <t>POL53478</t>
  </si>
  <si>
    <t>CLM71251</t>
  </si>
  <si>
    <t>POL52744</t>
  </si>
  <si>
    <t>CLM71252</t>
  </si>
  <si>
    <t>POL50809</t>
  </si>
  <si>
    <t>CLM71254</t>
  </si>
  <si>
    <t>POL50168</t>
  </si>
  <si>
    <t>CLM71256</t>
  </si>
  <si>
    <t>POL50788</t>
  </si>
  <si>
    <t>CLM71257</t>
  </si>
  <si>
    <t>POL52105</t>
  </si>
  <si>
    <t>CLM71258</t>
  </si>
  <si>
    <t>POL51020</t>
  </si>
  <si>
    <t>CLM71259</t>
  </si>
  <si>
    <t>CLM71260</t>
  </si>
  <si>
    <t>POL52168</t>
  </si>
  <si>
    <t>CLM71262</t>
  </si>
  <si>
    <t>POL52956</t>
  </si>
  <si>
    <t>CLM71263</t>
  </si>
  <si>
    <t>CLM71264</t>
  </si>
  <si>
    <t>POL52338</t>
  </si>
  <si>
    <t>CLM71265</t>
  </si>
  <si>
    <t>POL50059</t>
  </si>
  <si>
    <t>CLM71266</t>
  </si>
  <si>
    <t>POL52871</t>
  </si>
  <si>
    <t>CLM71268</t>
  </si>
  <si>
    <t>POL53021</t>
  </si>
  <si>
    <t>CLM71270</t>
  </si>
  <si>
    <t>POL50164</t>
  </si>
  <si>
    <t>CLM71271</t>
  </si>
  <si>
    <t>POL52132</t>
  </si>
  <si>
    <t>CLM71273</t>
  </si>
  <si>
    <t>CLM71274</t>
  </si>
  <si>
    <t>POL53549</t>
  </si>
  <si>
    <t>CLM71275</t>
  </si>
  <si>
    <t>POL52460</t>
  </si>
  <si>
    <t>CLM71276</t>
  </si>
  <si>
    <t>POL53806</t>
  </si>
  <si>
    <t>CLM71277</t>
  </si>
  <si>
    <t>POL53718</t>
  </si>
  <si>
    <t>CLM71279</t>
  </si>
  <si>
    <t>CLM71280</t>
  </si>
  <si>
    <t>CLM71281</t>
  </si>
  <si>
    <t>POL52912</t>
  </si>
  <si>
    <t>CLM71282</t>
  </si>
  <si>
    <t>POL52439</t>
  </si>
  <si>
    <t>CLM71283</t>
  </si>
  <si>
    <t>POL52667</t>
  </si>
  <si>
    <t>CLM71285</t>
  </si>
  <si>
    <t>POL52385</t>
  </si>
  <si>
    <t>CLM71288</t>
  </si>
  <si>
    <t>POL50679</t>
  </si>
  <si>
    <t>CLM71289</t>
  </si>
  <si>
    <t>CLM71290</t>
  </si>
  <si>
    <t>CLM71291</t>
  </si>
  <si>
    <t>CLM71292</t>
  </si>
  <si>
    <t>POL50533</t>
  </si>
  <si>
    <t>CLM71294</t>
  </si>
  <si>
    <t>POL52440</t>
  </si>
  <si>
    <t>CLM71295</t>
  </si>
  <si>
    <t>POL50984</t>
  </si>
  <si>
    <t>CLM71297</t>
  </si>
  <si>
    <t>CLM71298</t>
  </si>
  <si>
    <t>CLM71301</t>
  </si>
  <si>
    <t>POL53964</t>
  </si>
  <si>
    <t>CLM71303</t>
  </si>
  <si>
    <t>POL51182</t>
  </si>
  <si>
    <t>CLM71305</t>
  </si>
  <si>
    <t>POL51018</t>
  </si>
  <si>
    <t>CLM71306</t>
  </si>
  <si>
    <t>POL52558</t>
  </si>
  <si>
    <t>CLM71307</t>
  </si>
  <si>
    <t>POL50007</t>
  </si>
  <si>
    <t>CLM71308</t>
  </si>
  <si>
    <t>POL51451</t>
  </si>
  <si>
    <t>CLM71309</t>
  </si>
  <si>
    <t>POL50409</t>
  </si>
  <si>
    <t>CLM71311</t>
  </si>
  <si>
    <t>POL53267</t>
  </si>
  <si>
    <t>CLM71314</t>
  </si>
  <si>
    <t>CLM71317</t>
  </si>
  <si>
    <t>CLM71319</t>
  </si>
  <si>
    <t>POL52091</t>
  </si>
  <si>
    <t>CLM71323</t>
  </si>
  <si>
    <t>POL52117</t>
  </si>
  <si>
    <t>CLM71324</t>
  </si>
  <si>
    <t>POL50306</t>
  </si>
  <si>
    <t>CLM71326</t>
  </si>
  <si>
    <t>CLM71327</t>
  </si>
  <si>
    <t>POL53593</t>
  </si>
  <si>
    <t>CLM71328</t>
  </si>
  <si>
    <t>POL53619</t>
  </si>
  <si>
    <t>CLM71329</t>
  </si>
  <si>
    <t>POL50188</t>
  </si>
  <si>
    <t>CLM71332</t>
  </si>
  <si>
    <t>POL52279</t>
  </si>
  <si>
    <t>CLM71335</t>
  </si>
  <si>
    <t>POL52213</t>
  </si>
  <si>
    <t>CLM71336</t>
  </si>
  <si>
    <t>POL52242</t>
  </si>
  <si>
    <t>CLM71337</t>
  </si>
  <si>
    <t>POL50964</t>
  </si>
  <si>
    <t>CLM71339</t>
  </si>
  <si>
    <t>POL50509</t>
  </si>
  <si>
    <t>CLM71340</t>
  </si>
  <si>
    <t>CLM71341</t>
  </si>
  <si>
    <t>CLM71342</t>
  </si>
  <si>
    <t>POL51099</t>
  </si>
  <si>
    <t>CLM71343</t>
  </si>
  <si>
    <t>CLM71344</t>
  </si>
  <si>
    <t>CLM71346</t>
  </si>
  <si>
    <t>CLM71348</t>
  </si>
  <si>
    <t>POL52108</t>
  </si>
  <si>
    <t>CLM71350</t>
  </si>
  <si>
    <t>POL50617</t>
  </si>
  <si>
    <t>CLM71352</t>
  </si>
  <si>
    <t>CLM71353</t>
  </si>
  <si>
    <t>POL51303</t>
  </si>
  <si>
    <t>CLM71354</t>
  </si>
  <si>
    <t>CLM71356</t>
  </si>
  <si>
    <t>CLM71357</t>
  </si>
  <si>
    <t>POL50279</t>
  </si>
  <si>
    <t>CLM71359</t>
  </si>
  <si>
    <t>POL53242</t>
  </si>
  <si>
    <t>CLM71360</t>
  </si>
  <si>
    <t>CLM71361</t>
  </si>
  <si>
    <t>POL53616</t>
  </si>
  <si>
    <t>CLM71362</t>
  </si>
  <si>
    <t>POL51995</t>
  </si>
  <si>
    <t>CLM71363</t>
  </si>
  <si>
    <t>POL52884</t>
  </si>
  <si>
    <t>CLM71364</t>
  </si>
  <si>
    <t>CLM71365</t>
  </si>
  <si>
    <t>POL51166</t>
  </si>
  <si>
    <t>CLM71366</t>
  </si>
  <si>
    <t>POL51007</t>
  </si>
  <si>
    <t>CLM71367</t>
  </si>
  <si>
    <t>CLM71369</t>
  </si>
  <si>
    <t>POL50423</t>
  </si>
  <si>
    <t>CLM71370</t>
  </si>
  <si>
    <t>POL52607</t>
  </si>
  <si>
    <t>CLM71371</t>
  </si>
  <si>
    <t>CLM71372</t>
  </si>
  <si>
    <t>CLM71374</t>
  </si>
  <si>
    <t>POL53947</t>
  </si>
  <si>
    <t>CLM71375</t>
  </si>
  <si>
    <t>CLM71377</t>
  </si>
  <si>
    <t>POL50141</t>
  </si>
  <si>
    <t>CLM71378</t>
  </si>
  <si>
    <t>POL50855</t>
  </si>
  <si>
    <t>CLM71379</t>
  </si>
  <si>
    <t>POL52182</t>
  </si>
  <si>
    <t>CLM71380</t>
  </si>
  <si>
    <t>POL52061</t>
  </si>
  <si>
    <t>CLM71381</t>
  </si>
  <si>
    <t>CLM71382</t>
  </si>
  <si>
    <t>POL52043</t>
  </si>
  <si>
    <t>CLM71383</t>
  </si>
  <si>
    <t>POL53914</t>
  </si>
  <si>
    <t>CLM71385</t>
  </si>
  <si>
    <t>POL51729</t>
  </si>
  <si>
    <t>CLM71389</t>
  </si>
  <si>
    <t>POL52767</t>
  </si>
  <si>
    <t>CLM71391</t>
  </si>
  <si>
    <t>POL51884</t>
  </si>
  <si>
    <t>CLM71392</t>
  </si>
  <si>
    <t>POL51649</t>
  </si>
  <si>
    <t>CLM71393</t>
  </si>
  <si>
    <t>POL50261</t>
  </si>
  <si>
    <t>CLM71395</t>
  </si>
  <si>
    <t>POL53234</t>
  </si>
  <si>
    <t>CLM71396</t>
  </si>
  <si>
    <t>POL52485</t>
  </si>
  <si>
    <t>CLM71398</t>
  </si>
  <si>
    <t>POL53512</t>
  </si>
  <si>
    <t>CLM71400</t>
  </si>
  <si>
    <t>POL53548</t>
  </si>
  <si>
    <t>CLM71401</t>
  </si>
  <si>
    <t>POL52547</t>
  </si>
  <si>
    <t>CLM71402</t>
  </si>
  <si>
    <t>CLM71404</t>
  </si>
  <si>
    <t>POL51228</t>
  </si>
  <si>
    <t>CLM71405</t>
  </si>
  <si>
    <t>POL51075</t>
  </si>
  <si>
    <t>CLM71406</t>
  </si>
  <si>
    <t>POL52011</t>
  </si>
  <si>
    <t>CLM71407</t>
  </si>
  <si>
    <t>POL51668</t>
  </si>
  <si>
    <t>CLM71408</t>
  </si>
  <si>
    <t>POL51214</t>
  </si>
  <si>
    <t>CLM71409</t>
  </si>
  <si>
    <t>CLM71411</t>
  </si>
  <si>
    <t>POL51968</t>
  </si>
  <si>
    <t>CLM71412</t>
  </si>
  <si>
    <t>POL53274</t>
  </si>
  <si>
    <t>CLM71413</t>
  </si>
  <si>
    <t>CLM71414</t>
  </si>
  <si>
    <t>POL50742</t>
  </si>
  <si>
    <t>CLM71415</t>
  </si>
  <si>
    <t>POL53537</t>
  </si>
  <si>
    <t>CLM71416</t>
  </si>
  <si>
    <t>POL50166</t>
  </si>
  <si>
    <t>CLM71418</t>
  </si>
  <si>
    <t>POL50258</t>
  </si>
  <si>
    <t>CLM71419</t>
  </si>
  <si>
    <t>POL53114</t>
  </si>
  <si>
    <t>CLM71421</t>
  </si>
  <si>
    <t>CLM71422</t>
  </si>
  <si>
    <t>POL50477</t>
  </si>
  <si>
    <t>CLM71423</t>
  </si>
  <si>
    <t>POL53295</t>
  </si>
  <si>
    <t>CLM71424</t>
  </si>
  <si>
    <t>POL53238</t>
  </si>
  <si>
    <t>CLM71425</t>
  </si>
  <si>
    <t>POL51581</t>
  </si>
  <si>
    <t>CLM71427</t>
  </si>
  <si>
    <t>POL51293</t>
  </si>
  <si>
    <t>CLM71428</t>
  </si>
  <si>
    <t>CLM71429</t>
  </si>
  <si>
    <t>POL50682</t>
  </si>
  <si>
    <t>CLM71430</t>
  </si>
  <si>
    <t>POL53398</t>
  </si>
  <si>
    <t>CLM71431</t>
  </si>
  <si>
    <t>POL53069</t>
  </si>
  <si>
    <t>CLM71433</t>
  </si>
  <si>
    <t>POL51287</t>
  </si>
  <si>
    <t>CLM71435</t>
  </si>
  <si>
    <t>POL52062</t>
  </si>
  <si>
    <t>CLM71437</t>
  </si>
  <si>
    <t>POL50774</t>
  </si>
  <si>
    <t>CLM71438</t>
  </si>
  <si>
    <t>CLM71439</t>
  </si>
  <si>
    <t>POL53820</t>
  </si>
  <si>
    <t>CLM71440</t>
  </si>
  <si>
    <t>CLM71441</t>
  </si>
  <si>
    <t>POL52349</t>
  </si>
  <si>
    <t>CLM71442</t>
  </si>
  <si>
    <t>POL53320</t>
  </si>
  <si>
    <t>CLM71443</t>
  </si>
  <si>
    <t>POL52426</t>
  </si>
  <si>
    <t>CLM71444</t>
  </si>
  <si>
    <t>POL50445</t>
  </si>
  <si>
    <t>CLM71446</t>
  </si>
  <si>
    <t>CLM71448</t>
  </si>
  <si>
    <t>POL53530</t>
  </si>
  <si>
    <t>CLM71449</t>
  </si>
  <si>
    <t>POL52060</t>
  </si>
  <si>
    <t>CLM71450</t>
  </si>
  <si>
    <t>CLM71453</t>
  </si>
  <si>
    <t>POL51367</t>
  </si>
  <si>
    <t>CLM71454</t>
  </si>
  <si>
    <t>CLM71455</t>
  </si>
  <si>
    <t>POL50451</t>
  </si>
  <si>
    <t>CLM71456</t>
  </si>
  <si>
    <t>POL50539</t>
  </si>
  <si>
    <t>CLM71458</t>
  </si>
  <si>
    <t>CLM71459</t>
  </si>
  <si>
    <t>POL53135</t>
  </si>
  <si>
    <t>CLM71460</t>
  </si>
  <si>
    <t>POL51908</t>
  </si>
  <si>
    <t>CLM71462</t>
  </si>
  <si>
    <t>CLM71465</t>
  </si>
  <si>
    <t>POL50016</t>
  </si>
  <si>
    <t>CLM71467</t>
  </si>
  <si>
    <t>POL50184</t>
  </si>
  <si>
    <t>CLM71468</t>
  </si>
  <si>
    <t>POL50013</t>
  </si>
  <si>
    <t>CLM71470</t>
  </si>
  <si>
    <t>POL52918</t>
  </si>
  <si>
    <t>CLM71471</t>
  </si>
  <si>
    <t>CLM71473</t>
  </si>
  <si>
    <t>POL51997</t>
  </si>
  <si>
    <t>CLM71474</t>
  </si>
  <si>
    <t>POL50536</t>
  </si>
  <si>
    <t>CLM71476</t>
  </si>
  <si>
    <t>POL52224</t>
  </si>
  <si>
    <t>CLM71478</t>
  </si>
  <si>
    <t>POL50349</t>
  </si>
  <si>
    <t>CLM71481</t>
  </si>
  <si>
    <t>CLM71482</t>
  </si>
  <si>
    <t>POL51753</t>
  </si>
  <si>
    <t>CLM71485</t>
  </si>
  <si>
    <t>CLM71486</t>
  </si>
  <si>
    <t>POL51325</t>
  </si>
  <si>
    <t>CLM71488</t>
  </si>
  <si>
    <t>POL50591</t>
  </si>
  <si>
    <t>CLM71489</t>
  </si>
  <si>
    <t>CLM71491</t>
  </si>
  <si>
    <t>POL50057</t>
  </si>
  <si>
    <t>CLM71492</t>
  </si>
  <si>
    <t>POL51524</t>
  </si>
  <si>
    <t>CLM71494</t>
  </si>
  <si>
    <t>POL52049</t>
  </si>
  <si>
    <t>CLM71495</t>
  </si>
  <si>
    <t>POL53622</t>
  </si>
  <si>
    <t>CLM71496</t>
  </si>
  <si>
    <t>POL52063</t>
  </si>
  <si>
    <t>CLM71497</t>
  </si>
  <si>
    <t>CLM71499</t>
  </si>
  <si>
    <t>CLM71500</t>
  </si>
  <si>
    <t>CLM71501</t>
  </si>
  <si>
    <t>POL51905</t>
  </si>
  <si>
    <t>CLM71502</t>
  </si>
  <si>
    <t>POL51782</t>
  </si>
  <si>
    <t>CLM71504</t>
  </si>
  <si>
    <t>POL50561</t>
  </si>
  <si>
    <t>CLM71505</t>
  </si>
  <si>
    <t>POL51675</t>
  </si>
  <si>
    <t>CLM71506</t>
  </si>
  <si>
    <t>CLM71509</t>
  </si>
  <si>
    <t>CLM71510</t>
  </si>
  <si>
    <t>POL53175</t>
  </si>
  <si>
    <t>CLM71511</t>
  </si>
  <si>
    <t>POL52873</t>
  </si>
  <si>
    <t>CLM71512</t>
  </si>
  <si>
    <t>POL51595</t>
  </si>
  <si>
    <t>CLM71516</t>
  </si>
  <si>
    <t>POL53143</t>
  </si>
  <si>
    <t>CLM71517</t>
  </si>
  <si>
    <t>POL53925</t>
  </si>
  <si>
    <t>CLM71520</t>
  </si>
  <si>
    <t>POL51973</t>
  </si>
  <si>
    <t>CLM71521</t>
  </si>
  <si>
    <t>POL50610</t>
  </si>
  <si>
    <t>CLM71522</t>
  </si>
  <si>
    <t>POL52225</t>
  </si>
  <si>
    <t>CLM71523</t>
  </si>
  <si>
    <t>POL51712</t>
  </si>
  <si>
    <t>CLM71526</t>
  </si>
  <si>
    <t>POL52802</t>
  </si>
  <si>
    <t>CLM71527</t>
  </si>
  <si>
    <t>CLM71529</t>
  </si>
  <si>
    <t>POL50100</t>
  </si>
  <si>
    <t>CLM71530</t>
  </si>
  <si>
    <t>CLM71531</t>
  </si>
  <si>
    <t>POL51818</t>
  </si>
  <si>
    <t>CLM71532</t>
  </si>
  <si>
    <t>CLM71533</t>
  </si>
  <si>
    <t>POL51878</t>
  </si>
  <si>
    <t>CLM71536</t>
  </si>
  <si>
    <t>CLM71537</t>
  </si>
  <si>
    <t>POL53372</t>
  </si>
  <si>
    <t>CLM71539</t>
  </si>
  <si>
    <t>CLM71540</t>
  </si>
  <si>
    <t>POL51098</t>
  </si>
  <si>
    <t>CLM71541</t>
  </si>
  <si>
    <t>POL51642</t>
  </si>
  <si>
    <t>CLM71542</t>
  </si>
  <si>
    <t>POL53265</t>
  </si>
  <si>
    <t>CLM71543</t>
  </si>
  <si>
    <t>POL50717</t>
  </si>
  <si>
    <t>CLM71544</t>
  </si>
  <si>
    <t>CLM71545</t>
  </si>
  <si>
    <t>POL51215</t>
  </si>
  <si>
    <t>CLM71546</t>
  </si>
  <si>
    <t>POL52850</t>
  </si>
  <si>
    <t>CLM71547</t>
  </si>
  <si>
    <t>POL53934</t>
  </si>
  <si>
    <t>CLM71548</t>
  </si>
  <si>
    <t>POL50407</t>
  </si>
  <si>
    <t>CLM71549</t>
  </si>
  <si>
    <t>POL52321</t>
  </si>
  <si>
    <t>CLM71553</t>
  </si>
  <si>
    <t>POL53496</t>
  </si>
  <si>
    <t>CLM71554</t>
  </si>
  <si>
    <t>POL51785</t>
  </si>
  <si>
    <t>CLM71555</t>
  </si>
  <si>
    <t>POL51074</t>
  </si>
  <si>
    <t>CLM71556</t>
  </si>
  <si>
    <t>POL52732</t>
  </si>
  <si>
    <t>CLM71558</t>
  </si>
  <si>
    <t>CLM71560</t>
  </si>
  <si>
    <t>POL51017</t>
  </si>
  <si>
    <t>CLM71561</t>
  </si>
  <si>
    <t>POL52841</t>
  </si>
  <si>
    <t>CLM71563</t>
  </si>
  <si>
    <t>POL53297</t>
  </si>
  <si>
    <t>CLM71564</t>
  </si>
  <si>
    <t>CLM71565</t>
  </si>
  <si>
    <t>POL50680</t>
  </si>
  <si>
    <t>CLM71567</t>
  </si>
  <si>
    <t>POL50748</t>
  </si>
  <si>
    <t>CLM71568</t>
  </si>
  <si>
    <t>POL53726</t>
  </si>
  <si>
    <t>CLM71570</t>
  </si>
  <si>
    <t>POL50741</t>
  </si>
  <si>
    <t>CLM71571</t>
  </si>
  <si>
    <t>POL52209</t>
  </si>
  <si>
    <t>CLM71572</t>
  </si>
  <si>
    <t>POL51338</t>
  </si>
  <si>
    <t>CLM71573</t>
  </si>
  <si>
    <t>POL51765</t>
  </si>
  <si>
    <t>CLM71575</t>
  </si>
  <si>
    <t>POL50569</t>
  </si>
  <si>
    <t>CLM71577</t>
  </si>
  <si>
    <t>POL50483</t>
  </si>
  <si>
    <t>CLM71578</t>
  </si>
  <si>
    <t>POL50280</t>
  </si>
  <si>
    <t>CLM71579</t>
  </si>
  <si>
    <t>POL53110</t>
  </si>
  <si>
    <t>CLM71580</t>
  </si>
  <si>
    <t>POL52221</t>
  </si>
  <si>
    <t>CLM71581</t>
  </si>
  <si>
    <t>CLM71582</t>
  </si>
  <si>
    <t>POL53369</t>
  </si>
  <si>
    <t>CLM71583</t>
  </si>
  <si>
    <t>CLM71585</t>
  </si>
  <si>
    <t>CLM71586</t>
  </si>
  <si>
    <t>POL53033</t>
  </si>
  <si>
    <t>CLM71588</t>
  </si>
  <si>
    <t>CLM71589</t>
  </si>
  <si>
    <t>POL52293</t>
  </si>
  <si>
    <t>CLM71591</t>
  </si>
  <si>
    <t>POL50916</t>
  </si>
  <si>
    <t>CLM71593</t>
  </si>
  <si>
    <t>POL53071</t>
  </si>
  <si>
    <t>CLM71594</t>
  </si>
  <si>
    <t>POL50669</t>
  </si>
  <si>
    <t>CLM71595</t>
  </si>
  <si>
    <t>POL50078</t>
  </si>
  <si>
    <t>CLM71598</t>
  </si>
  <si>
    <t>POL52595</t>
  </si>
  <si>
    <t>CLM71599</t>
  </si>
  <si>
    <t>POL53482</t>
  </si>
  <si>
    <t>CLM71601</t>
  </si>
  <si>
    <t>POL53449</t>
  </si>
  <si>
    <t>CLM71602</t>
  </si>
  <si>
    <t>POL50041</t>
  </si>
  <si>
    <t>CLM71603</t>
  </si>
  <si>
    <t>POL53032</t>
  </si>
  <si>
    <t>CLM71604</t>
  </si>
  <si>
    <t>POL50979</t>
  </si>
  <si>
    <t>CLM71605</t>
  </si>
  <si>
    <t>POL51005</t>
  </si>
  <si>
    <t>CLM71606</t>
  </si>
  <si>
    <t>POL53711</t>
  </si>
  <si>
    <t>CLM71607</t>
  </si>
  <si>
    <t>CLM71609</t>
  </si>
  <si>
    <t>POL53929</t>
  </si>
  <si>
    <t>CLM71610</t>
  </si>
  <si>
    <t>POL51347</t>
  </si>
  <si>
    <t>CLM71611</t>
  </si>
  <si>
    <t>POL50670</t>
  </si>
  <si>
    <t>CLM71612</t>
  </si>
  <si>
    <t>POL53517</t>
  </si>
  <si>
    <t>CLM71613</t>
  </si>
  <si>
    <t>CLM71614</t>
  </si>
  <si>
    <t>POL51631</t>
  </si>
  <si>
    <t>CLM71615</t>
  </si>
  <si>
    <t>CLM71616</t>
  </si>
  <si>
    <t>CLM71618</t>
  </si>
  <si>
    <t>CLM71619</t>
  </si>
  <si>
    <t>POL51417</t>
  </si>
  <si>
    <t>CLM71621</t>
  </si>
  <si>
    <t>POL53195</t>
  </si>
  <si>
    <t>CLM71622</t>
  </si>
  <si>
    <t>CLM71623</t>
  </si>
  <si>
    <t>POL50959</t>
  </si>
  <si>
    <t>CLM71624</t>
  </si>
  <si>
    <t>POL53400</t>
  </si>
  <si>
    <t>CLM71625</t>
  </si>
  <si>
    <t>POL51151</t>
  </si>
  <si>
    <t>CLM71626</t>
  </si>
  <si>
    <t>CLM71627</t>
  </si>
  <si>
    <t>CLM71628</t>
  </si>
  <si>
    <t>CLM71630</t>
  </si>
  <si>
    <t>CLM71631</t>
  </si>
  <si>
    <t>POL53128</t>
  </si>
  <si>
    <t>CLM71632</t>
  </si>
  <si>
    <t>CLM71633</t>
  </si>
  <si>
    <t>POL51247</t>
  </si>
  <si>
    <t>CLM71634</t>
  </si>
  <si>
    <t>POL53331</t>
  </si>
  <si>
    <t>CLM71635</t>
  </si>
  <si>
    <t>POL50719</t>
  </si>
  <si>
    <t>CLM71636</t>
  </si>
  <si>
    <t>POL52280</t>
  </si>
  <si>
    <t>CLM71638</t>
  </si>
  <si>
    <t>POL53161</t>
  </si>
  <si>
    <t>CLM71640</t>
  </si>
  <si>
    <t>POL51011</t>
  </si>
  <si>
    <t>CLM71641</t>
  </si>
  <si>
    <t>CLM71642</t>
  </si>
  <si>
    <t>POL51515</t>
  </si>
  <si>
    <t>CLM71643</t>
  </si>
  <si>
    <t>POL51982</t>
  </si>
  <si>
    <t>CLM71644</t>
  </si>
  <si>
    <t>POL52951</t>
  </si>
  <si>
    <t>CLM71646</t>
  </si>
  <si>
    <t>POL50597</t>
  </si>
  <si>
    <t>CLM71647</t>
  </si>
  <si>
    <t>POL53299</t>
  </si>
  <si>
    <t>CLM71649</t>
  </si>
  <si>
    <t>POL53639</t>
  </si>
  <si>
    <t>CLM71650</t>
  </si>
  <si>
    <t>POL50282</t>
  </si>
  <si>
    <t>CLM71651</t>
  </si>
  <si>
    <t>POL50664</t>
  </si>
  <si>
    <t>CLM71652</t>
  </si>
  <si>
    <t>CLM71655</t>
  </si>
  <si>
    <t>POL51899</t>
  </si>
  <si>
    <t>CLM71657</t>
  </si>
  <si>
    <t>POL52476</t>
  </si>
  <si>
    <t>CLM71660</t>
  </si>
  <si>
    <t>POL51497</t>
  </si>
  <si>
    <t>CLM71661</t>
  </si>
  <si>
    <t>CLM71662</t>
  </si>
  <si>
    <t>POL53326</t>
  </si>
  <si>
    <t>CLM71663</t>
  </si>
  <si>
    <t>POL51816</t>
  </si>
  <si>
    <t>CLM71665</t>
  </si>
  <si>
    <t>POL53816</t>
  </si>
  <si>
    <t>CLM71666</t>
  </si>
  <si>
    <t>POL53580</t>
  </si>
  <si>
    <t>CLM71668</t>
  </si>
  <si>
    <t>POL50178</t>
  </si>
  <si>
    <t>CLM71670</t>
  </si>
  <si>
    <t>POL51126</t>
  </si>
  <si>
    <t>CLM71671</t>
  </si>
  <si>
    <t>POL52172</t>
  </si>
  <si>
    <t>CLM71672</t>
  </si>
  <si>
    <t>POL50154</t>
  </si>
  <si>
    <t>CLM71673</t>
  </si>
  <si>
    <t>CLM71674</t>
  </si>
  <si>
    <t>POL53917</t>
  </si>
  <si>
    <t>CLM71675</t>
  </si>
  <si>
    <t>POL53766</t>
  </si>
  <si>
    <t>CLM71676</t>
  </si>
  <si>
    <t>CLM71677</t>
  </si>
  <si>
    <t>CLM71678</t>
  </si>
  <si>
    <t>POL50960</t>
  </si>
  <si>
    <t>CLM71679</t>
  </si>
  <si>
    <t>POL51650</t>
  </si>
  <si>
    <t>CLM71681</t>
  </si>
  <si>
    <t>POL52754</t>
  </si>
  <si>
    <t>CLM71685</t>
  </si>
  <si>
    <t>POL53529</t>
  </si>
  <si>
    <t>CLM71686</t>
  </si>
  <si>
    <t>POL53576</t>
  </si>
  <si>
    <t>CLM71687</t>
  </si>
  <si>
    <t>POL52879</t>
  </si>
  <si>
    <t>CLM71688</t>
  </si>
  <si>
    <t>POL52322</t>
  </si>
  <si>
    <t>CLM71689</t>
  </si>
  <si>
    <t>CLM71692</t>
  </si>
  <si>
    <t>POL52995</t>
  </si>
  <si>
    <t>CLM71694</t>
  </si>
  <si>
    <t>POL51004</t>
  </si>
  <si>
    <t>CLM71695</t>
  </si>
  <si>
    <t>POL51178</t>
  </si>
  <si>
    <t>CLM71696</t>
  </si>
  <si>
    <t>CLM71699</t>
  </si>
  <si>
    <t>POL51422</t>
  </si>
  <si>
    <t>CLM71701</t>
  </si>
  <si>
    <t>POL52500</t>
  </si>
  <si>
    <t>CLM71704</t>
  </si>
  <si>
    <t>POL51157</t>
  </si>
  <si>
    <t>CLM71705</t>
  </si>
  <si>
    <t>CLM71706</t>
  </si>
  <si>
    <t>CLM71707</t>
  </si>
  <si>
    <t>CLM71709</t>
  </si>
  <si>
    <t>CLM71710</t>
  </si>
  <si>
    <t>CLM71711</t>
  </si>
  <si>
    <t>POL52484</t>
  </si>
  <si>
    <t>CLM71712</t>
  </si>
  <si>
    <t>POL53277</t>
  </si>
  <si>
    <t>CLM71713</t>
  </si>
  <si>
    <t>POL51561</t>
  </si>
  <si>
    <t>CLM71715</t>
  </si>
  <si>
    <t>POL51444</t>
  </si>
  <si>
    <t>CLM71717</t>
  </si>
  <si>
    <t>POL53955</t>
  </si>
  <si>
    <t>CLM71719</t>
  </si>
  <si>
    <t>CLM71720</t>
  </si>
  <si>
    <t>POL52150</t>
  </si>
  <si>
    <t>CLM71721</t>
  </si>
  <si>
    <t>CLM71722</t>
  </si>
  <si>
    <t>POL51570</t>
  </si>
  <si>
    <t>CLM71723</t>
  </si>
  <si>
    <t>CLM71724</t>
  </si>
  <si>
    <t>CLM71725</t>
  </si>
  <si>
    <t>POL53709</t>
  </si>
  <si>
    <t>CLM71726</t>
  </si>
  <si>
    <t>POL51591</t>
  </si>
  <si>
    <t>CLM71729</t>
  </si>
  <si>
    <t>CLM71732</t>
  </si>
  <si>
    <t>CLM71733</t>
  </si>
  <si>
    <t>POL51910</t>
  </si>
  <si>
    <t>CLM71734</t>
  </si>
  <si>
    <t>CLM71736</t>
  </si>
  <si>
    <t>POL51927</t>
  </si>
  <si>
    <t>CLM71738</t>
  </si>
  <si>
    <t>POL51906</t>
  </si>
  <si>
    <t>CLM71740</t>
  </si>
  <si>
    <t>POL52033</t>
  </si>
  <si>
    <t>CLM71741</t>
  </si>
  <si>
    <t>CLM71742</t>
  </si>
  <si>
    <t>POL51056</t>
  </si>
  <si>
    <t>CLM71743</t>
  </si>
  <si>
    <t>POL50897</t>
  </si>
  <si>
    <t>CLM71744</t>
  </si>
  <si>
    <t>POL52854</t>
  </si>
  <si>
    <t>CLM71745</t>
  </si>
  <si>
    <t>POL50845</t>
  </si>
  <si>
    <t>CLM71748</t>
  </si>
  <si>
    <t>CLM71749</t>
  </si>
  <si>
    <t>POL51049</t>
  </si>
  <si>
    <t>CLM71753</t>
  </si>
  <si>
    <t>POL51666</t>
  </si>
  <si>
    <t>CLM71754</t>
  </si>
  <si>
    <t>POL53048</t>
  </si>
  <si>
    <t>CLM71756</t>
  </si>
  <si>
    <t>POL53321</t>
  </si>
  <si>
    <t>CLM71757</t>
  </si>
  <si>
    <t>CLM71758</t>
  </si>
  <si>
    <t>POL52869</t>
  </si>
  <si>
    <t>CLM71760</t>
  </si>
  <si>
    <t>CLM71762</t>
  </si>
  <si>
    <t>POL52372</t>
  </si>
  <si>
    <t>CLM71763</t>
  </si>
  <si>
    <t>POL50961</t>
  </si>
  <si>
    <t>CLM71764</t>
  </si>
  <si>
    <t>POL53292</t>
  </si>
  <si>
    <t>CLM71765</t>
  </si>
  <si>
    <t>POL51921</t>
  </si>
  <si>
    <t>CLM71766</t>
  </si>
  <si>
    <t>CLM71767</t>
  </si>
  <si>
    <t>POL53798</t>
  </si>
  <si>
    <t>CLM71768</t>
  </si>
  <si>
    <t>POL52275</t>
  </si>
  <si>
    <t>CLM71769</t>
  </si>
  <si>
    <t>CLM71771</t>
  </si>
  <si>
    <t>POL53979</t>
  </si>
  <si>
    <t>CLM71772</t>
  </si>
  <si>
    <t>POL52592</t>
  </si>
  <si>
    <t>CLM71774</t>
  </si>
  <si>
    <t>POL50370</t>
  </si>
  <si>
    <t>CLM71776</t>
  </si>
  <si>
    <t>POL53371</t>
  </si>
  <si>
    <t>CLM71777</t>
  </si>
  <si>
    <t>POL52508</t>
  </si>
  <si>
    <t>CLM71778</t>
  </si>
  <si>
    <t>POL51388</t>
  </si>
  <si>
    <t>CLM71779</t>
  </si>
  <si>
    <t>CLM71780</t>
  </si>
  <si>
    <t>POL52266</t>
  </si>
  <si>
    <t>CLM71782</t>
  </si>
  <si>
    <t>POL53181</t>
  </si>
  <si>
    <t>CLM71784</t>
  </si>
  <si>
    <t>POL53584</t>
  </si>
  <si>
    <t>CLM71785</t>
  </si>
  <si>
    <t>CLM71787</t>
  </si>
  <si>
    <t>CLM71788</t>
  </si>
  <si>
    <t>POL53302</t>
  </si>
  <si>
    <t>CLM71789</t>
  </si>
  <si>
    <t>POL50697</t>
  </si>
  <si>
    <t>CLM71790</t>
  </si>
  <si>
    <t>POL52853</t>
  </si>
  <si>
    <t>CLM71791</t>
  </si>
  <si>
    <t>POL51584</t>
  </si>
  <si>
    <t>CLM71792</t>
  </si>
  <si>
    <t>CLM71793</t>
  </si>
  <si>
    <t>POL52713</t>
  </si>
  <si>
    <t>CLM71794</t>
  </si>
  <si>
    <t>CLM71795</t>
  </si>
  <si>
    <t>POL53392</t>
  </si>
  <si>
    <t>CLM71796</t>
  </si>
  <si>
    <t>POL52838</t>
  </si>
  <si>
    <t>CLM71798</t>
  </si>
  <si>
    <t>POL52812</t>
  </si>
  <si>
    <t>CLM71801</t>
  </si>
  <si>
    <t>POL51238</t>
  </si>
  <si>
    <t>CLM71802</t>
  </si>
  <si>
    <t>CLM71803</t>
  </si>
  <si>
    <t>CLM71804</t>
  </si>
  <si>
    <t>CLM71805</t>
  </si>
  <si>
    <t>CLM71806</t>
  </si>
  <si>
    <t>POL52641</t>
  </si>
  <si>
    <t>CLM71807</t>
  </si>
  <si>
    <t>POL50438</t>
  </si>
  <si>
    <t>CLM71810</t>
  </si>
  <si>
    <t>CLM71811</t>
  </si>
  <si>
    <t>CLM71812</t>
  </si>
  <si>
    <t>POL52384</t>
  </si>
  <si>
    <t>CLM71813</t>
  </si>
  <si>
    <t>POL52241</t>
  </si>
  <si>
    <t>CLM71814</t>
  </si>
  <si>
    <t>CLM71815</t>
  </si>
  <si>
    <t>POL50167</t>
  </si>
  <si>
    <t>CLM71816</t>
  </si>
  <si>
    <t>POL50264</t>
  </si>
  <si>
    <t>CLM71817</t>
  </si>
  <si>
    <t>POL50223</t>
  </si>
  <si>
    <t>CLM71818</t>
  </si>
  <si>
    <t>POL53617</t>
  </si>
  <si>
    <t>CLM71819</t>
  </si>
  <si>
    <t>POL51814</t>
  </si>
  <si>
    <t>CLM71820</t>
  </si>
  <si>
    <t>POL51241</t>
  </si>
  <si>
    <t>CLM71821</t>
  </si>
  <si>
    <t>POL50989</t>
  </si>
  <si>
    <t>CLM71822</t>
  </si>
  <si>
    <t>POL51857</t>
  </si>
  <si>
    <t>CLM71823</t>
  </si>
  <si>
    <t>POL52358</t>
  </si>
  <si>
    <t>CLM71824</t>
  </si>
  <si>
    <t>POL50439</t>
  </si>
  <si>
    <t>CLM71825</t>
  </si>
  <si>
    <t>CLM71826</t>
  </si>
  <si>
    <t>POL50474</t>
  </si>
  <si>
    <t>CLM71827</t>
  </si>
  <si>
    <t>POL52993</t>
  </si>
  <si>
    <t>CLM71828</t>
  </si>
  <si>
    <t>POL50599</t>
  </si>
  <si>
    <t>CLM71831</t>
  </si>
  <si>
    <t>POL50248</t>
  </si>
  <si>
    <t>CLM71832</t>
  </si>
  <si>
    <t>CLM71833</t>
  </si>
  <si>
    <t>CLM71839</t>
  </si>
  <si>
    <t>POL51578</t>
  </si>
  <si>
    <t>CLM71840</t>
  </si>
  <si>
    <t>POL50562</t>
  </si>
  <si>
    <t>CLM71841</t>
  </si>
  <si>
    <t>POL52409</t>
  </si>
  <si>
    <t>CLM71842</t>
  </si>
  <si>
    <t>POL51052</t>
  </si>
  <si>
    <t>CLM71843</t>
  </si>
  <si>
    <t>POL53904</t>
  </si>
  <si>
    <t>CLM71845</t>
  </si>
  <si>
    <t>CLM71846</t>
  </si>
  <si>
    <t>CLM71848</t>
  </si>
  <si>
    <t>CLM71851</t>
  </si>
  <si>
    <t>CLM71852</t>
  </si>
  <si>
    <t>POL51003</t>
  </si>
  <si>
    <t>CLM71853</t>
  </si>
  <si>
    <t>POL51128</t>
  </si>
  <si>
    <t>CLM71854</t>
  </si>
  <si>
    <t>POL50656</t>
  </si>
  <si>
    <t>CLM71856</t>
  </si>
  <si>
    <t>POL50485</t>
  </si>
  <si>
    <t>CLM71857</t>
  </si>
  <si>
    <t>CLM71858</t>
  </si>
  <si>
    <t>POL53119</t>
  </si>
  <si>
    <t>CLM71860</t>
  </si>
  <si>
    <t>POL50787</t>
  </si>
  <si>
    <t>CLM71861</t>
  </si>
  <si>
    <t>CLM71863</t>
  </si>
  <si>
    <t>POL50191</t>
  </si>
  <si>
    <t>CLM71865</t>
  </si>
  <si>
    <t>POL50583</t>
  </si>
  <si>
    <t>CLM71866</t>
  </si>
  <si>
    <t>POL51528</t>
  </si>
  <si>
    <t>CLM71868</t>
  </si>
  <si>
    <t>CLM71869</t>
  </si>
  <si>
    <t>POL52990</t>
  </si>
  <si>
    <t>CLM71871</t>
  </si>
  <si>
    <t>CLM71872</t>
  </si>
  <si>
    <t>POL51714</t>
  </si>
  <si>
    <t>CLM71873</t>
  </si>
  <si>
    <t>POL52633</t>
  </si>
  <si>
    <t>CLM71874</t>
  </si>
  <si>
    <t>POL50862</t>
  </si>
  <si>
    <t>CLM71875</t>
  </si>
  <si>
    <t>POL52945</t>
  </si>
  <si>
    <t>CLM71877</t>
  </si>
  <si>
    <t>CLM71878</t>
  </si>
  <si>
    <t>CLM71880</t>
  </si>
  <si>
    <t>POL53903</t>
  </si>
  <si>
    <t>CLM71881</t>
  </si>
  <si>
    <t>CLM71883</t>
  </si>
  <si>
    <t>POL51967</t>
  </si>
  <si>
    <t>CLM71884</t>
  </si>
  <si>
    <t>CLM71885</t>
  </si>
  <si>
    <t>CLM71886</t>
  </si>
  <si>
    <t>CLM71888</t>
  </si>
  <si>
    <t>POL53085</t>
  </si>
  <si>
    <t>CLM71889</t>
  </si>
  <si>
    <t>CLM71891</t>
  </si>
  <si>
    <t>POL53362</t>
  </si>
  <si>
    <t>CLM71892</t>
  </si>
  <si>
    <t>POL51255</t>
  </si>
  <si>
    <t>CLM71893</t>
  </si>
  <si>
    <t>CLM71894</t>
  </si>
  <si>
    <t>CLM71895</t>
  </si>
  <si>
    <t>POL52686</t>
  </si>
  <si>
    <t>CLM71896</t>
  </si>
  <si>
    <t>POL50537</t>
  </si>
  <si>
    <t>CLM71898</t>
  </si>
  <si>
    <t>POL52691</t>
  </si>
  <si>
    <t>CLM71899</t>
  </si>
  <si>
    <t>CLM71900</t>
  </si>
  <si>
    <t>POL51401</t>
  </si>
  <si>
    <t>CLM71901</t>
  </si>
  <si>
    <t>CLM71902</t>
  </si>
  <si>
    <t>POL53675</t>
  </si>
  <si>
    <t>CLM71903</t>
  </si>
  <si>
    <t>POL52191</t>
  </si>
  <si>
    <t>CLM71904</t>
  </si>
  <si>
    <t>POL53969</t>
  </si>
  <si>
    <t>CLM71905</t>
  </si>
  <si>
    <t>POL53819</t>
  </si>
  <si>
    <t>CLM71906</t>
  </si>
  <si>
    <t>POL53387</t>
  </si>
  <si>
    <t>CLM71908</t>
  </si>
  <si>
    <t>POL50773</t>
  </si>
  <si>
    <t>CLM71909</t>
  </si>
  <si>
    <t>POL53338</t>
  </si>
  <si>
    <t>CLM71910</t>
  </si>
  <si>
    <t>POL52564</t>
  </si>
  <si>
    <t>CLM71911</t>
  </si>
  <si>
    <t>POL53812</t>
  </si>
  <si>
    <t>CLM71912</t>
  </si>
  <si>
    <t>POL50180</t>
  </si>
  <si>
    <t>CLM71913</t>
  </si>
  <si>
    <t>POL52512</t>
  </si>
  <si>
    <t>CLM71915</t>
  </si>
  <si>
    <t>POL52969</t>
  </si>
  <si>
    <t>CLM71917</t>
  </si>
  <si>
    <t>POL52084</t>
  </si>
  <si>
    <t>CLM71918</t>
  </si>
  <si>
    <t>POL51071</t>
  </si>
  <si>
    <t>CLM71919</t>
  </si>
  <si>
    <t>POL52238</t>
  </si>
  <si>
    <t>CLM71920</t>
  </si>
  <si>
    <t>POL53653</t>
  </si>
  <si>
    <t>CLM71921</t>
  </si>
  <si>
    <t>CLM71925</t>
  </si>
  <si>
    <t>POL50732</t>
  </si>
  <si>
    <t>CLM71926</t>
  </si>
  <si>
    <t>CLM71927</t>
  </si>
  <si>
    <t>POL50506</t>
  </si>
  <si>
    <t>CLM71928</t>
  </si>
  <si>
    <t>POL53879</t>
  </si>
  <si>
    <t>CLM71931</t>
  </si>
  <si>
    <t>POL51840</t>
  </si>
  <si>
    <t>CLM71933</t>
  </si>
  <si>
    <t>CLM71934</t>
  </si>
  <si>
    <t>CLM71935</t>
  </si>
  <si>
    <t>CLM71936</t>
  </si>
  <si>
    <t>CLM71937</t>
  </si>
  <si>
    <t>POL53160</t>
  </si>
  <si>
    <t>CLM71938</t>
  </si>
  <si>
    <t>POL52614</t>
  </si>
  <si>
    <t>CLM71939</t>
  </si>
  <si>
    <t>POL51965</t>
  </si>
  <si>
    <t>CLM71940</t>
  </si>
  <si>
    <t>POL52698</t>
  </si>
  <si>
    <t>CLM71941</t>
  </si>
  <si>
    <t>POL50762</t>
  </si>
  <si>
    <t>CLM71942</t>
  </si>
  <si>
    <t>POL50463</t>
  </si>
  <si>
    <t>CLM71946</t>
  </si>
  <si>
    <t>CLM71947</t>
  </si>
  <si>
    <t>CLM71950</t>
  </si>
  <si>
    <t>POL52394</t>
  </si>
  <si>
    <t>CLM71951</t>
  </si>
  <si>
    <t>POL53922</t>
  </si>
  <si>
    <t>CLM71952</t>
  </si>
  <si>
    <t>CLM71953</t>
  </si>
  <si>
    <t>CLM71955</t>
  </si>
  <si>
    <t>CLM71956</t>
  </si>
  <si>
    <t>POL50699</t>
  </si>
  <si>
    <t>CLM71957</t>
  </si>
  <si>
    <t>POL50195</t>
  </si>
  <si>
    <t>CLM71959</t>
  </si>
  <si>
    <t>CLM71960</t>
  </si>
  <si>
    <t>CLM71961</t>
  </si>
  <si>
    <t>POL52637</t>
  </si>
  <si>
    <t>CLM71962</t>
  </si>
  <si>
    <t>POL52042</t>
  </si>
  <si>
    <t>CLM71965</t>
  </si>
  <si>
    <t>CLM71966</t>
  </si>
  <si>
    <t>CLM71969</t>
  </si>
  <si>
    <t>POL52017</t>
  </si>
  <si>
    <t>CLM71971</t>
  </si>
  <si>
    <t>POL51962</t>
  </si>
  <si>
    <t>CLM71973</t>
  </si>
  <si>
    <t>CLM71974</t>
  </si>
  <si>
    <t>POL53346</t>
  </si>
  <si>
    <t>CLM71975</t>
  </si>
  <si>
    <t>POL50675</t>
  </si>
  <si>
    <t>CLM71977</t>
  </si>
  <si>
    <t>POL51509</t>
  </si>
  <si>
    <t>CLM71978</t>
  </si>
  <si>
    <t>POL53405</t>
  </si>
  <si>
    <t>CLM71979</t>
  </si>
  <si>
    <t>POL50854</t>
  </si>
  <si>
    <t>CLM71981</t>
  </si>
  <si>
    <t>CLM71982</t>
  </si>
  <si>
    <t>POL50040</t>
  </si>
  <si>
    <t>CLM71984</t>
  </si>
  <si>
    <t>POL50090</t>
  </si>
  <si>
    <t>CLM71985</t>
  </si>
  <si>
    <t>POL53975</t>
  </si>
  <si>
    <t>CLM71986</t>
  </si>
  <si>
    <t>CLM71987</t>
  </si>
  <si>
    <t>CLM71988</t>
  </si>
  <si>
    <t>CLM71991</t>
  </si>
  <si>
    <t>POL50232</t>
  </si>
  <si>
    <t>CLM71994</t>
  </si>
  <si>
    <t>POL51511</t>
  </si>
  <si>
    <t>CLM71997</t>
  </si>
  <si>
    <t>POL51754</t>
  </si>
  <si>
    <t>CLM71998</t>
  </si>
  <si>
    <t>CLM71999</t>
  </si>
  <si>
    <t>POL53600</t>
  </si>
  <si>
    <t>Month</t>
  </si>
  <si>
    <t>Year</t>
  </si>
  <si>
    <t>Quarter</t>
  </si>
  <si>
    <t>Claim Amount Category</t>
  </si>
  <si>
    <t>Processing Speed</t>
  </si>
  <si>
    <t>Row Labels</t>
  </si>
  <si>
    <t>Grand Total</t>
  </si>
  <si>
    <t>Count of claim_id</t>
  </si>
  <si>
    <t>Claims by Status</t>
  </si>
  <si>
    <t>Sum of claim_amount</t>
  </si>
  <si>
    <t>October</t>
  </si>
  <si>
    <t>Q4</t>
  </si>
  <si>
    <t>Slow</t>
  </si>
  <si>
    <t>April</t>
  </si>
  <si>
    <t>Q2</t>
  </si>
  <si>
    <t>Fast</t>
  </si>
  <si>
    <t>November</t>
  </si>
  <si>
    <t>July</t>
  </si>
  <si>
    <t>Q3</t>
  </si>
  <si>
    <t>June</t>
  </si>
  <si>
    <t>August</t>
  </si>
  <si>
    <t>December</t>
  </si>
  <si>
    <t>September</t>
  </si>
  <si>
    <t>May</t>
  </si>
  <si>
    <t>January</t>
  </si>
  <si>
    <t>Q1</t>
  </si>
  <si>
    <t>February</t>
  </si>
  <si>
    <t>March</t>
  </si>
  <si>
    <t>Claim Amount by Claim type</t>
  </si>
  <si>
    <t>Monthly Claim Trend</t>
  </si>
  <si>
    <t>Year_Wise Claim</t>
  </si>
  <si>
    <r>
      <rPr>
        <b/>
        <sz val="11"/>
        <color theme="1"/>
        <rFont val="Calibri"/>
        <family val="2"/>
        <scheme val="minor"/>
      </rPr>
      <t>Quarterly</t>
    </r>
    <r>
      <rPr>
        <sz val="11"/>
        <color theme="1"/>
        <rFont val="Calibri"/>
        <family val="2"/>
        <scheme val="minor"/>
      </rPr>
      <t xml:space="preserve"> </t>
    </r>
    <r>
      <rPr>
        <b/>
        <sz val="11"/>
        <color theme="1"/>
        <rFont val="Calibri"/>
        <family val="2"/>
        <scheme val="minor"/>
      </rPr>
      <t>Claims</t>
    </r>
  </si>
  <si>
    <t>Fraud Analysis</t>
  </si>
  <si>
    <t>Average Processing Days</t>
  </si>
  <si>
    <t>Average of days_to_process</t>
  </si>
  <si>
    <t>Column Labels</t>
  </si>
  <si>
    <t>Status vs Claim</t>
  </si>
  <si>
    <t>Fraud vs Claim type</t>
  </si>
  <si>
    <t>Average of claim_amount</t>
  </si>
  <si>
    <t xml:space="preserve"> Average Claim Amount by Status</t>
  </si>
  <si>
    <t>Total Claim Amount by Year</t>
  </si>
  <si>
    <t>Month vs processing Speed</t>
  </si>
  <si>
    <t>Year vs Claim Status</t>
  </si>
  <si>
    <t>Claims Overview</t>
  </si>
  <si>
    <t>Fraud &amp; Operations</t>
  </si>
  <si>
    <t>Financial &amp; Trend Analysis</t>
  </si>
  <si>
    <t>Insurance Claims Pivot Table Analysis</t>
  </si>
  <si>
    <t xml:space="preserve">INSURANCE CLAIMS ANALYTICS DASHBOARD   </t>
  </si>
  <si>
    <t xml:space="preserve"> KEY BUSINESS INSIGHTS</t>
  </si>
  <si>
    <t>The insurance portfolio processed 1,406 claims during the analysis period. Claim volume and claim amounts increased steadily, reaching their highest levels in 2024. Theft claims generated the highest total claim amount, while August and Q3 experienced the greatest claim activity. The average processing time remained consistent at around 31 days across all claim types. Although approved claims formed the largest share of outcomes, the nearly equal distribution of fraud and non-fraud claims highlights the continued need for effective fraud detection and robust claim verification processes.</t>
  </si>
  <si>
    <t>Overall Claims Overview</t>
  </si>
  <si>
    <t>1. Total insurance claims processed: 1,406</t>
  </si>
  <si>
    <t>2. Claim approvals (504) are slightly higher than pending (454) and rejected (448) claims.</t>
  </si>
  <si>
    <t>3.The approval rate is 35.85%, indicating only about one-third of submitted claims are successfully approved.</t>
  </si>
  <si>
    <t>Claim Status Analysis</t>
  </si>
  <si>
    <t>1. Approved claims slightly exceed pending and rejected claims.</t>
  </si>
  <si>
    <t>2. Pending and rejected claims together account for nearly 64% of all claims, indicating opportunities to improve claim processing efficiency and approval rates.</t>
  </si>
  <si>
    <t>Claim Amount by Claim Type</t>
  </si>
  <si>
    <t>1. Theft claims contribute the highest claim amount.</t>
  </si>
  <si>
    <t>2. Hospital and Other claim categories contribute comparatively lower claim values.</t>
  </si>
  <si>
    <t>Year-wise Claim Trend</t>
  </si>
  <si>
    <t>1. Claims increased consistently from 2020 to 2024, reaching the highest volume in 2024 (540 claims).</t>
  </si>
  <si>
    <t>2. The lower number in 2025 likely reflects partial-year data.</t>
  </si>
  <si>
    <t>Quarterly Claim Distribution</t>
  </si>
  <si>
    <t>1. Q3 records the highest number of claims, indicating increased claim activity during July–September.</t>
  </si>
  <si>
    <t>2. Q1 has the lowest claim volume.</t>
  </si>
  <si>
    <t>1. Highest claim months: August – 146 claims, May – 125 claims, July – 122 claims</t>
  </si>
  <si>
    <t>2. Lowest claim month: March – 99 claims</t>
  </si>
  <si>
    <t>3. Claims generally increase during the middle of the year.</t>
  </si>
  <si>
    <t>4. August experiences the peak claim volume.</t>
  </si>
  <si>
    <t>1. Overall Average: 31.17 days</t>
  </si>
  <si>
    <t>2. Claims take approximately 31 days to process.</t>
  </si>
  <si>
    <t>3. Processing time is fairly consistent across all claim types, indicating standardized processing timelines.</t>
  </si>
  <si>
    <t>1. Pending claims have the highest average claim value.</t>
  </si>
  <si>
    <t>2. Rejected claims have the lowest average claim amount.</t>
  </si>
  <si>
    <t>3. Average claim amounts are relatively similar across statuses.</t>
  </si>
  <si>
    <t>1. Claim payouts increased significantly from 2020 to 2024.</t>
  </si>
  <si>
    <t>2. 2024 recorded the highest total claim amount (₹139.81 Million).</t>
  </si>
  <si>
    <t>3. 2025 appears incomplete, explaining the lower total.</t>
  </si>
  <si>
    <t>Claim Status by Claim Type</t>
  </si>
  <si>
    <t>1. Theft has the highest total claims (290).</t>
  </si>
  <si>
    <t>2. Accident follows with 287 claims.</t>
  </si>
  <si>
    <t>3. Hospital claims are the lowest (267).</t>
  </si>
  <si>
    <t>4. Claim volume is evenly distributed across claim types.</t>
  </si>
  <si>
    <t>5. Theft-related claims require closer monitoring because they generate both the highest number of claims and the highest total claim amount.</t>
  </si>
  <si>
    <t>1. Fraudulent and non-fraudulent claims are almost equally distributed.</t>
  </si>
  <si>
    <t>2. Approximately 49% of claims are flagged as fraud, suggesting fraud detection should remain a high operational priority.</t>
  </si>
  <si>
    <t>Fraud vs Claim Type</t>
  </si>
  <si>
    <t>1. Highest fraudulent claims: Death – 157, Accident – 140, Hospital – 131, Other – 131, Theft – 130</t>
  </si>
  <si>
    <t>2. Death claims have the highest number of fraudulent cases.</t>
  </si>
  <si>
    <t>3. Theft has the highest financial exposure overall, even though its fraud count is slightly lower than Death.</t>
  </si>
  <si>
    <t>Processing Speed Analysis</t>
  </si>
  <si>
    <t>1. Fast- 666</t>
  </si>
  <si>
    <t>2. Slow- 740</t>
  </si>
  <si>
    <t>3. More claims (740) are processed slowly than quickly (666).</t>
  </si>
  <si>
    <t>4. This suggests potential bottlenecks in the claim processing workflow.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</si>
</sst>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hh:mm:ss"/>
    <numFmt numFmtId="165" formatCode="&quot;₹&quot;0.00,,&quot;M&quot;"/>
    <numFmt numFmtId="166" formatCode="0.00\ &quot;Days&quot;"/>
    <numFmt numFmtId="167" formatCode="&quot;₹&quot;\ #,##0.00"/>
  </numFmts>
  <fonts count="10" x14ac:knownFonts="1">
    <font>
      <sz val="11"/>
      <color theme="1"/>
      <name val="Calibri"/>
      <family val="2"/>
      <scheme val="minor"/>
    </font>
    <font>
      <b/>
      <sz val="11"/>
      <name val="Calibri"/>
      <family val="2"/>
    </font>
    <font>
      <b/>
      <sz val="11"/>
      <color theme="1"/>
      <name val="Calibri"/>
      <family val="2"/>
      <scheme val="minor"/>
    </font>
    <font>
      <b/>
      <sz val="20"/>
      <color theme="1"/>
      <name val="Calibri"/>
      <family val="2"/>
      <scheme val="minor"/>
    </font>
    <font>
      <b/>
      <sz val="20"/>
      <color theme="3" tint="-0.499984740745262"/>
      <name val="Aptos"/>
      <family val="2"/>
    </font>
    <font>
      <b/>
      <sz val="18"/>
      <color theme="1"/>
      <name val="Calibri"/>
      <family val="2"/>
      <scheme val="minor"/>
    </font>
    <font>
      <b/>
      <sz val="26"/>
      <color theme="1"/>
      <name val="Calibri"/>
      <family val="2"/>
      <scheme val="minor"/>
    </font>
    <font>
      <sz val="12"/>
      <color theme="1"/>
      <name val="Calibri"/>
      <family val="2"/>
      <scheme val="minor"/>
    </font>
    <font>
      <sz val="14"/>
      <color theme="1"/>
      <name val="Calibri"/>
      <family val="2"/>
      <scheme val="minor"/>
    </font>
    <font>
      <b/>
      <sz val="16"/>
      <color theme="4" tint="-0.249977111117893"/>
      <name val="Calibri"/>
      <family val="2"/>
      <scheme val="minor"/>
    </font>
  </fonts>
  <fills count="9">
    <fill>
      <patternFill patternType="none"/>
    </fill>
    <fill>
      <patternFill patternType="gray125"/>
    </fill>
    <fill>
      <patternFill patternType="solid">
        <fgColor theme="3" tint="0.59999389629810485"/>
        <bgColor indexed="64"/>
      </patternFill>
    </fill>
    <fill>
      <patternFill patternType="solid">
        <fgColor theme="5" tint="0.39997558519241921"/>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8" tint="-0.249977111117893"/>
        <bgColor indexed="64"/>
      </patternFill>
    </fill>
    <fill>
      <patternFill patternType="solid">
        <fgColor theme="2" tint="-9.9978637043366805E-2"/>
        <bgColor indexed="64"/>
      </patternFill>
    </fill>
    <fill>
      <patternFill patternType="solid">
        <fgColor theme="3" tint="0.39997558519241921"/>
        <bgColor indexed="64"/>
      </patternFill>
    </fill>
  </fills>
  <borders count="25">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top style="medium">
        <color indexed="64"/>
      </top>
      <bottom style="medium">
        <color indexed="64"/>
      </bottom>
      <diagonal/>
    </border>
  </borders>
  <cellStyleXfs count="1">
    <xf numFmtId="0" fontId="0" fillId="0" borderId="0"/>
  </cellStyleXfs>
  <cellXfs count="70">
    <xf numFmtId="0" fontId="0" fillId="0" borderId="0" xfId="0"/>
    <xf numFmtId="14" fontId="0" fillId="0" borderId="0" xfId="0" applyNumberFormat="1"/>
    <xf numFmtId="0" fontId="0" fillId="0" borderId="0" xfId="0" applyAlignment="1">
      <alignment horizontal="right"/>
    </xf>
    <xf numFmtId="0" fontId="1" fillId="0" borderId="1" xfId="0" applyFont="1" applyBorder="1" applyAlignment="1">
      <alignment horizontal="center" vertical="top"/>
    </xf>
    <xf numFmtId="164" fontId="0" fillId="0" borderId="0" xfId="0" applyNumberFormat="1"/>
    <xf numFmtId="0" fontId="0" fillId="2" borderId="0" xfId="0" applyFill="1"/>
    <xf numFmtId="0" fontId="0" fillId="4" borderId="0" xfId="0" applyFill="1"/>
    <xf numFmtId="0" fontId="8" fillId="4" borderId="0" xfId="0" applyFont="1" applyFill="1"/>
    <xf numFmtId="165" fontId="0" fillId="0" borderId="0" xfId="0" applyNumberFormat="1"/>
    <xf numFmtId="1" fontId="0" fillId="0" borderId="0" xfId="0" applyNumberFormat="1"/>
    <xf numFmtId="166" fontId="0" fillId="0" borderId="0" xfId="0" applyNumberFormat="1"/>
    <xf numFmtId="10" fontId="0" fillId="0" borderId="0" xfId="0" applyNumberFormat="1"/>
    <xf numFmtId="0" fontId="0" fillId="7" borderId="0" xfId="0" applyFill="1"/>
    <xf numFmtId="0" fontId="0" fillId="7" borderId="16" xfId="0" applyFill="1" applyBorder="1"/>
    <xf numFmtId="0" fontId="0" fillId="7" borderId="17" xfId="0" applyFill="1" applyBorder="1"/>
    <xf numFmtId="0" fontId="0" fillId="7" borderId="18" xfId="0" applyFill="1" applyBorder="1"/>
    <xf numFmtId="0" fontId="0" fillId="7" borderId="19" xfId="0" applyFill="1" applyBorder="1" applyAlignment="1">
      <alignment horizontal="left"/>
    </xf>
    <xf numFmtId="0" fontId="0" fillId="7" borderId="23" xfId="0" applyFill="1" applyBorder="1" applyAlignment="1">
      <alignment horizontal="left"/>
    </xf>
    <xf numFmtId="0" fontId="0" fillId="7" borderId="20" xfId="0" applyFill="1" applyBorder="1" applyAlignment="1">
      <alignment horizontal="left"/>
    </xf>
    <xf numFmtId="0" fontId="0" fillId="7" borderId="18" xfId="0" applyFill="1" applyBorder="1" applyAlignment="1">
      <alignment horizontal="left"/>
    </xf>
    <xf numFmtId="0" fontId="0" fillId="7" borderId="21" xfId="0" applyFill="1" applyBorder="1"/>
    <xf numFmtId="0" fontId="0" fillId="7" borderId="24" xfId="0" applyFill="1" applyBorder="1"/>
    <xf numFmtId="0" fontId="0" fillId="7" borderId="22" xfId="0" applyFill="1" applyBorder="1"/>
    <xf numFmtId="2" fontId="0" fillId="7" borderId="19" xfId="0" applyNumberFormat="1" applyFill="1" applyBorder="1"/>
    <xf numFmtId="2" fontId="0" fillId="7" borderId="23" xfId="0" applyNumberFormat="1" applyFill="1" applyBorder="1"/>
    <xf numFmtId="2" fontId="0" fillId="7" borderId="20" xfId="0" applyNumberFormat="1" applyFill="1" applyBorder="1"/>
    <xf numFmtId="0" fontId="0" fillId="7" borderId="3" xfId="0" applyFill="1" applyBorder="1"/>
    <xf numFmtId="0" fontId="0" fillId="7" borderId="4" xfId="0" applyFill="1" applyBorder="1"/>
    <xf numFmtId="0" fontId="0" fillId="7" borderId="5" xfId="0" applyFill="1" applyBorder="1"/>
    <xf numFmtId="0" fontId="0" fillId="7" borderId="6" xfId="0" applyFill="1" applyBorder="1"/>
    <xf numFmtId="0" fontId="0" fillId="7" borderId="7" xfId="0" applyFill="1" applyBorder="1"/>
    <xf numFmtId="0" fontId="0" fillId="7" borderId="8" xfId="0" applyFill="1" applyBorder="1"/>
    <xf numFmtId="0" fontId="0" fillId="7" borderId="19" xfId="0" applyFill="1" applyBorder="1"/>
    <xf numFmtId="0" fontId="0" fillId="7" borderId="23" xfId="0" applyFill="1" applyBorder="1"/>
    <xf numFmtId="0" fontId="0" fillId="7" borderId="20" xfId="0" applyFill="1" applyBorder="1"/>
    <xf numFmtId="167" fontId="0" fillId="0" borderId="0" xfId="0" applyNumberFormat="1"/>
    <xf numFmtId="0" fontId="2" fillId="7" borderId="3" xfId="0" applyFont="1" applyFill="1" applyBorder="1" applyAlignment="1">
      <alignment horizontal="center"/>
    </xf>
    <xf numFmtId="0" fontId="0" fillId="7" borderId="4" xfId="0" applyFill="1" applyBorder="1" applyAlignment="1">
      <alignment horizontal="center"/>
    </xf>
    <xf numFmtId="0" fontId="0" fillId="7" borderId="5" xfId="0" applyFill="1" applyBorder="1" applyAlignment="1">
      <alignment horizontal="center"/>
    </xf>
    <xf numFmtId="0" fontId="3" fillId="8" borderId="3" xfId="0" applyFont="1" applyFill="1" applyBorder="1" applyAlignment="1">
      <alignment horizontal="center"/>
    </xf>
    <xf numFmtId="0" fontId="0" fillId="8" borderId="4" xfId="0" applyFill="1" applyBorder="1" applyAlignment="1">
      <alignment horizontal="center"/>
    </xf>
    <xf numFmtId="0" fontId="0" fillId="8" borderId="5" xfId="0" applyFill="1" applyBorder="1" applyAlignment="1">
      <alignment horizontal="center"/>
    </xf>
    <xf numFmtId="0" fontId="0" fillId="8" borderId="6" xfId="0" applyFill="1" applyBorder="1" applyAlignment="1">
      <alignment horizontal="center"/>
    </xf>
    <xf numFmtId="0" fontId="0" fillId="8" borderId="7" xfId="0" applyFill="1" applyBorder="1" applyAlignment="1">
      <alignment horizontal="center"/>
    </xf>
    <xf numFmtId="0" fontId="0" fillId="8" borderId="8" xfId="0" applyFill="1" applyBorder="1" applyAlignment="1">
      <alignment horizontal="center"/>
    </xf>
    <xf numFmtId="0" fontId="0" fillId="7" borderId="3" xfId="0" applyFill="1" applyBorder="1" applyAlignment="1">
      <alignment horizontal="center"/>
    </xf>
    <xf numFmtId="0" fontId="5" fillId="2" borderId="2" xfId="0" applyFont="1" applyFill="1" applyBorder="1" applyAlignment="1">
      <alignment horizontal="center"/>
    </xf>
    <xf numFmtId="0" fontId="0" fillId="2" borderId="2" xfId="0" applyFill="1" applyBorder="1" applyAlignment="1">
      <alignment horizontal="center"/>
    </xf>
    <xf numFmtId="0" fontId="4" fillId="6" borderId="3" xfId="0" applyFont="1" applyFill="1" applyBorder="1" applyAlignment="1">
      <alignment horizontal="center"/>
    </xf>
    <xf numFmtId="0" fontId="0" fillId="6" borderId="4" xfId="0" applyFill="1" applyBorder="1" applyAlignment="1">
      <alignment horizontal="center"/>
    </xf>
    <xf numFmtId="0" fontId="0" fillId="6" borderId="5" xfId="0" applyFill="1" applyBorder="1" applyAlignment="1">
      <alignment horizontal="center"/>
    </xf>
    <xf numFmtId="0" fontId="0" fillId="6" borderId="6" xfId="0" applyFill="1" applyBorder="1" applyAlignment="1">
      <alignment horizontal="center"/>
    </xf>
    <xf numFmtId="0" fontId="0" fillId="6" borderId="7" xfId="0" applyFill="1" applyBorder="1" applyAlignment="1">
      <alignment horizontal="center"/>
    </xf>
    <xf numFmtId="0" fontId="0" fillId="6" borderId="8" xfId="0" applyFill="1" applyBorder="1" applyAlignment="1">
      <alignment horizontal="center"/>
    </xf>
    <xf numFmtId="0" fontId="9" fillId="4" borderId="7" xfId="0" applyFont="1" applyFill="1" applyBorder="1" applyAlignment="1">
      <alignment horizontal="center"/>
    </xf>
    <xf numFmtId="0" fontId="0" fillId="4" borderId="7" xfId="0" applyFill="1" applyBorder="1" applyAlignment="1">
      <alignment horizontal="center"/>
    </xf>
    <xf numFmtId="0" fontId="8" fillId="4" borderId="0" xfId="0" applyFont="1" applyFill="1" applyAlignment="1">
      <alignment horizontal="left"/>
    </xf>
    <xf numFmtId="0" fontId="8" fillId="4" borderId="0" xfId="0" applyFont="1" applyFill="1" applyAlignment="1">
      <alignment horizontal="center"/>
    </xf>
    <xf numFmtId="0" fontId="0" fillId="4" borderId="0" xfId="0" applyFill="1" applyAlignment="1">
      <alignment horizontal="left"/>
    </xf>
    <xf numFmtId="0" fontId="6" fillId="3" borderId="0" xfId="0" applyFont="1" applyFill="1" applyAlignment="1">
      <alignment horizontal="center"/>
    </xf>
    <xf numFmtId="0" fontId="0" fillId="3" borderId="0" xfId="0" applyFill="1" applyAlignment="1">
      <alignment horizontal="center"/>
    </xf>
    <xf numFmtId="0" fontId="7" fillId="5" borderId="9" xfId="0" applyFont="1" applyFill="1" applyBorder="1" applyAlignment="1">
      <alignment horizontal="center" vertical="center" wrapText="1"/>
    </xf>
    <xf numFmtId="0" fontId="0" fillId="5" borderId="10" xfId="0" applyFill="1" applyBorder="1" applyAlignment="1">
      <alignment horizontal="center" vertical="center" wrapText="1"/>
    </xf>
    <xf numFmtId="0" fontId="0" fillId="5" borderId="11" xfId="0" applyFill="1" applyBorder="1" applyAlignment="1">
      <alignment horizontal="center" vertical="center" wrapText="1"/>
    </xf>
    <xf numFmtId="0" fontId="0" fillId="5" borderId="12" xfId="0" applyFill="1" applyBorder="1" applyAlignment="1">
      <alignment horizontal="center" vertical="center" wrapText="1"/>
    </xf>
    <xf numFmtId="0" fontId="0" fillId="5" borderId="0" xfId="0" applyFill="1" applyAlignment="1">
      <alignment horizontal="center" vertical="center" wrapText="1"/>
    </xf>
    <xf numFmtId="0" fontId="0" fillId="5" borderId="13" xfId="0" applyFill="1" applyBorder="1" applyAlignment="1">
      <alignment horizontal="center" vertical="center" wrapText="1"/>
    </xf>
    <xf numFmtId="0" fontId="0" fillId="5" borderId="14" xfId="0" applyFill="1" applyBorder="1" applyAlignment="1">
      <alignment horizontal="center" vertical="center" wrapText="1"/>
    </xf>
    <xf numFmtId="0" fontId="0" fillId="5" borderId="2" xfId="0" applyFill="1" applyBorder="1" applyAlignment="1">
      <alignment horizontal="center" vertical="center" wrapText="1"/>
    </xf>
    <xf numFmtId="0" fontId="0" fillId="5" borderId="15" xfId="0" applyFill="1" applyBorder="1" applyAlignment="1">
      <alignment horizontal="center" vertical="center" wrapText="1"/>
    </xf>
  </cellXfs>
  <cellStyles count="1">
    <cellStyle name="Normal" xfId="0" builtinId="0"/>
  </cellStyles>
  <dxfs count="210">
    <dxf>
      <fill>
        <patternFill>
          <bgColor rgb="FFFFC7CE"/>
        </patternFill>
      </fill>
    </dxf>
    <dxf>
      <font>
        <color rgb="FF006100"/>
      </font>
      <fill>
        <patternFill>
          <bgColor rgb="FFC6EFCE"/>
        </patternFill>
      </fill>
    </dxf>
    <dxf>
      <font>
        <color theme="8" tint="0.59996337778862885"/>
      </font>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167" formatCode="&quot;₹&quot;\ #,##0.00"/>
    </dxf>
    <dxf>
      <numFmt numFmtId="19" formatCode="dd/mm/yyyy"/>
    </dxf>
    <dxf>
      <numFmt numFmtId="0" formatCode="General"/>
      <alignment horizontal="right" vertical="bottom" textRotation="0" wrapText="0" indent="0" justifyLastLine="0" shrinkToFit="0" readingOrder="0"/>
    </dxf>
    <dxf>
      <numFmt numFmtId="0" formatCode="General"/>
    </dxf>
  </dxfs>
  <tableStyles count="0" defaultTableStyle="TableStyleMedium2" defaultPivotStyle="PivotStyleLight16"/>
  <colors>
    <mruColors>
      <color rgb="FFFF5050"/>
      <color rgb="FFCA94B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[Claimhistory_cleaned (1).xlsx]PivotTable Analysis!PivotTable2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Claims by Status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 Analysis'!$C$9</c:f>
              <c:strCache>
                <c:ptCount val="1"/>
                <c:pt idx="0">
                  <c:v>Total</c:v>
                </c:pt>
              </c:strCache>
            </c:strRef>
          </c:tx>
          <c:spPr>
            <a:solidFill>
              <a:schemeClr val="accent1"/>
            </a:solidFill>
            <a:ln>
              <a:noFill/>
            </a:ln>
            <a:effectLst/>
          </c:spPr>
          <c:invertIfNegative val="0"/>
          <c:cat>
            <c:strRef>
              <c:f>'PivotTable Analysis'!$B$10:$B$13</c:f>
              <c:strCache>
                <c:ptCount val="3"/>
                <c:pt idx="0">
                  <c:v>Approved</c:v>
                </c:pt>
                <c:pt idx="1">
                  <c:v>Pending</c:v>
                </c:pt>
                <c:pt idx="2">
                  <c:v>Rejected</c:v>
                </c:pt>
              </c:strCache>
            </c:strRef>
          </c:cat>
          <c:val>
            <c:numRef>
              <c:f>'PivotTable Analysis'!$C$10:$C$13</c:f>
              <c:numCache>
                <c:formatCode>General</c:formatCode>
                <c:ptCount val="3"/>
                <c:pt idx="0">
                  <c:v>504</c:v>
                </c:pt>
                <c:pt idx="1">
                  <c:v>454</c:v>
                </c:pt>
                <c:pt idx="2">
                  <c:v>448</c:v>
                </c:pt>
              </c:numCache>
            </c:numRef>
          </c:val>
          <c:extLst>
            <c:ext xmlns:c16="http://schemas.microsoft.com/office/drawing/2014/chart" uri="{C3380CC4-5D6E-409C-BE32-E72D297353CC}">
              <c16:uniqueId val="{00000000-8E71-424A-9266-4C054C307911}"/>
            </c:ext>
          </c:extLst>
        </c:ser>
        <c:dLbls>
          <c:showLegendKey val="0"/>
          <c:showVal val="0"/>
          <c:showCatName val="0"/>
          <c:showSerName val="0"/>
          <c:showPercent val="0"/>
          <c:showBubbleSize val="0"/>
        </c:dLbls>
        <c:gapWidth val="219"/>
        <c:overlap val="-27"/>
        <c:axId val="2107989536"/>
        <c:axId val="2107990016"/>
      </c:barChart>
      <c:catAx>
        <c:axId val="210798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990016"/>
        <c:crosses val="autoZero"/>
        <c:auto val="1"/>
        <c:lblAlgn val="ctr"/>
        <c:lblOffset val="100"/>
        <c:noMultiLvlLbl val="0"/>
      </c:catAx>
      <c:valAx>
        <c:axId val="21079900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989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[Claimhistory_cleaned (1).xlsx]PivotTable Analysis!PivotTable4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Monthly Claim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 Analysis'!$L$9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 Analysis'!$K$10:$K$22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'PivotTable Analysis'!$L$10:$L$22</c:f>
              <c:numCache>
                <c:formatCode>General</c:formatCode>
                <c:ptCount val="12"/>
                <c:pt idx="0">
                  <c:v>106</c:v>
                </c:pt>
                <c:pt idx="1">
                  <c:v>115</c:v>
                </c:pt>
                <c:pt idx="2">
                  <c:v>99</c:v>
                </c:pt>
                <c:pt idx="3">
                  <c:v>105</c:v>
                </c:pt>
                <c:pt idx="4">
                  <c:v>125</c:v>
                </c:pt>
                <c:pt idx="5">
                  <c:v>119</c:v>
                </c:pt>
                <c:pt idx="6">
                  <c:v>122</c:v>
                </c:pt>
                <c:pt idx="7">
                  <c:v>146</c:v>
                </c:pt>
                <c:pt idx="8">
                  <c:v>119</c:v>
                </c:pt>
                <c:pt idx="9">
                  <c:v>117</c:v>
                </c:pt>
                <c:pt idx="10">
                  <c:v>117</c:v>
                </c:pt>
                <c:pt idx="11">
                  <c:v>116</c:v>
                </c:pt>
              </c:numCache>
            </c:numRef>
          </c:val>
          <c:smooth val="0"/>
          <c:extLst>
            <c:ext xmlns:c16="http://schemas.microsoft.com/office/drawing/2014/chart" uri="{C3380CC4-5D6E-409C-BE32-E72D297353CC}">
              <c16:uniqueId val="{00000000-D6B5-44A4-94EE-900135CDCAF7}"/>
            </c:ext>
          </c:extLst>
        </c:ser>
        <c:dLbls>
          <c:showLegendKey val="0"/>
          <c:showVal val="0"/>
          <c:showCatName val="0"/>
          <c:showSerName val="0"/>
          <c:showPercent val="0"/>
          <c:showBubbleSize val="0"/>
        </c:dLbls>
        <c:marker val="1"/>
        <c:smooth val="0"/>
        <c:axId val="798556656"/>
        <c:axId val="798560016"/>
      </c:lineChart>
      <c:catAx>
        <c:axId val="798556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560016"/>
        <c:crosses val="autoZero"/>
        <c:auto val="1"/>
        <c:lblAlgn val="ctr"/>
        <c:lblOffset val="100"/>
        <c:noMultiLvlLbl val="0"/>
      </c:catAx>
      <c:valAx>
        <c:axId val="7985600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556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[Claimhistory_cleaned (1).xlsx]PivotTable Analysis!PivotTable3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Claim Amount by Claim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 Analysis'!$G$9</c:f>
              <c:strCache>
                <c:ptCount val="1"/>
                <c:pt idx="0">
                  <c:v>Total</c:v>
                </c:pt>
              </c:strCache>
            </c:strRef>
          </c:tx>
          <c:spPr>
            <a:solidFill>
              <a:schemeClr val="accent1"/>
            </a:solidFill>
            <a:ln>
              <a:noFill/>
            </a:ln>
            <a:effectLst/>
          </c:spPr>
          <c:invertIfNegative val="0"/>
          <c:cat>
            <c:strRef>
              <c:f>'PivotTable Analysis'!$F$10:$F$15</c:f>
              <c:strCache>
                <c:ptCount val="5"/>
                <c:pt idx="0">
                  <c:v>Accident</c:v>
                </c:pt>
                <c:pt idx="1">
                  <c:v>Death</c:v>
                </c:pt>
                <c:pt idx="2">
                  <c:v>Hospital</c:v>
                </c:pt>
                <c:pt idx="3">
                  <c:v>Other</c:v>
                </c:pt>
                <c:pt idx="4">
                  <c:v>Theft</c:v>
                </c:pt>
              </c:strCache>
            </c:strRef>
          </c:cat>
          <c:val>
            <c:numRef>
              <c:f>'PivotTable Analysis'!$G$10:$G$15</c:f>
              <c:numCache>
                <c:formatCode>General</c:formatCode>
                <c:ptCount val="5"/>
                <c:pt idx="0">
                  <c:v>71004172.029999971</c:v>
                </c:pt>
                <c:pt idx="1">
                  <c:v>73819295.030000016</c:v>
                </c:pt>
                <c:pt idx="2">
                  <c:v>67837287.929999992</c:v>
                </c:pt>
                <c:pt idx="3">
                  <c:v>67671430.840000018</c:v>
                </c:pt>
                <c:pt idx="4">
                  <c:v>75290811.920000032</c:v>
                </c:pt>
              </c:numCache>
            </c:numRef>
          </c:val>
          <c:extLst>
            <c:ext xmlns:c16="http://schemas.microsoft.com/office/drawing/2014/chart" uri="{C3380CC4-5D6E-409C-BE32-E72D297353CC}">
              <c16:uniqueId val="{00000000-F81E-49FB-BF7E-54547D3EE468}"/>
            </c:ext>
          </c:extLst>
        </c:ser>
        <c:dLbls>
          <c:showLegendKey val="0"/>
          <c:showVal val="0"/>
          <c:showCatName val="0"/>
          <c:showSerName val="0"/>
          <c:showPercent val="0"/>
          <c:showBubbleSize val="0"/>
        </c:dLbls>
        <c:gapWidth val="182"/>
        <c:axId val="798565296"/>
        <c:axId val="798564816"/>
      </c:barChart>
      <c:catAx>
        <c:axId val="798565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564816"/>
        <c:crosses val="autoZero"/>
        <c:auto val="1"/>
        <c:lblAlgn val="ctr"/>
        <c:lblOffset val="100"/>
        <c:noMultiLvlLbl val="0"/>
      </c:catAx>
      <c:valAx>
        <c:axId val="7985648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565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[Claimhistory_cleaned (1).xlsx]PivotTable Analysis!PivotTable7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Fraud Analysis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s>
    <c:plotArea>
      <c:layout/>
      <c:pieChart>
        <c:varyColors val="1"/>
        <c:ser>
          <c:idx val="0"/>
          <c:order val="0"/>
          <c:tx>
            <c:strRef>
              <c:f>'PivotTable Analysis'!$L$29</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3877-482B-BEB8-5020AAE1E9FB}"/>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3877-482B-BEB8-5020AAE1E9F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 Analysis'!$K$30:$K$32</c:f>
              <c:strCache>
                <c:ptCount val="2"/>
                <c:pt idx="0">
                  <c:v>No</c:v>
                </c:pt>
                <c:pt idx="1">
                  <c:v>Yes</c:v>
                </c:pt>
              </c:strCache>
            </c:strRef>
          </c:cat>
          <c:val>
            <c:numRef>
              <c:f>'PivotTable Analysis'!$L$30:$L$32</c:f>
              <c:numCache>
                <c:formatCode>General</c:formatCode>
                <c:ptCount val="2"/>
                <c:pt idx="0">
                  <c:v>717</c:v>
                </c:pt>
                <c:pt idx="1">
                  <c:v>689</c:v>
                </c:pt>
              </c:numCache>
            </c:numRef>
          </c:val>
          <c:extLst>
            <c:ext xmlns:c16="http://schemas.microsoft.com/office/drawing/2014/chart" uri="{C3380CC4-5D6E-409C-BE32-E72D297353CC}">
              <c16:uniqueId val="{00000004-3877-482B-BEB8-5020AAE1E9F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[Claimhistory_cleaned (1).xlsx]PivotTable Analysis!PivotTable8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Average Processing Days by Claim Type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'PivotTable Analysis'!$C$42</c:f>
              <c:strCache>
                <c:ptCount val="1"/>
                <c:pt idx="0">
                  <c:v>Total</c:v>
                </c:pt>
              </c:strCache>
            </c:strRef>
          </c:tx>
          <c:spPr>
            <a:solidFill>
              <a:schemeClr val="accent2"/>
            </a:solidFill>
            <a:ln>
              <a:noFill/>
            </a:ln>
            <a:effectLst/>
          </c:spPr>
          <c:invertIfNegative val="0"/>
          <c:cat>
            <c:strRef>
              <c:f>'PivotTable Analysis'!$B$43:$B$48</c:f>
              <c:strCache>
                <c:ptCount val="5"/>
                <c:pt idx="0">
                  <c:v>Accident</c:v>
                </c:pt>
                <c:pt idx="1">
                  <c:v>Death</c:v>
                </c:pt>
                <c:pt idx="2">
                  <c:v>Hospital</c:v>
                </c:pt>
                <c:pt idx="3">
                  <c:v>Other</c:v>
                </c:pt>
                <c:pt idx="4">
                  <c:v>Theft</c:v>
                </c:pt>
              </c:strCache>
            </c:strRef>
          </c:cat>
          <c:val>
            <c:numRef>
              <c:f>'PivotTable Analysis'!$C$43:$C$48</c:f>
              <c:numCache>
                <c:formatCode>0.00</c:formatCode>
                <c:ptCount val="5"/>
                <c:pt idx="0">
                  <c:v>31.759581881533101</c:v>
                </c:pt>
                <c:pt idx="1">
                  <c:v>30.740350877192981</c:v>
                </c:pt>
                <c:pt idx="2">
                  <c:v>30.310861423220974</c:v>
                </c:pt>
                <c:pt idx="3">
                  <c:v>31.433212996389891</c:v>
                </c:pt>
                <c:pt idx="4">
                  <c:v>31.558620689655172</c:v>
                </c:pt>
              </c:numCache>
            </c:numRef>
          </c:val>
          <c:extLst>
            <c:ext xmlns:c16="http://schemas.microsoft.com/office/drawing/2014/chart" uri="{C3380CC4-5D6E-409C-BE32-E72D297353CC}">
              <c16:uniqueId val="{00000000-2391-41DD-8256-59483643E87D}"/>
            </c:ext>
          </c:extLst>
        </c:ser>
        <c:dLbls>
          <c:showLegendKey val="0"/>
          <c:showVal val="0"/>
          <c:showCatName val="0"/>
          <c:showSerName val="0"/>
          <c:showPercent val="0"/>
          <c:showBubbleSize val="0"/>
        </c:dLbls>
        <c:gapWidth val="150"/>
        <c:overlap val="100"/>
        <c:axId val="1608257328"/>
        <c:axId val="1608245328"/>
      </c:barChart>
      <c:catAx>
        <c:axId val="1608257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8245328"/>
        <c:crosses val="autoZero"/>
        <c:auto val="1"/>
        <c:lblAlgn val="ctr"/>
        <c:lblOffset val="100"/>
        <c:noMultiLvlLbl val="0"/>
      </c:catAx>
      <c:valAx>
        <c:axId val="160824532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8257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[Claimhistory_cleaned (1).xlsx]PivotTable Analysis!PivotTable9</c:name>
    <c:fmtId val="3"/>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 Analysis'!$G$42:$G$43</c:f>
              <c:strCache>
                <c:ptCount val="1"/>
                <c:pt idx="0">
                  <c:v>Approved</c:v>
                </c:pt>
              </c:strCache>
            </c:strRef>
          </c:tx>
          <c:spPr>
            <a:solidFill>
              <a:schemeClr val="accent2"/>
            </a:solidFill>
            <a:ln>
              <a:noFill/>
            </a:ln>
            <a:effectLst/>
          </c:spPr>
          <c:invertIfNegative val="0"/>
          <c:cat>
            <c:strRef>
              <c:f>'PivotTable Analysis'!$F$44:$F$49</c:f>
              <c:strCache>
                <c:ptCount val="5"/>
                <c:pt idx="0">
                  <c:v>Accident</c:v>
                </c:pt>
                <c:pt idx="1">
                  <c:v>Death</c:v>
                </c:pt>
                <c:pt idx="2">
                  <c:v>Hospital</c:v>
                </c:pt>
                <c:pt idx="3">
                  <c:v>Other</c:v>
                </c:pt>
                <c:pt idx="4">
                  <c:v>Theft</c:v>
                </c:pt>
              </c:strCache>
            </c:strRef>
          </c:cat>
          <c:val>
            <c:numRef>
              <c:f>'PivotTable Analysis'!$G$44:$G$49</c:f>
              <c:numCache>
                <c:formatCode>General</c:formatCode>
                <c:ptCount val="5"/>
                <c:pt idx="0">
                  <c:v>111</c:v>
                </c:pt>
                <c:pt idx="1">
                  <c:v>105</c:v>
                </c:pt>
                <c:pt idx="2">
                  <c:v>94</c:v>
                </c:pt>
                <c:pt idx="3">
                  <c:v>91</c:v>
                </c:pt>
                <c:pt idx="4">
                  <c:v>103</c:v>
                </c:pt>
              </c:numCache>
            </c:numRef>
          </c:val>
          <c:extLst>
            <c:ext xmlns:c16="http://schemas.microsoft.com/office/drawing/2014/chart" uri="{C3380CC4-5D6E-409C-BE32-E72D297353CC}">
              <c16:uniqueId val="{00000000-DF06-40D8-88EE-D63F747B162A}"/>
            </c:ext>
          </c:extLst>
        </c:ser>
        <c:ser>
          <c:idx val="1"/>
          <c:order val="1"/>
          <c:tx>
            <c:strRef>
              <c:f>'PivotTable Analysis'!$H$42:$H$43</c:f>
              <c:strCache>
                <c:ptCount val="1"/>
                <c:pt idx="0">
                  <c:v>Pending</c:v>
                </c:pt>
              </c:strCache>
            </c:strRef>
          </c:tx>
          <c:spPr>
            <a:solidFill>
              <a:schemeClr val="accent4"/>
            </a:solidFill>
            <a:ln>
              <a:noFill/>
            </a:ln>
            <a:effectLst/>
          </c:spPr>
          <c:invertIfNegative val="0"/>
          <c:cat>
            <c:strRef>
              <c:f>'PivotTable Analysis'!$F$44:$F$49</c:f>
              <c:strCache>
                <c:ptCount val="5"/>
                <c:pt idx="0">
                  <c:v>Accident</c:v>
                </c:pt>
                <c:pt idx="1">
                  <c:v>Death</c:v>
                </c:pt>
                <c:pt idx="2">
                  <c:v>Hospital</c:v>
                </c:pt>
                <c:pt idx="3">
                  <c:v>Other</c:v>
                </c:pt>
                <c:pt idx="4">
                  <c:v>Theft</c:v>
                </c:pt>
              </c:strCache>
            </c:strRef>
          </c:cat>
          <c:val>
            <c:numRef>
              <c:f>'PivotTable Analysis'!$H$44:$H$49</c:f>
              <c:numCache>
                <c:formatCode>General</c:formatCode>
                <c:ptCount val="5"/>
                <c:pt idx="0">
                  <c:v>97</c:v>
                </c:pt>
                <c:pt idx="1">
                  <c:v>81</c:v>
                </c:pt>
                <c:pt idx="2">
                  <c:v>91</c:v>
                </c:pt>
                <c:pt idx="3">
                  <c:v>93</c:v>
                </c:pt>
                <c:pt idx="4">
                  <c:v>92</c:v>
                </c:pt>
              </c:numCache>
            </c:numRef>
          </c:val>
          <c:extLst>
            <c:ext xmlns:c16="http://schemas.microsoft.com/office/drawing/2014/chart" uri="{C3380CC4-5D6E-409C-BE32-E72D297353CC}">
              <c16:uniqueId val="{00000001-DF06-40D8-88EE-D63F747B162A}"/>
            </c:ext>
          </c:extLst>
        </c:ser>
        <c:ser>
          <c:idx val="2"/>
          <c:order val="2"/>
          <c:tx>
            <c:strRef>
              <c:f>'PivotTable Analysis'!$I$42:$I$43</c:f>
              <c:strCache>
                <c:ptCount val="1"/>
                <c:pt idx="0">
                  <c:v>Rejected</c:v>
                </c:pt>
              </c:strCache>
            </c:strRef>
          </c:tx>
          <c:spPr>
            <a:solidFill>
              <a:schemeClr val="accent6"/>
            </a:solidFill>
            <a:ln>
              <a:noFill/>
            </a:ln>
            <a:effectLst/>
          </c:spPr>
          <c:invertIfNegative val="0"/>
          <c:cat>
            <c:strRef>
              <c:f>'PivotTable Analysis'!$F$44:$F$49</c:f>
              <c:strCache>
                <c:ptCount val="5"/>
                <c:pt idx="0">
                  <c:v>Accident</c:v>
                </c:pt>
                <c:pt idx="1">
                  <c:v>Death</c:v>
                </c:pt>
                <c:pt idx="2">
                  <c:v>Hospital</c:v>
                </c:pt>
                <c:pt idx="3">
                  <c:v>Other</c:v>
                </c:pt>
                <c:pt idx="4">
                  <c:v>Theft</c:v>
                </c:pt>
              </c:strCache>
            </c:strRef>
          </c:cat>
          <c:val>
            <c:numRef>
              <c:f>'PivotTable Analysis'!$I$44:$I$49</c:f>
              <c:numCache>
                <c:formatCode>General</c:formatCode>
                <c:ptCount val="5"/>
                <c:pt idx="0">
                  <c:v>79</c:v>
                </c:pt>
                <c:pt idx="1">
                  <c:v>99</c:v>
                </c:pt>
                <c:pt idx="2">
                  <c:v>82</c:v>
                </c:pt>
                <c:pt idx="3">
                  <c:v>93</c:v>
                </c:pt>
                <c:pt idx="4">
                  <c:v>95</c:v>
                </c:pt>
              </c:numCache>
            </c:numRef>
          </c:val>
          <c:extLst>
            <c:ext xmlns:c16="http://schemas.microsoft.com/office/drawing/2014/chart" uri="{C3380CC4-5D6E-409C-BE32-E72D297353CC}">
              <c16:uniqueId val="{00000002-DF06-40D8-88EE-D63F747B162A}"/>
            </c:ext>
          </c:extLst>
        </c:ser>
        <c:dLbls>
          <c:showLegendKey val="0"/>
          <c:showVal val="0"/>
          <c:showCatName val="0"/>
          <c:showSerName val="0"/>
          <c:showPercent val="0"/>
          <c:showBubbleSize val="0"/>
        </c:dLbls>
        <c:gapWidth val="219"/>
        <c:overlap val="-27"/>
        <c:axId val="844263328"/>
        <c:axId val="844257568"/>
      </c:barChart>
      <c:catAx>
        <c:axId val="844263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257568"/>
        <c:crosses val="autoZero"/>
        <c:auto val="1"/>
        <c:lblAlgn val="ctr"/>
        <c:lblOffset val="100"/>
        <c:noMultiLvlLbl val="0"/>
      </c:catAx>
      <c:valAx>
        <c:axId val="844257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263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[Claimhistory_cleaned (1).xlsx]PivotTable Analysis!PivotTable12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Total Claim Amount by Year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 Analysis'!$G$56</c:f>
              <c:strCache>
                <c:ptCount val="1"/>
                <c:pt idx="0">
                  <c:v>Total</c:v>
                </c:pt>
              </c:strCache>
            </c:strRef>
          </c:tx>
          <c:spPr>
            <a:ln w="28575" cap="rnd">
              <a:solidFill>
                <a:schemeClr val="accent6"/>
              </a:solidFill>
              <a:round/>
            </a:ln>
            <a:effectLst/>
          </c:spPr>
          <c:marker>
            <c:symbol val="none"/>
          </c:marker>
          <c:cat>
            <c:strRef>
              <c:f>'PivotTable Analysis'!$F$57:$F$63</c:f>
              <c:strCache>
                <c:ptCount val="6"/>
                <c:pt idx="0">
                  <c:v>2020</c:v>
                </c:pt>
                <c:pt idx="1">
                  <c:v>2021</c:v>
                </c:pt>
                <c:pt idx="2">
                  <c:v>2022</c:v>
                </c:pt>
                <c:pt idx="3">
                  <c:v>2023</c:v>
                </c:pt>
                <c:pt idx="4">
                  <c:v>2024</c:v>
                </c:pt>
                <c:pt idx="5">
                  <c:v>2025</c:v>
                </c:pt>
              </c:strCache>
            </c:strRef>
          </c:cat>
          <c:val>
            <c:numRef>
              <c:f>'PivotTable Analysis'!$G$57:$G$63</c:f>
              <c:numCache>
                <c:formatCode>General</c:formatCode>
                <c:ptCount val="6"/>
                <c:pt idx="0">
                  <c:v>4682466.9600000009</c:v>
                </c:pt>
                <c:pt idx="1">
                  <c:v>30160853.540000003</c:v>
                </c:pt>
                <c:pt idx="2">
                  <c:v>59120357.840000011</c:v>
                </c:pt>
                <c:pt idx="3">
                  <c:v>106192533.40000005</c:v>
                </c:pt>
                <c:pt idx="4">
                  <c:v>139807294.53</c:v>
                </c:pt>
                <c:pt idx="5">
                  <c:v>15659491.48</c:v>
                </c:pt>
              </c:numCache>
            </c:numRef>
          </c:val>
          <c:smooth val="0"/>
          <c:extLst>
            <c:ext xmlns:c16="http://schemas.microsoft.com/office/drawing/2014/chart" uri="{C3380CC4-5D6E-409C-BE32-E72D297353CC}">
              <c16:uniqueId val="{00000000-0725-4F42-875E-1B20DE59250C}"/>
            </c:ext>
          </c:extLst>
        </c:ser>
        <c:dLbls>
          <c:showLegendKey val="0"/>
          <c:showVal val="0"/>
          <c:showCatName val="0"/>
          <c:showSerName val="0"/>
          <c:showPercent val="0"/>
          <c:showBubbleSize val="0"/>
        </c:dLbls>
        <c:smooth val="0"/>
        <c:axId val="714135536"/>
        <c:axId val="714130736"/>
      </c:lineChart>
      <c:catAx>
        <c:axId val="71413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130736"/>
        <c:crosses val="autoZero"/>
        <c:auto val="1"/>
        <c:lblAlgn val="ctr"/>
        <c:lblOffset val="100"/>
        <c:noMultiLvlLbl val="0"/>
      </c:catAx>
      <c:valAx>
        <c:axId val="7141307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135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[Claimhistory_cleaned (1).xlsx]PivotTable Analysis!PivotTable10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Fraud Analysis by Claim Type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 Analysis'!$M$42:$M$43</c:f>
              <c:strCache>
                <c:ptCount val="1"/>
                <c:pt idx="0">
                  <c:v>No</c:v>
                </c:pt>
              </c:strCache>
            </c:strRef>
          </c:tx>
          <c:spPr>
            <a:solidFill>
              <a:schemeClr val="accent6">
                <a:tint val="77000"/>
              </a:schemeClr>
            </a:solidFill>
            <a:ln>
              <a:noFill/>
            </a:ln>
            <a:effectLst/>
          </c:spPr>
          <c:invertIfNegative val="0"/>
          <c:cat>
            <c:strRef>
              <c:f>'PivotTable Analysis'!$L$44:$L$49</c:f>
              <c:strCache>
                <c:ptCount val="5"/>
                <c:pt idx="0">
                  <c:v>Accident</c:v>
                </c:pt>
                <c:pt idx="1">
                  <c:v>Death</c:v>
                </c:pt>
                <c:pt idx="2">
                  <c:v>Hospital</c:v>
                </c:pt>
                <c:pt idx="3">
                  <c:v>Other</c:v>
                </c:pt>
                <c:pt idx="4">
                  <c:v>Theft</c:v>
                </c:pt>
              </c:strCache>
            </c:strRef>
          </c:cat>
          <c:val>
            <c:numRef>
              <c:f>'PivotTable Analysis'!$M$44:$M$49</c:f>
              <c:numCache>
                <c:formatCode>General</c:formatCode>
                <c:ptCount val="5"/>
                <c:pt idx="0">
                  <c:v>147</c:v>
                </c:pt>
                <c:pt idx="1">
                  <c:v>128</c:v>
                </c:pt>
                <c:pt idx="2">
                  <c:v>136</c:v>
                </c:pt>
                <c:pt idx="3">
                  <c:v>146</c:v>
                </c:pt>
                <c:pt idx="4">
                  <c:v>160</c:v>
                </c:pt>
              </c:numCache>
            </c:numRef>
          </c:val>
          <c:extLst>
            <c:ext xmlns:c16="http://schemas.microsoft.com/office/drawing/2014/chart" uri="{C3380CC4-5D6E-409C-BE32-E72D297353CC}">
              <c16:uniqueId val="{00000000-6D43-4BDA-A7E9-C22B456B00CD}"/>
            </c:ext>
          </c:extLst>
        </c:ser>
        <c:ser>
          <c:idx val="1"/>
          <c:order val="1"/>
          <c:tx>
            <c:strRef>
              <c:f>'PivotTable Analysis'!$N$42:$N$43</c:f>
              <c:strCache>
                <c:ptCount val="1"/>
                <c:pt idx="0">
                  <c:v>Yes</c:v>
                </c:pt>
              </c:strCache>
            </c:strRef>
          </c:tx>
          <c:spPr>
            <a:solidFill>
              <a:schemeClr val="accent6">
                <a:shade val="76000"/>
              </a:schemeClr>
            </a:solidFill>
            <a:ln>
              <a:noFill/>
            </a:ln>
            <a:effectLst/>
          </c:spPr>
          <c:invertIfNegative val="0"/>
          <c:cat>
            <c:strRef>
              <c:f>'PivotTable Analysis'!$L$44:$L$49</c:f>
              <c:strCache>
                <c:ptCount val="5"/>
                <c:pt idx="0">
                  <c:v>Accident</c:v>
                </c:pt>
                <c:pt idx="1">
                  <c:v>Death</c:v>
                </c:pt>
                <c:pt idx="2">
                  <c:v>Hospital</c:v>
                </c:pt>
                <c:pt idx="3">
                  <c:v>Other</c:v>
                </c:pt>
                <c:pt idx="4">
                  <c:v>Theft</c:v>
                </c:pt>
              </c:strCache>
            </c:strRef>
          </c:cat>
          <c:val>
            <c:numRef>
              <c:f>'PivotTable Analysis'!$N$44:$N$49</c:f>
              <c:numCache>
                <c:formatCode>General</c:formatCode>
                <c:ptCount val="5"/>
                <c:pt idx="0">
                  <c:v>140</c:v>
                </c:pt>
                <c:pt idx="1">
                  <c:v>157</c:v>
                </c:pt>
                <c:pt idx="2">
                  <c:v>131</c:v>
                </c:pt>
                <c:pt idx="3">
                  <c:v>131</c:v>
                </c:pt>
                <c:pt idx="4">
                  <c:v>130</c:v>
                </c:pt>
              </c:numCache>
            </c:numRef>
          </c:val>
          <c:extLst>
            <c:ext xmlns:c16="http://schemas.microsoft.com/office/drawing/2014/chart" uri="{C3380CC4-5D6E-409C-BE32-E72D297353CC}">
              <c16:uniqueId val="{00000001-6D43-4BDA-A7E9-C22B456B00CD}"/>
            </c:ext>
          </c:extLst>
        </c:ser>
        <c:dLbls>
          <c:showLegendKey val="0"/>
          <c:showVal val="0"/>
          <c:showCatName val="0"/>
          <c:showSerName val="0"/>
          <c:showPercent val="0"/>
          <c:showBubbleSize val="0"/>
        </c:dLbls>
        <c:gapWidth val="150"/>
        <c:overlap val="100"/>
        <c:axId val="983284752"/>
        <c:axId val="983296272"/>
      </c:barChart>
      <c:catAx>
        <c:axId val="983284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296272"/>
        <c:crosses val="autoZero"/>
        <c:auto val="1"/>
        <c:lblAlgn val="ctr"/>
        <c:lblOffset val="100"/>
        <c:noMultiLvlLbl val="0"/>
      </c:catAx>
      <c:valAx>
        <c:axId val="9832962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284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[Claimhistory_cleaned (1).xlsx]PivotTable Analysis!PivotTable14</c:name>
    <c:fmtId val="4"/>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 Analysis'!$C$77:$C$78</c:f>
              <c:strCache>
                <c:ptCount val="1"/>
                <c:pt idx="0">
                  <c:v>Approved</c:v>
                </c:pt>
              </c:strCache>
            </c:strRef>
          </c:tx>
          <c:spPr>
            <a:solidFill>
              <a:schemeClr val="accent6">
                <a:tint val="65000"/>
              </a:schemeClr>
            </a:solidFill>
            <a:ln>
              <a:noFill/>
            </a:ln>
            <a:effectLst/>
          </c:spPr>
          <c:invertIfNegative val="0"/>
          <c:cat>
            <c:strRef>
              <c:f>'PivotTable Analysis'!$B$79:$B$85</c:f>
              <c:strCache>
                <c:ptCount val="6"/>
                <c:pt idx="0">
                  <c:v>2020</c:v>
                </c:pt>
                <c:pt idx="1">
                  <c:v>2021</c:v>
                </c:pt>
                <c:pt idx="2">
                  <c:v>2022</c:v>
                </c:pt>
                <c:pt idx="3">
                  <c:v>2023</c:v>
                </c:pt>
                <c:pt idx="4">
                  <c:v>2024</c:v>
                </c:pt>
                <c:pt idx="5">
                  <c:v>2025</c:v>
                </c:pt>
              </c:strCache>
            </c:strRef>
          </c:cat>
          <c:val>
            <c:numRef>
              <c:f>'PivotTable Analysis'!$C$79:$C$85</c:f>
              <c:numCache>
                <c:formatCode>General</c:formatCode>
                <c:ptCount val="6"/>
                <c:pt idx="0">
                  <c:v>12</c:v>
                </c:pt>
                <c:pt idx="1">
                  <c:v>39</c:v>
                </c:pt>
                <c:pt idx="2">
                  <c:v>72</c:v>
                </c:pt>
                <c:pt idx="3">
                  <c:v>154</c:v>
                </c:pt>
                <c:pt idx="4">
                  <c:v>205</c:v>
                </c:pt>
                <c:pt idx="5">
                  <c:v>22</c:v>
                </c:pt>
              </c:numCache>
            </c:numRef>
          </c:val>
          <c:extLst>
            <c:ext xmlns:c16="http://schemas.microsoft.com/office/drawing/2014/chart" uri="{C3380CC4-5D6E-409C-BE32-E72D297353CC}">
              <c16:uniqueId val="{00000000-45ED-49CE-BDD2-A0F8DA410096}"/>
            </c:ext>
          </c:extLst>
        </c:ser>
        <c:ser>
          <c:idx val="1"/>
          <c:order val="1"/>
          <c:tx>
            <c:strRef>
              <c:f>'PivotTable Analysis'!$D$77:$D$78</c:f>
              <c:strCache>
                <c:ptCount val="1"/>
                <c:pt idx="0">
                  <c:v>Pending</c:v>
                </c:pt>
              </c:strCache>
            </c:strRef>
          </c:tx>
          <c:spPr>
            <a:solidFill>
              <a:schemeClr val="accent6"/>
            </a:solidFill>
            <a:ln>
              <a:noFill/>
            </a:ln>
            <a:effectLst/>
          </c:spPr>
          <c:invertIfNegative val="0"/>
          <c:cat>
            <c:strRef>
              <c:f>'PivotTable Analysis'!$B$79:$B$85</c:f>
              <c:strCache>
                <c:ptCount val="6"/>
                <c:pt idx="0">
                  <c:v>2020</c:v>
                </c:pt>
                <c:pt idx="1">
                  <c:v>2021</c:v>
                </c:pt>
                <c:pt idx="2">
                  <c:v>2022</c:v>
                </c:pt>
                <c:pt idx="3">
                  <c:v>2023</c:v>
                </c:pt>
                <c:pt idx="4">
                  <c:v>2024</c:v>
                </c:pt>
                <c:pt idx="5">
                  <c:v>2025</c:v>
                </c:pt>
              </c:strCache>
            </c:strRef>
          </c:cat>
          <c:val>
            <c:numRef>
              <c:f>'PivotTable Analysis'!$D$79:$D$85</c:f>
              <c:numCache>
                <c:formatCode>General</c:formatCode>
                <c:ptCount val="6"/>
                <c:pt idx="0">
                  <c:v>2</c:v>
                </c:pt>
                <c:pt idx="1">
                  <c:v>40</c:v>
                </c:pt>
                <c:pt idx="2">
                  <c:v>92</c:v>
                </c:pt>
                <c:pt idx="3">
                  <c:v>142</c:v>
                </c:pt>
                <c:pt idx="4">
                  <c:v>158</c:v>
                </c:pt>
                <c:pt idx="5">
                  <c:v>20</c:v>
                </c:pt>
              </c:numCache>
            </c:numRef>
          </c:val>
          <c:extLst>
            <c:ext xmlns:c16="http://schemas.microsoft.com/office/drawing/2014/chart" uri="{C3380CC4-5D6E-409C-BE32-E72D297353CC}">
              <c16:uniqueId val="{00000001-45ED-49CE-BDD2-A0F8DA410096}"/>
            </c:ext>
          </c:extLst>
        </c:ser>
        <c:ser>
          <c:idx val="2"/>
          <c:order val="2"/>
          <c:tx>
            <c:strRef>
              <c:f>'PivotTable Analysis'!$E$77:$E$78</c:f>
              <c:strCache>
                <c:ptCount val="1"/>
                <c:pt idx="0">
                  <c:v>Rejected</c:v>
                </c:pt>
              </c:strCache>
            </c:strRef>
          </c:tx>
          <c:spPr>
            <a:solidFill>
              <a:schemeClr val="accent6">
                <a:shade val="65000"/>
              </a:schemeClr>
            </a:solidFill>
            <a:ln>
              <a:noFill/>
            </a:ln>
            <a:effectLst/>
          </c:spPr>
          <c:invertIfNegative val="0"/>
          <c:cat>
            <c:strRef>
              <c:f>'PivotTable Analysis'!$B$79:$B$85</c:f>
              <c:strCache>
                <c:ptCount val="6"/>
                <c:pt idx="0">
                  <c:v>2020</c:v>
                </c:pt>
                <c:pt idx="1">
                  <c:v>2021</c:v>
                </c:pt>
                <c:pt idx="2">
                  <c:v>2022</c:v>
                </c:pt>
                <c:pt idx="3">
                  <c:v>2023</c:v>
                </c:pt>
                <c:pt idx="4">
                  <c:v>2024</c:v>
                </c:pt>
                <c:pt idx="5">
                  <c:v>2025</c:v>
                </c:pt>
              </c:strCache>
            </c:strRef>
          </c:cat>
          <c:val>
            <c:numRef>
              <c:f>'PivotTable Analysis'!$E$79:$E$85</c:f>
              <c:numCache>
                <c:formatCode>General</c:formatCode>
                <c:ptCount val="6"/>
                <c:pt idx="0">
                  <c:v>2</c:v>
                </c:pt>
                <c:pt idx="1">
                  <c:v>35</c:v>
                </c:pt>
                <c:pt idx="2">
                  <c:v>73</c:v>
                </c:pt>
                <c:pt idx="3">
                  <c:v>141</c:v>
                </c:pt>
                <c:pt idx="4">
                  <c:v>177</c:v>
                </c:pt>
                <c:pt idx="5">
                  <c:v>20</c:v>
                </c:pt>
              </c:numCache>
            </c:numRef>
          </c:val>
          <c:extLst>
            <c:ext xmlns:c16="http://schemas.microsoft.com/office/drawing/2014/chart" uri="{C3380CC4-5D6E-409C-BE32-E72D297353CC}">
              <c16:uniqueId val="{00000002-45ED-49CE-BDD2-A0F8DA410096}"/>
            </c:ext>
          </c:extLst>
        </c:ser>
        <c:dLbls>
          <c:showLegendKey val="0"/>
          <c:showVal val="0"/>
          <c:showCatName val="0"/>
          <c:showSerName val="0"/>
          <c:showPercent val="0"/>
          <c:showBubbleSize val="0"/>
        </c:dLbls>
        <c:gapWidth val="219"/>
        <c:overlap val="-27"/>
        <c:axId val="862007344"/>
        <c:axId val="862008304"/>
      </c:barChart>
      <c:catAx>
        <c:axId val="86200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008304"/>
        <c:crosses val="autoZero"/>
        <c:auto val="1"/>
        <c:lblAlgn val="ctr"/>
        <c:lblOffset val="100"/>
        <c:noMultiLvlLbl val="0"/>
      </c:catAx>
      <c:valAx>
        <c:axId val="8620083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007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472440</xdr:colOff>
      <xdr:row>18</xdr:row>
      <xdr:rowOff>15240</xdr:rowOff>
    </xdr:from>
    <xdr:to>
      <xdr:col>7</xdr:col>
      <xdr:colOff>137160</xdr:colOff>
      <xdr:row>32</xdr:row>
      <xdr:rowOff>30480</xdr:rowOff>
    </xdr:to>
    <xdr:graphicFrame macro="">
      <xdr:nvGraphicFramePr>
        <xdr:cNvPr id="3" name="Chart 2">
          <a:extLst>
            <a:ext uri="{FF2B5EF4-FFF2-40B4-BE49-F238E27FC236}">
              <a16:creationId xmlns:a16="http://schemas.microsoft.com/office/drawing/2014/main" id="{610282B1-F711-4868-960A-7C7E7BF2A6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251460</xdr:colOff>
      <xdr:row>18</xdr:row>
      <xdr:rowOff>0</xdr:rowOff>
    </xdr:from>
    <xdr:to>
      <xdr:col>14</xdr:col>
      <xdr:colOff>518160</xdr:colOff>
      <xdr:row>32</xdr:row>
      <xdr:rowOff>0</xdr:rowOff>
    </xdr:to>
    <xdr:graphicFrame macro="">
      <xdr:nvGraphicFramePr>
        <xdr:cNvPr id="5" name="Chart 4">
          <a:extLst>
            <a:ext uri="{FF2B5EF4-FFF2-40B4-BE49-F238E27FC236}">
              <a16:creationId xmlns:a16="http://schemas.microsoft.com/office/drawing/2014/main" id="{4BBEF5A9-59B3-45BE-B859-1405FF5528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121920</xdr:colOff>
      <xdr:row>18</xdr:row>
      <xdr:rowOff>7620</xdr:rowOff>
    </xdr:from>
    <xdr:to>
      <xdr:col>22</xdr:col>
      <xdr:colOff>373380</xdr:colOff>
      <xdr:row>32</xdr:row>
      <xdr:rowOff>7620</xdr:rowOff>
    </xdr:to>
    <xdr:graphicFrame macro="">
      <xdr:nvGraphicFramePr>
        <xdr:cNvPr id="7" name="Chart 6">
          <a:extLst>
            <a:ext uri="{FF2B5EF4-FFF2-40B4-BE49-F238E27FC236}">
              <a16:creationId xmlns:a16="http://schemas.microsoft.com/office/drawing/2014/main" id="{2157D68E-239C-4A9E-83A4-0E0C13267C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472440</xdr:colOff>
      <xdr:row>39</xdr:row>
      <xdr:rowOff>0</xdr:rowOff>
    </xdr:from>
    <xdr:to>
      <xdr:col>7</xdr:col>
      <xdr:colOff>152400</xdr:colOff>
      <xdr:row>52</xdr:row>
      <xdr:rowOff>38100</xdr:rowOff>
    </xdr:to>
    <xdr:graphicFrame macro="">
      <xdr:nvGraphicFramePr>
        <xdr:cNvPr id="9" name="Chart 8">
          <a:extLst>
            <a:ext uri="{FF2B5EF4-FFF2-40B4-BE49-F238E27FC236}">
              <a16:creationId xmlns:a16="http://schemas.microsoft.com/office/drawing/2014/main" id="{A055C1E1-7BFC-4205-8300-09772246E9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342900</xdr:colOff>
      <xdr:row>38</xdr:row>
      <xdr:rowOff>175260</xdr:rowOff>
    </xdr:from>
    <xdr:to>
      <xdr:col>14</xdr:col>
      <xdr:colOff>533400</xdr:colOff>
      <xdr:row>52</xdr:row>
      <xdr:rowOff>15240</xdr:rowOff>
    </xdr:to>
    <xdr:graphicFrame macro="">
      <xdr:nvGraphicFramePr>
        <xdr:cNvPr id="11" name="Chart 10">
          <a:extLst>
            <a:ext uri="{FF2B5EF4-FFF2-40B4-BE49-F238E27FC236}">
              <a16:creationId xmlns:a16="http://schemas.microsoft.com/office/drawing/2014/main" id="{2F29582B-82BB-412A-A3DF-02ABD44696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129540</xdr:colOff>
      <xdr:row>39</xdr:row>
      <xdr:rowOff>0</xdr:rowOff>
    </xdr:from>
    <xdr:to>
      <xdr:col>22</xdr:col>
      <xdr:colOff>419100</xdr:colOff>
      <xdr:row>52</xdr:row>
      <xdr:rowOff>7620</xdr:rowOff>
    </xdr:to>
    <xdr:graphicFrame macro="">
      <xdr:nvGraphicFramePr>
        <xdr:cNvPr id="12" name="Chart 11">
          <a:extLst>
            <a:ext uri="{FF2B5EF4-FFF2-40B4-BE49-F238E27FC236}">
              <a16:creationId xmlns:a16="http://schemas.microsoft.com/office/drawing/2014/main" id="{8BE48ED3-7135-4D4B-A5CC-BFD7B4C3F7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487680</xdr:colOff>
      <xdr:row>59</xdr:row>
      <xdr:rowOff>0</xdr:rowOff>
    </xdr:from>
    <xdr:to>
      <xdr:col>7</xdr:col>
      <xdr:colOff>129540</xdr:colOff>
      <xdr:row>71</xdr:row>
      <xdr:rowOff>175260</xdr:rowOff>
    </xdr:to>
    <xdr:graphicFrame macro="">
      <xdr:nvGraphicFramePr>
        <xdr:cNvPr id="14" name="Chart 13">
          <a:extLst>
            <a:ext uri="{FF2B5EF4-FFF2-40B4-BE49-F238E27FC236}">
              <a16:creationId xmlns:a16="http://schemas.microsoft.com/office/drawing/2014/main" id="{F40EAA5C-DB17-492A-80E9-F1A0B0C414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320040</xdr:colOff>
      <xdr:row>58</xdr:row>
      <xdr:rowOff>175260</xdr:rowOff>
    </xdr:from>
    <xdr:to>
      <xdr:col>14</xdr:col>
      <xdr:colOff>510540</xdr:colOff>
      <xdr:row>72</xdr:row>
      <xdr:rowOff>15240</xdr:rowOff>
    </xdr:to>
    <xdr:graphicFrame macro="">
      <xdr:nvGraphicFramePr>
        <xdr:cNvPr id="16" name="Chart 15">
          <a:extLst>
            <a:ext uri="{FF2B5EF4-FFF2-40B4-BE49-F238E27FC236}">
              <a16:creationId xmlns:a16="http://schemas.microsoft.com/office/drawing/2014/main" id="{D5943363-A3AC-4ACF-94AB-6759DC4701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129540</xdr:colOff>
      <xdr:row>59</xdr:row>
      <xdr:rowOff>0</xdr:rowOff>
    </xdr:from>
    <xdr:to>
      <xdr:col>22</xdr:col>
      <xdr:colOff>441960</xdr:colOff>
      <xdr:row>72</xdr:row>
      <xdr:rowOff>0</xdr:rowOff>
    </xdr:to>
    <xdr:graphicFrame macro="">
      <xdr:nvGraphicFramePr>
        <xdr:cNvPr id="18" name="Chart 17">
          <a:extLst>
            <a:ext uri="{FF2B5EF4-FFF2-40B4-BE49-F238E27FC236}">
              <a16:creationId xmlns:a16="http://schemas.microsoft.com/office/drawing/2014/main" id="{CE25B4E3-695B-47CD-8CDC-B96C021DD3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449580</xdr:colOff>
      <xdr:row>5</xdr:row>
      <xdr:rowOff>7620</xdr:rowOff>
    </xdr:from>
    <xdr:to>
      <xdr:col>3</xdr:col>
      <xdr:colOff>53340</xdr:colOff>
      <xdr:row>8</xdr:row>
      <xdr:rowOff>129540</xdr:rowOff>
    </xdr:to>
    <xdr:sp macro="" textlink="Cleaned!Q3">
      <xdr:nvSpPr>
        <xdr:cNvPr id="2" name="Rectangle 1">
          <a:extLst>
            <a:ext uri="{FF2B5EF4-FFF2-40B4-BE49-F238E27FC236}">
              <a16:creationId xmlns:a16="http://schemas.microsoft.com/office/drawing/2014/main" id="{48C13B91-6879-19F4-284C-E435531FAB53}"/>
            </a:ext>
          </a:extLst>
        </xdr:cNvPr>
        <xdr:cNvSpPr/>
      </xdr:nvSpPr>
      <xdr:spPr>
        <a:xfrm>
          <a:off x="449580" y="937260"/>
          <a:ext cx="1432560" cy="670560"/>
        </a:xfrm>
        <a:prstGeom prst="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Calibri"/>
            <a:ea typeface="Calibri"/>
            <a:cs typeface="Calibri"/>
          </a:endParaRPr>
        </a:p>
        <a:p>
          <a:pPr algn="l"/>
          <a:endParaRPr lang="en-US" sz="1100" b="0" i="0" u="none" strike="noStrike">
            <a:solidFill>
              <a:srgbClr val="000000"/>
            </a:solidFill>
            <a:latin typeface="Calibri"/>
            <a:ea typeface="Calibri"/>
            <a:cs typeface="Calibri"/>
          </a:endParaRPr>
        </a:p>
        <a:p>
          <a:pPr algn="l"/>
          <a:r>
            <a:rPr lang="en-US" sz="1100" b="0" i="0" u="none" strike="noStrike">
              <a:solidFill>
                <a:srgbClr val="000000"/>
              </a:solidFill>
              <a:latin typeface="Calibri"/>
              <a:ea typeface="Calibri"/>
              <a:cs typeface="Calibri"/>
            </a:rPr>
            <a:t>              </a:t>
          </a:r>
          <a:fld id="{902B8C5C-0337-4D13-BDE4-6A3BD8B516A1}" type="TxLink">
            <a:rPr lang="en-US" sz="1100" b="0" i="0" u="none" strike="noStrike">
              <a:solidFill>
                <a:srgbClr val="000000"/>
              </a:solidFill>
              <a:latin typeface="Calibri"/>
              <a:ea typeface="Calibri"/>
              <a:cs typeface="Calibri"/>
            </a:rPr>
            <a:pPr algn="l"/>
            <a:t>1406</a:t>
          </a:fld>
          <a:endParaRPr lang="en-US" sz="1100"/>
        </a:p>
      </xdr:txBody>
    </xdr:sp>
    <xdr:clientData/>
  </xdr:twoCellAnchor>
  <xdr:twoCellAnchor>
    <xdr:from>
      <xdr:col>5</xdr:col>
      <xdr:colOff>335280</xdr:colOff>
      <xdr:row>4</xdr:row>
      <xdr:rowOff>160020</xdr:rowOff>
    </xdr:from>
    <xdr:to>
      <xdr:col>7</xdr:col>
      <xdr:colOff>548640</xdr:colOff>
      <xdr:row>8</xdr:row>
      <xdr:rowOff>99060</xdr:rowOff>
    </xdr:to>
    <xdr:sp macro="" textlink="Cleaned!Q4">
      <xdr:nvSpPr>
        <xdr:cNvPr id="6" name="Rectangle 5">
          <a:extLst>
            <a:ext uri="{FF2B5EF4-FFF2-40B4-BE49-F238E27FC236}">
              <a16:creationId xmlns:a16="http://schemas.microsoft.com/office/drawing/2014/main" id="{BBA3B4AC-4310-4389-842F-7F6764312F58}"/>
            </a:ext>
          </a:extLst>
        </xdr:cNvPr>
        <xdr:cNvSpPr/>
      </xdr:nvSpPr>
      <xdr:spPr>
        <a:xfrm>
          <a:off x="3383280" y="906780"/>
          <a:ext cx="1432560" cy="670560"/>
        </a:xfrm>
        <a:prstGeom prst="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Calibri"/>
            <a:ea typeface="Calibri"/>
            <a:cs typeface="Calibri"/>
          </a:endParaRPr>
        </a:p>
        <a:p>
          <a:pPr algn="l"/>
          <a:endParaRPr lang="en-US" sz="1100" b="0" i="0" u="none" strike="noStrike">
            <a:solidFill>
              <a:srgbClr val="000000"/>
            </a:solidFill>
            <a:latin typeface="Calibri"/>
            <a:ea typeface="Calibri"/>
            <a:cs typeface="Calibri"/>
          </a:endParaRPr>
        </a:p>
        <a:p>
          <a:pPr algn="l"/>
          <a:r>
            <a:rPr lang="en-US" sz="1100" b="0" i="0" u="none" strike="noStrike">
              <a:solidFill>
                <a:srgbClr val="000000"/>
              </a:solidFill>
              <a:latin typeface="Calibri"/>
              <a:ea typeface="Calibri"/>
              <a:cs typeface="Calibri"/>
            </a:rPr>
            <a:t>         </a:t>
          </a:r>
          <a:fld id="{A1323E70-1F61-4ED0-9B47-D5888F1190F0}" type="TxLink">
            <a:rPr lang="en-US" sz="1100" b="0" i="0" u="none" strike="noStrike">
              <a:solidFill>
                <a:srgbClr val="000000"/>
              </a:solidFill>
              <a:latin typeface="Calibri"/>
              <a:ea typeface="Calibri"/>
              <a:cs typeface="Calibri"/>
            </a:rPr>
            <a:pPr algn="l"/>
            <a:t>₹355.62M</a:t>
          </a:fld>
          <a:endParaRPr lang="en-IN" sz="1100"/>
        </a:p>
      </xdr:txBody>
    </xdr:sp>
    <xdr:clientData/>
  </xdr:twoCellAnchor>
  <xdr:twoCellAnchor>
    <xdr:from>
      <xdr:col>10</xdr:col>
      <xdr:colOff>160020</xdr:colOff>
      <xdr:row>4</xdr:row>
      <xdr:rowOff>152400</xdr:rowOff>
    </xdr:from>
    <xdr:to>
      <xdr:col>12</xdr:col>
      <xdr:colOff>373380</xdr:colOff>
      <xdr:row>8</xdr:row>
      <xdr:rowOff>91440</xdr:rowOff>
    </xdr:to>
    <xdr:sp macro="" textlink="Cleaned!Q5">
      <xdr:nvSpPr>
        <xdr:cNvPr id="8" name="Rectangle 7">
          <a:extLst>
            <a:ext uri="{FF2B5EF4-FFF2-40B4-BE49-F238E27FC236}">
              <a16:creationId xmlns:a16="http://schemas.microsoft.com/office/drawing/2014/main" id="{86A6F3AE-4E10-4F57-BCAA-8B7F6A8258F3}"/>
            </a:ext>
          </a:extLst>
        </xdr:cNvPr>
        <xdr:cNvSpPr/>
      </xdr:nvSpPr>
      <xdr:spPr>
        <a:xfrm>
          <a:off x="6256020" y="899160"/>
          <a:ext cx="1432560" cy="670560"/>
        </a:xfrm>
        <a:prstGeom prst="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Calibri"/>
            <a:ea typeface="Calibri"/>
            <a:cs typeface="Calibri"/>
          </a:endParaRPr>
        </a:p>
        <a:p>
          <a:pPr algn="l"/>
          <a:endParaRPr lang="en-US" sz="1100" b="0" i="0" u="none" strike="noStrike">
            <a:solidFill>
              <a:srgbClr val="000000"/>
            </a:solidFill>
            <a:latin typeface="Calibri"/>
            <a:ea typeface="Calibri"/>
            <a:cs typeface="Calibri"/>
          </a:endParaRPr>
        </a:p>
        <a:p>
          <a:pPr algn="l"/>
          <a:r>
            <a:rPr lang="en-US" sz="1100" b="0" i="0" u="none" strike="noStrike">
              <a:solidFill>
                <a:srgbClr val="000000"/>
              </a:solidFill>
              <a:latin typeface="Calibri"/>
              <a:ea typeface="Calibri"/>
              <a:cs typeface="Calibri"/>
            </a:rPr>
            <a:t>            </a:t>
          </a:r>
          <a:fld id="{4C988EA3-6BA7-40EE-ABC0-13BC025D71A3}" type="TxLink">
            <a:rPr lang="en-US" sz="1100" b="0" i="0" u="none" strike="noStrike">
              <a:solidFill>
                <a:srgbClr val="000000"/>
              </a:solidFill>
              <a:latin typeface="Calibri"/>
              <a:ea typeface="Calibri"/>
              <a:cs typeface="Calibri"/>
            </a:rPr>
            <a:pPr algn="l"/>
            <a:t>252932</a:t>
          </a:fld>
          <a:endParaRPr lang="en-IN" sz="1100"/>
        </a:p>
      </xdr:txBody>
    </xdr:sp>
    <xdr:clientData/>
  </xdr:twoCellAnchor>
  <xdr:twoCellAnchor>
    <xdr:from>
      <xdr:col>15</xdr:col>
      <xdr:colOff>205740</xdr:colOff>
      <xdr:row>4</xdr:row>
      <xdr:rowOff>114300</xdr:rowOff>
    </xdr:from>
    <xdr:to>
      <xdr:col>17</xdr:col>
      <xdr:colOff>419100</xdr:colOff>
      <xdr:row>8</xdr:row>
      <xdr:rowOff>53340</xdr:rowOff>
    </xdr:to>
    <xdr:sp macro="" textlink="Cleaned!Q6">
      <xdr:nvSpPr>
        <xdr:cNvPr id="10" name="Rectangle 9">
          <a:extLst>
            <a:ext uri="{FF2B5EF4-FFF2-40B4-BE49-F238E27FC236}">
              <a16:creationId xmlns:a16="http://schemas.microsoft.com/office/drawing/2014/main" id="{F2DF2A2C-D55F-48A6-AC52-B0F539EFAA7A}"/>
            </a:ext>
          </a:extLst>
        </xdr:cNvPr>
        <xdr:cNvSpPr/>
      </xdr:nvSpPr>
      <xdr:spPr>
        <a:xfrm>
          <a:off x="9349740" y="861060"/>
          <a:ext cx="1432560" cy="670560"/>
        </a:xfrm>
        <a:prstGeom prst="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Calibri"/>
            <a:ea typeface="Calibri"/>
            <a:cs typeface="Calibri"/>
          </a:endParaRPr>
        </a:p>
        <a:p>
          <a:pPr algn="l"/>
          <a:endParaRPr lang="en-US" sz="1100" b="0" i="0" u="none" strike="noStrike">
            <a:solidFill>
              <a:srgbClr val="000000"/>
            </a:solidFill>
            <a:latin typeface="Calibri"/>
            <a:ea typeface="Calibri"/>
            <a:cs typeface="Calibri"/>
          </a:endParaRPr>
        </a:p>
        <a:p>
          <a:pPr algn="l"/>
          <a:r>
            <a:rPr lang="en-US" sz="1100" b="0" i="0" u="none" strike="noStrike">
              <a:solidFill>
                <a:srgbClr val="000000"/>
              </a:solidFill>
              <a:latin typeface="Calibri"/>
              <a:ea typeface="Calibri"/>
              <a:cs typeface="Calibri"/>
            </a:rPr>
            <a:t>        </a:t>
          </a:r>
          <a:fld id="{7FB91453-366D-49AF-8627-5878152CD7B6}" type="TxLink">
            <a:rPr lang="en-US" sz="1100" b="0" i="0" u="none" strike="noStrike">
              <a:solidFill>
                <a:srgbClr val="000000"/>
              </a:solidFill>
              <a:latin typeface="Calibri"/>
              <a:ea typeface="Calibri"/>
              <a:cs typeface="Calibri"/>
            </a:rPr>
            <a:pPr algn="l"/>
            <a:t>31.17 Days</a:t>
          </a:fld>
          <a:endParaRPr lang="en-IN" sz="1100"/>
        </a:p>
      </xdr:txBody>
    </xdr:sp>
    <xdr:clientData/>
  </xdr:twoCellAnchor>
  <xdr:twoCellAnchor>
    <xdr:from>
      <xdr:col>20</xdr:col>
      <xdr:colOff>45720</xdr:colOff>
      <xdr:row>4</xdr:row>
      <xdr:rowOff>83820</xdr:rowOff>
    </xdr:from>
    <xdr:to>
      <xdr:col>22</xdr:col>
      <xdr:colOff>259080</xdr:colOff>
      <xdr:row>8</xdr:row>
      <xdr:rowOff>22860</xdr:rowOff>
    </xdr:to>
    <xdr:sp macro="" textlink="Cleaned!Q7">
      <xdr:nvSpPr>
        <xdr:cNvPr id="13" name="Rectangle 12">
          <a:extLst>
            <a:ext uri="{FF2B5EF4-FFF2-40B4-BE49-F238E27FC236}">
              <a16:creationId xmlns:a16="http://schemas.microsoft.com/office/drawing/2014/main" id="{549BD1DD-8A58-4E22-B11A-1ABE14167BA5}"/>
            </a:ext>
          </a:extLst>
        </xdr:cNvPr>
        <xdr:cNvSpPr/>
      </xdr:nvSpPr>
      <xdr:spPr>
        <a:xfrm>
          <a:off x="12237720" y="830580"/>
          <a:ext cx="1432560" cy="670560"/>
        </a:xfrm>
        <a:prstGeom prst="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Calibri"/>
            <a:ea typeface="Calibri"/>
            <a:cs typeface="Calibri"/>
          </a:endParaRPr>
        </a:p>
        <a:p>
          <a:pPr algn="l"/>
          <a:endParaRPr lang="en-US" sz="1100" b="0" i="0" u="none" strike="noStrike">
            <a:solidFill>
              <a:srgbClr val="000000"/>
            </a:solidFill>
            <a:latin typeface="Calibri"/>
            <a:ea typeface="Calibri"/>
            <a:cs typeface="Calibri"/>
          </a:endParaRPr>
        </a:p>
        <a:p>
          <a:pPr algn="l"/>
          <a:r>
            <a:rPr lang="en-US" sz="1100" b="0" i="0" u="none" strike="noStrike">
              <a:solidFill>
                <a:srgbClr val="000000"/>
              </a:solidFill>
              <a:latin typeface="Calibri"/>
              <a:ea typeface="Calibri"/>
              <a:cs typeface="Calibri"/>
            </a:rPr>
            <a:t>            </a:t>
          </a:r>
          <a:fld id="{87020132-499D-4E5A-84EB-309A6002CCF1}" type="TxLink">
            <a:rPr lang="en-US" sz="1100" b="0" i="0" u="none" strike="noStrike">
              <a:solidFill>
                <a:srgbClr val="000000"/>
              </a:solidFill>
              <a:latin typeface="Calibri"/>
              <a:ea typeface="Calibri"/>
              <a:cs typeface="Calibri"/>
            </a:rPr>
            <a:pPr algn="l"/>
            <a:t>49.00%</a:t>
          </a:fld>
          <a:endParaRPr lang="en-IN" sz="1100"/>
        </a:p>
      </xdr:txBody>
    </xdr:sp>
    <xdr:clientData/>
  </xdr:twoCellAnchor>
  <xdr:twoCellAnchor>
    <xdr:from>
      <xdr:col>0</xdr:col>
      <xdr:colOff>502920</xdr:colOff>
      <xdr:row>5</xdr:row>
      <xdr:rowOff>38100</xdr:rowOff>
    </xdr:from>
    <xdr:to>
      <xdr:col>3</xdr:col>
      <xdr:colOff>99060</xdr:colOff>
      <xdr:row>6</xdr:row>
      <xdr:rowOff>160020</xdr:rowOff>
    </xdr:to>
    <xdr:sp macro="" textlink="">
      <xdr:nvSpPr>
        <xdr:cNvPr id="15" name="Rectangle 14">
          <a:extLst>
            <a:ext uri="{FF2B5EF4-FFF2-40B4-BE49-F238E27FC236}">
              <a16:creationId xmlns:a16="http://schemas.microsoft.com/office/drawing/2014/main" id="{66A494F3-528A-5E8E-1FE6-A83B7DE545C6}"/>
            </a:ext>
          </a:extLst>
        </xdr:cNvPr>
        <xdr:cNvSpPr/>
      </xdr:nvSpPr>
      <xdr:spPr>
        <a:xfrm>
          <a:off x="502920" y="967740"/>
          <a:ext cx="1424940" cy="3048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Total Claims</a:t>
          </a:r>
        </a:p>
      </xdr:txBody>
    </xdr:sp>
    <xdr:clientData/>
  </xdr:twoCellAnchor>
  <xdr:twoCellAnchor>
    <xdr:from>
      <xdr:col>5</xdr:col>
      <xdr:colOff>381000</xdr:colOff>
      <xdr:row>5</xdr:row>
      <xdr:rowOff>0</xdr:rowOff>
    </xdr:from>
    <xdr:to>
      <xdr:col>7</xdr:col>
      <xdr:colOff>586740</xdr:colOff>
      <xdr:row>6</xdr:row>
      <xdr:rowOff>114300</xdr:rowOff>
    </xdr:to>
    <xdr:sp macro="" textlink="">
      <xdr:nvSpPr>
        <xdr:cNvPr id="17" name="Rectangle 16">
          <a:extLst>
            <a:ext uri="{FF2B5EF4-FFF2-40B4-BE49-F238E27FC236}">
              <a16:creationId xmlns:a16="http://schemas.microsoft.com/office/drawing/2014/main" id="{42CFFAB0-077E-CAAA-6A41-17D697F39778}"/>
            </a:ext>
          </a:extLst>
        </xdr:cNvPr>
        <xdr:cNvSpPr/>
      </xdr:nvSpPr>
      <xdr:spPr>
        <a:xfrm>
          <a:off x="3429000" y="929640"/>
          <a:ext cx="1424940" cy="2971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TotalClaim Amount</a:t>
          </a:r>
        </a:p>
      </xdr:txBody>
    </xdr:sp>
    <xdr:clientData/>
  </xdr:twoCellAnchor>
  <xdr:twoCellAnchor>
    <xdr:from>
      <xdr:col>10</xdr:col>
      <xdr:colOff>228600</xdr:colOff>
      <xdr:row>4</xdr:row>
      <xdr:rowOff>175260</xdr:rowOff>
    </xdr:from>
    <xdr:to>
      <xdr:col>12</xdr:col>
      <xdr:colOff>441960</xdr:colOff>
      <xdr:row>6</xdr:row>
      <xdr:rowOff>99060</xdr:rowOff>
    </xdr:to>
    <xdr:sp macro="" textlink="">
      <xdr:nvSpPr>
        <xdr:cNvPr id="19" name="Rectangle 18">
          <a:extLst>
            <a:ext uri="{FF2B5EF4-FFF2-40B4-BE49-F238E27FC236}">
              <a16:creationId xmlns:a16="http://schemas.microsoft.com/office/drawing/2014/main" id="{9BAA5DC0-E929-B097-16B2-69C47F6A51BD}"/>
            </a:ext>
          </a:extLst>
        </xdr:cNvPr>
        <xdr:cNvSpPr/>
      </xdr:nvSpPr>
      <xdr:spPr>
        <a:xfrm>
          <a:off x="6324600" y="922020"/>
          <a:ext cx="1432560" cy="2895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Avg-Claim</a:t>
          </a:r>
          <a:r>
            <a:rPr lang="en-IN" sz="1200" b="1" baseline="0"/>
            <a:t> Amount</a:t>
          </a:r>
          <a:endParaRPr lang="en-IN" sz="1200" b="1"/>
        </a:p>
      </xdr:txBody>
    </xdr:sp>
    <xdr:clientData/>
  </xdr:twoCellAnchor>
  <xdr:twoCellAnchor>
    <xdr:from>
      <xdr:col>15</xdr:col>
      <xdr:colOff>259080</xdr:colOff>
      <xdr:row>4</xdr:row>
      <xdr:rowOff>144780</xdr:rowOff>
    </xdr:from>
    <xdr:to>
      <xdr:col>17</xdr:col>
      <xdr:colOff>457200</xdr:colOff>
      <xdr:row>6</xdr:row>
      <xdr:rowOff>91440</xdr:rowOff>
    </xdr:to>
    <xdr:sp macro="" textlink="">
      <xdr:nvSpPr>
        <xdr:cNvPr id="20" name="Rectangle 19">
          <a:extLst>
            <a:ext uri="{FF2B5EF4-FFF2-40B4-BE49-F238E27FC236}">
              <a16:creationId xmlns:a16="http://schemas.microsoft.com/office/drawing/2014/main" id="{7101409B-05E7-3C29-B53B-7FDC8D5E6610}"/>
            </a:ext>
          </a:extLst>
        </xdr:cNvPr>
        <xdr:cNvSpPr/>
      </xdr:nvSpPr>
      <xdr:spPr>
        <a:xfrm>
          <a:off x="9403080" y="891540"/>
          <a:ext cx="1417320" cy="3124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Avg-Processing</a:t>
          </a:r>
          <a:r>
            <a:rPr lang="en-IN" sz="1100"/>
            <a:t> </a:t>
          </a:r>
          <a:r>
            <a:rPr lang="en-IN" sz="1100" b="1"/>
            <a:t>Days</a:t>
          </a:r>
        </a:p>
      </xdr:txBody>
    </xdr:sp>
    <xdr:clientData/>
  </xdr:twoCellAnchor>
  <xdr:twoCellAnchor>
    <xdr:from>
      <xdr:col>20</xdr:col>
      <xdr:colOff>91440</xdr:colOff>
      <xdr:row>4</xdr:row>
      <xdr:rowOff>114300</xdr:rowOff>
    </xdr:from>
    <xdr:to>
      <xdr:col>22</xdr:col>
      <xdr:colOff>297180</xdr:colOff>
      <xdr:row>6</xdr:row>
      <xdr:rowOff>68580</xdr:rowOff>
    </xdr:to>
    <xdr:sp macro="" textlink="">
      <xdr:nvSpPr>
        <xdr:cNvPr id="21" name="Rectangle 20">
          <a:extLst>
            <a:ext uri="{FF2B5EF4-FFF2-40B4-BE49-F238E27FC236}">
              <a16:creationId xmlns:a16="http://schemas.microsoft.com/office/drawing/2014/main" id="{FB59F86C-8857-BFCE-D4C7-13E44C496FB6}"/>
            </a:ext>
          </a:extLst>
        </xdr:cNvPr>
        <xdr:cNvSpPr/>
      </xdr:nvSpPr>
      <xdr:spPr>
        <a:xfrm>
          <a:off x="12283440" y="861060"/>
          <a:ext cx="1424940" cy="3200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Fraud</a:t>
          </a:r>
          <a:r>
            <a:rPr lang="en-IN" sz="1200" b="1" baseline="0"/>
            <a:t> Rate%</a:t>
          </a:r>
          <a:endParaRPr lang="en-IN" sz="1200" b="1"/>
        </a:p>
      </xdr:txBody>
    </xdr:sp>
    <xdr:clientData/>
  </xdr:twoCellAnchor>
  <xdr:twoCellAnchor editAs="oneCell">
    <xdr:from>
      <xdr:col>1</xdr:col>
      <xdr:colOff>175260</xdr:colOff>
      <xdr:row>10</xdr:row>
      <xdr:rowOff>114301</xdr:rowOff>
    </xdr:from>
    <xdr:to>
      <xdr:col>4</xdr:col>
      <xdr:colOff>175260</xdr:colOff>
      <xdr:row>13</xdr:row>
      <xdr:rowOff>167640</xdr:rowOff>
    </xdr:to>
    <mc:AlternateContent xmlns:mc="http://schemas.openxmlformats.org/markup-compatibility/2006" xmlns:a14="http://schemas.microsoft.com/office/drawing/2010/main">
      <mc:Choice Requires="a14">
        <xdr:graphicFrame macro="">
          <xdr:nvGraphicFramePr>
            <xdr:cNvPr id="22" name="Year">
              <a:extLst>
                <a:ext uri="{FF2B5EF4-FFF2-40B4-BE49-F238E27FC236}">
                  <a16:creationId xmlns:a16="http://schemas.microsoft.com/office/drawing/2014/main" id="{161FB988-8450-4A58-967C-EA4D99050E0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84860" y="1958341"/>
              <a:ext cx="1828800" cy="6019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533400</xdr:colOff>
      <xdr:row>10</xdr:row>
      <xdr:rowOff>91441</xdr:rowOff>
    </xdr:from>
    <xdr:to>
      <xdr:col>8</xdr:col>
      <xdr:colOff>533400</xdr:colOff>
      <xdr:row>13</xdr:row>
      <xdr:rowOff>129541</xdr:rowOff>
    </xdr:to>
    <mc:AlternateContent xmlns:mc="http://schemas.openxmlformats.org/markup-compatibility/2006" xmlns:a14="http://schemas.microsoft.com/office/drawing/2010/main">
      <mc:Choice Requires="a14">
        <xdr:graphicFrame macro="">
          <xdr:nvGraphicFramePr>
            <xdr:cNvPr id="24" name="Quarter">
              <a:extLst>
                <a:ext uri="{FF2B5EF4-FFF2-40B4-BE49-F238E27FC236}">
                  <a16:creationId xmlns:a16="http://schemas.microsoft.com/office/drawing/2014/main" id="{43AEE68D-251A-456E-8CFC-A51125F44705}"/>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3581400" y="1935481"/>
              <a:ext cx="1828800" cy="586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175260</xdr:colOff>
      <xdr:row>10</xdr:row>
      <xdr:rowOff>83821</xdr:rowOff>
    </xdr:from>
    <xdr:to>
      <xdr:col>13</xdr:col>
      <xdr:colOff>175260</xdr:colOff>
      <xdr:row>13</xdr:row>
      <xdr:rowOff>129540</xdr:rowOff>
    </xdr:to>
    <mc:AlternateContent xmlns:mc="http://schemas.openxmlformats.org/markup-compatibility/2006" xmlns:a14="http://schemas.microsoft.com/office/drawing/2010/main">
      <mc:Choice Requires="a14">
        <xdr:graphicFrame macro="">
          <xdr:nvGraphicFramePr>
            <xdr:cNvPr id="25" name="claim_type">
              <a:extLst>
                <a:ext uri="{FF2B5EF4-FFF2-40B4-BE49-F238E27FC236}">
                  <a16:creationId xmlns:a16="http://schemas.microsoft.com/office/drawing/2014/main" id="{3AA1558D-6D42-48C3-9425-D9FDD90103AA}"/>
                </a:ext>
              </a:extLst>
            </xdr:cNvPr>
            <xdr:cNvGraphicFramePr/>
          </xdr:nvGraphicFramePr>
          <xdr:xfrm>
            <a:off x="0" y="0"/>
            <a:ext cx="0" cy="0"/>
          </xdr:xfrm>
          <a:graphic>
            <a:graphicData uri="http://schemas.microsoft.com/office/drawing/2010/slicer">
              <sle:slicer xmlns:sle="http://schemas.microsoft.com/office/drawing/2010/slicer" name="claim_type"/>
            </a:graphicData>
          </a:graphic>
        </xdr:graphicFrame>
      </mc:Choice>
      <mc:Fallback xmlns="">
        <xdr:sp macro="" textlink="">
          <xdr:nvSpPr>
            <xdr:cNvPr id="0" name=""/>
            <xdr:cNvSpPr>
              <a:spLocks noTextEdit="1"/>
            </xdr:cNvSpPr>
          </xdr:nvSpPr>
          <xdr:spPr>
            <a:xfrm>
              <a:off x="6271260" y="1927861"/>
              <a:ext cx="1828800" cy="594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396240</xdr:colOff>
      <xdr:row>10</xdr:row>
      <xdr:rowOff>83820</xdr:rowOff>
    </xdr:from>
    <xdr:to>
      <xdr:col>17</xdr:col>
      <xdr:colOff>396240</xdr:colOff>
      <xdr:row>13</xdr:row>
      <xdr:rowOff>137159</xdr:rowOff>
    </xdr:to>
    <mc:AlternateContent xmlns:mc="http://schemas.openxmlformats.org/markup-compatibility/2006" xmlns:a14="http://schemas.microsoft.com/office/drawing/2010/main">
      <mc:Choice Requires="a14">
        <xdr:graphicFrame macro="">
          <xdr:nvGraphicFramePr>
            <xdr:cNvPr id="26" name="claim_status">
              <a:extLst>
                <a:ext uri="{FF2B5EF4-FFF2-40B4-BE49-F238E27FC236}">
                  <a16:creationId xmlns:a16="http://schemas.microsoft.com/office/drawing/2014/main" id="{A57D3524-EA11-49DD-B1CA-9C1144080BD0}"/>
                </a:ext>
              </a:extLst>
            </xdr:cNvPr>
            <xdr:cNvGraphicFramePr/>
          </xdr:nvGraphicFramePr>
          <xdr:xfrm>
            <a:off x="0" y="0"/>
            <a:ext cx="0" cy="0"/>
          </xdr:xfrm>
          <a:graphic>
            <a:graphicData uri="http://schemas.microsoft.com/office/drawing/2010/slicer">
              <sle:slicer xmlns:sle="http://schemas.microsoft.com/office/drawing/2010/slicer" name="claim_status"/>
            </a:graphicData>
          </a:graphic>
        </xdr:graphicFrame>
      </mc:Choice>
      <mc:Fallback xmlns="">
        <xdr:sp macro="" textlink="">
          <xdr:nvSpPr>
            <xdr:cNvPr id="0" name=""/>
            <xdr:cNvSpPr>
              <a:spLocks noTextEdit="1"/>
            </xdr:cNvSpPr>
          </xdr:nvSpPr>
          <xdr:spPr>
            <a:xfrm>
              <a:off x="8930640" y="1927860"/>
              <a:ext cx="1828800" cy="6019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76200</xdr:colOff>
      <xdr:row>10</xdr:row>
      <xdr:rowOff>1</xdr:rowOff>
    </xdr:from>
    <xdr:to>
      <xdr:col>22</xdr:col>
      <xdr:colOff>76200</xdr:colOff>
      <xdr:row>13</xdr:row>
      <xdr:rowOff>38101</xdr:rowOff>
    </xdr:to>
    <mc:AlternateContent xmlns:mc="http://schemas.openxmlformats.org/markup-compatibility/2006" xmlns:a14="http://schemas.microsoft.com/office/drawing/2010/main">
      <mc:Choice Requires="a14">
        <xdr:graphicFrame macro="">
          <xdr:nvGraphicFramePr>
            <xdr:cNvPr id="27" name="fraud_flag">
              <a:extLst>
                <a:ext uri="{FF2B5EF4-FFF2-40B4-BE49-F238E27FC236}">
                  <a16:creationId xmlns:a16="http://schemas.microsoft.com/office/drawing/2014/main" id="{1431B330-B576-4656-B8BA-0B7C73D1E8FA}"/>
                </a:ext>
              </a:extLst>
            </xdr:cNvPr>
            <xdr:cNvGraphicFramePr/>
          </xdr:nvGraphicFramePr>
          <xdr:xfrm>
            <a:off x="0" y="0"/>
            <a:ext cx="0" cy="0"/>
          </xdr:xfrm>
          <a:graphic>
            <a:graphicData uri="http://schemas.microsoft.com/office/drawing/2010/slicer">
              <sle:slicer xmlns:sle="http://schemas.microsoft.com/office/drawing/2010/slicer" name="fraud_flag"/>
            </a:graphicData>
          </a:graphic>
        </xdr:graphicFrame>
      </mc:Choice>
      <mc:Fallback xmlns="">
        <xdr:sp macro="" textlink="">
          <xdr:nvSpPr>
            <xdr:cNvPr id="0" name=""/>
            <xdr:cNvSpPr>
              <a:spLocks noTextEdit="1"/>
            </xdr:cNvSpPr>
          </xdr:nvSpPr>
          <xdr:spPr>
            <a:xfrm>
              <a:off x="11658600" y="1844041"/>
              <a:ext cx="1828800" cy="586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11" refreshedDate="46226.413706828702" createdVersion="8" refreshedVersion="8" minRefreshableVersion="3" recordCount="1406" xr:uid="{07A5EF4B-4583-4523-842C-4356C7219ED7}">
  <cacheSource type="worksheet">
    <worksheetSource name="Sheet1"/>
  </cacheSource>
  <cacheFields count="13">
    <cacheField name="claim_id" numFmtId="0">
      <sharedItems count="1406">
        <s v="CLM70003"/>
        <s v="CLM70004"/>
        <s v="CLM70005"/>
        <s v="CLM70006"/>
        <s v="CLM70007"/>
        <s v="CLM70008"/>
        <s v="CLM70010"/>
        <s v="CLM70012"/>
        <s v="CLM70013"/>
        <s v="CLM70014"/>
        <s v="CLM70017"/>
        <s v="CLM70018"/>
        <s v="CLM70019"/>
        <s v="CLM70020"/>
        <s v="CLM70021"/>
        <s v="CLM70022"/>
        <s v="CLM70023"/>
        <s v="CLM70024"/>
        <s v="CLM70025"/>
        <s v="CLM70026"/>
        <s v="CLM70028"/>
        <s v="CLM70029"/>
        <s v="CLM70030"/>
        <s v="CLM70031"/>
        <s v="CLM70033"/>
        <s v="CLM70034"/>
        <s v="CLM70036"/>
        <s v="CLM70038"/>
        <s v="CLM70040"/>
        <s v="CLM70042"/>
        <s v="CLM70043"/>
        <s v="CLM70044"/>
        <s v="CLM70045"/>
        <s v="CLM70046"/>
        <s v="CLM70047"/>
        <s v="CLM70048"/>
        <s v="CLM70049"/>
        <s v="CLM70050"/>
        <s v="CLM70052"/>
        <s v="CLM70054"/>
        <s v="CLM70055"/>
        <s v="CLM70056"/>
        <s v="CLM70060"/>
        <s v="CLM70061"/>
        <s v="CLM70064"/>
        <s v="CLM70065"/>
        <s v="CLM70066"/>
        <s v="CLM70068"/>
        <s v="CLM70072"/>
        <s v="CLM70074"/>
        <s v="CLM70075"/>
        <s v="CLM70077"/>
        <s v="CLM70078"/>
        <s v="CLM70081"/>
        <s v="CLM70082"/>
        <s v="CLM70083"/>
        <s v="CLM70085"/>
        <s v="CLM70088"/>
        <s v="CLM70091"/>
        <s v="CLM70092"/>
        <s v="CLM70093"/>
        <s v="CLM70095"/>
        <s v="CLM70096"/>
        <s v="CLM70097"/>
        <s v="CLM70098"/>
        <s v="CLM70099"/>
        <s v="CLM70101"/>
        <s v="CLM70108"/>
        <s v="CLM70109"/>
        <s v="CLM70110"/>
        <s v="CLM70111"/>
        <s v="CLM70112"/>
        <s v="CLM70113"/>
        <s v="CLM70115"/>
        <s v="CLM70116"/>
        <s v="CLM70118"/>
        <s v="CLM70122"/>
        <s v="CLM70123"/>
        <s v="CLM70125"/>
        <s v="CLM70127"/>
        <s v="CLM70128"/>
        <s v="CLM70129"/>
        <s v="CLM70130"/>
        <s v="CLM70131"/>
        <s v="CLM70132"/>
        <s v="CLM70133"/>
        <s v="CLM70135"/>
        <s v="CLM70137"/>
        <s v="CLM70138"/>
        <s v="CLM70140"/>
        <s v="CLM70141"/>
        <s v="CLM70142"/>
        <s v="CLM70143"/>
        <s v="CLM70144"/>
        <s v="CLM70146"/>
        <s v="CLM70147"/>
        <s v="CLM70149"/>
        <s v="CLM70150"/>
        <s v="CLM70151"/>
        <s v="CLM70156"/>
        <s v="CLM70159"/>
        <s v="CLM70160"/>
        <s v="CLM70161"/>
        <s v="CLM70162"/>
        <s v="CLM70163"/>
        <s v="CLM70164"/>
        <s v="CLM70167"/>
        <s v="CLM70168"/>
        <s v="CLM70169"/>
        <s v="CLM70171"/>
        <s v="CLM70172"/>
        <s v="CLM70174"/>
        <s v="CLM70176"/>
        <s v="CLM70178"/>
        <s v="CLM70179"/>
        <s v="CLM70180"/>
        <s v="CLM70182"/>
        <s v="CLM70183"/>
        <s v="CLM70184"/>
        <s v="CLM70187"/>
        <s v="CLM70188"/>
        <s v="CLM70189"/>
        <s v="CLM70190"/>
        <s v="CLM70191"/>
        <s v="CLM70192"/>
        <s v="CLM70193"/>
        <s v="CLM70194"/>
        <s v="CLM70195"/>
        <s v="CLM70196"/>
        <s v="CLM70198"/>
        <s v="CLM70199"/>
        <s v="CLM70200"/>
        <s v="CLM70201"/>
        <s v="CLM70202"/>
        <s v="CLM70204"/>
        <s v="CLM70206"/>
        <s v="CLM70208"/>
        <s v="CLM70209"/>
        <s v="CLM70210"/>
        <s v="CLM70212"/>
        <s v="CLM70214"/>
        <s v="CLM70215"/>
        <s v="CLM70216"/>
        <s v="CLM70218"/>
        <s v="CLM70219"/>
        <s v="CLM70220"/>
        <s v="CLM70221"/>
        <s v="CLM70222"/>
        <s v="CLM70223"/>
        <s v="CLM70224"/>
        <s v="CLM70225"/>
        <s v="CLM70228"/>
        <s v="CLM70229"/>
        <s v="CLM70230"/>
        <s v="CLM70232"/>
        <s v="CLM70235"/>
        <s v="CLM70236"/>
        <s v="CLM70238"/>
        <s v="CLM70240"/>
        <s v="CLM70242"/>
        <s v="CLM70243"/>
        <s v="CLM70244"/>
        <s v="CLM70245"/>
        <s v="CLM70248"/>
        <s v="CLM70249"/>
        <s v="CLM70250"/>
        <s v="CLM70251"/>
        <s v="CLM70252"/>
        <s v="CLM70253"/>
        <s v="CLM70255"/>
        <s v="CLM70256"/>
        <s v="CLM70257"/>
        <s v="CLM70259"/>
        <s v="CLM70261"/>
        <s v="CLM70262"/>
        <s v="CLM70263"/>
        <s v="CLM70264"/>
        <s v="CLM70265"/>
        <s v="CLM70268"/>
        <s v="CLM70269"/>
        <s v="CLM70270"/>
        <s v="CLM70271"/>
        <s v="CLM70272"/>
        <s v="CLM70273"/>
        <s v="CLM70275"/>
        <s v="CLM70276"/>
        <s v="CLM70277"/>
        <s v="CLM70278"/>
        <s v="CLM70280"/>
        <s v="CLM70283"/>
        <s v="CLM70284"/>
        <s v="CLM70285"/>
        <s v="CLM70286"/>
        <s v="CLM70287"/>
        <s v="CLM70288"/>
        <s v="CLM70290"/>
        <s v="CLM70291"/>
        <s v="CLM70292"/>
        <s v="CLM70293"/>
        <s v="CLM70294"/>
        <s v="CLM70296"/>
        <s v="CLM70299"/>
        <s v="CLM70300"/>
        <s v="CLM70301"/>
        <s v="CLM70302"/>
        <s v="CLM70303"/>
        <s v="CLM70304"/>
        <s v="CLM70305"/>
        <s v="CLM70306"/>
        <s v="CLM70311"/>
        <s v="CLM70312"/>
        <s v="CLM70314"/>
        <s v="CLM70315"/>
        <s v="CLM70316"/>
        <s v="CLM70317"/>
        <s v="CLM70318"/>
        <s v="CLM70319"/>
        <s v="CLM70320"/>
        <s v="CLM70321"/>
        <s v="CLM70322"/>
        <s v="CLM70323"/>
        <s v="CLM70324"/>
        <s v="CLM70325"/>
        <s v="CLM70326"/>
        <s v="CLM70327"/>
        <s v="CLM70329"/>
        <s v="CLM70330"/>
        <s v="CLM70331"/>
        <s v="CLM70334"/>
        <s v="CLM70335"/>
        <s v="CLM70337"/>
        <s v="CLM70338"/>
        <s v="CLM70340"/>
        <s v="CLM70341"/>
        <s v="CLM70342"/>
        <s v="CLM70343"/>
        <s v="CLM70344"/>
        <s v="CLM70345"/>
        <s v="CLM70346"/>
        <s v="CLM70347"/>
        <s v="CLM70348"/>
        <s v="CLM70349"/>
        <s v="CLM70350"/>
        <s v="CLM70351"/>
        <s v="CLM70352"/>
        <s v="CLM70356"/>
        <s v="CLM70361"/>
        <s v="CLM70363"/>
        <s v="CLM70365"/>
        <s v="CLM70366"/>
        <s v="CLM70369"/>
        <s v="CLM70370"/>
        <s v="CLM70371"/>
        <s v="CLM70373"/>
        <s v="CLM70374"/>
        <s v="CLM70377"/>
        <s v="CLM70378"/>
        <s v="CLM70379"/>
        <s v="CLM70380"/>
        <s v="CLM70381"/>
        <s v="CLM70382"/>
        <s v="CLM70383"/>
        <s v="CLM70384"/>
        <s v="CLM70387"/>
        <s v="CLM70389"/>
        <s v="CLM70391"/>
        <s v="CLM70393"/>
        <s v="CLM70394"/>
        <s v="CLM70395"/>
        <s v="CLM70396"/>
        <s v="CLM70397"/>
        <s v="CLM70398"/>
        <s v="CLM70399"/>
        <s v="CLM70400"/>
        <s v="CLM70401"/>
        <s v="CLM70402"/>
        <s v="CLM70404"/>
        <s v="CLM70405"/>
        <s v="CLM70406"/>
        <s v="CLM70407"/>
        <s v="CLM70409"/>
        <s v="CLM70410"/>
        <s v="CLM70411"/>
        <s v="CLM70412"/>
        <s v="CLM70414"/>
        <s v="CLM70415"/>
        <s v="CLM70416"/>
        <s v="CLM70417"/>
        <s v="CLM70419"/>
        <s v="CLM70420"/>
        <s v="CLM70424"/>
        <s v="CLM70426"/>
        <s v="CLM70427"/>
        <s v="CLM70429"/>
        <s v="CLM70430"/>
        <s v="CLM70431"/>
        <s v="CLM70432"/>
        <s v="CLM70433"/>
        <s v="CLM70434"/>
        <s v="CLM70438"/>
        <s v="CLM70439"/>
        <s v="CLM70440"/>
        <s v="CLM70441"/>
        <s v="CLM70442"/>
        <s v="CLM70443"/>
        <s v="CLM70444"/>
        <s v="CLM70446"/>
        <s v="CLM70447"/>
        <s v="CLM70448"/>
        <s v="CLM70449"/>
        <s v="CLM70450"/>
        <s v="CLM70451"/>
        <s v="CLM70452"/>
        <s v="CLM70453"/>
        <s v="CLM70455"/>
        <s v="CLM70456"/>
        <s v="CLM70458"/>
        <s v="CLM70459"/>
        <s v="CLM70460"/>
        <s v="CLM70461"/>
        <s v="CLM70463"/>
        <s v="CLM70466"/>
        <s v="CLM70467"/>
        <s v="CLM70468"/>
        <s v="CLM70469"/>
        <s v="CLM70470"/>
        <s v="CLM70471"/>
        <s v="CLM70472"/>
        <s v="CLM70473"/>
        <s v="CLM70474"/>
        <s v="CLM70476"/>
        <s v="CLM70477"/>
        <s v="CLM70480"/>
        <s v="CLM70482"/>
        <s v="CLM70483"/>
        <s v="CLM70485"/>
        <s v="CLM70486"/>
        <s v="CLM70487"/>
        <s v="CLM70488"/>
        <s v="CLM70489"/>
        <s v="CLM70490"/>
        <s v="CLM70491"/>
        <s v="CLM70492"/>
        <s v="CLM70493"/>
        <s v="CLM70494"/>
        <s v="CLM70495"/>
        <s v="CLM70496"/>
        <s v="CLM70498"/>
        <s v="CLM70499"/>
        <s v="CLM70500"/>
        <s v="CLM70501"/>
        <s v="CLM70505"/>
        <s v="CLM70506"/>
        <s v="CLM70508"/>
        <s v="CLM70513"/>
        <s v="CLM70515"/>
        <s v="CLM70516"/>
        <s v="CLM70517"/>
        <s v="CLM70519"/>
        <s v="CLM70520"/>
        <s v="CLM70521"/>
        <s v="CLM70522"/>
        <s v="CLM70523"/>
        <s v="CLM70524"/>
        <s v="CLM70525"/>
        <s v="CLM70526"/>
        <s v="CLM70527"/>
        <s v="CLM70528"/>
        <s v="CLM70529"/>
        <s v="CLM70530"/>
        <s v="CLM70532"/>
        <s v="CLM70533"/>
        <s v="CLM70535"/>
        <s v="CLM70537"/>
        <s v="CLM70542"/>
        <s v="CLM70543"/>
        <s v="CLM70544"/>
        <s v="CLM70545"/>
        <s v="CLM70547"/>
        <s v="CLM70548"/>
        <s v="CLM70549"/>
        <s v="CLM70550"/>
        <s v="CLM70552"/>
        <s v="CLM70554"/>
        <s v="CLM70557"/>
        <s v="CLM70558"/>
        <s v="CLM70559"/>
        <s v="CLM70560"/>
        <s v="CLM70561"/>
        <s v="CLM70562"/>
        <s v="CLM70564"/>
        <s v="CLM70565"/>
        <s v="CLM70566"/>
        <s v="CLM70569"/>
        <s v="CLM70570"/>
        <s v="CLM70571"/>
        <s v="CLM70574"/>
        <s v="CLM70575"/>
        <s v="CLM70577"/>
        <s v="CLM70578"/>
        <s v="CLM70579"/>
        <s v="CLM70580"/>
        <s v="CLM70583"/>
        <s v="CLM70584"/>
        <s v="CLM70585"/>
        <s v="CLM70586"/>
        <s v="CLM70591"/>
        <s v="CLM70593"/>
        <s v="CLM70595"/>
        <s v="CLM70596"/>
        <s v="CLM70598"/>
        <s v="CLM70600"/>
        <s v="CLM70603"/>
        <s v="CLM70604"/>
        <s v="CLM70605"/>
        <s v="CLM70607"/>
        <s v="CLM70610"/>
        <s v="CLM70612"/>
        <s v="CLM70614"/>
        <s v="CLM70615"/>
        <s v="CLM70616"/>
        <s v="CLM70617"/>
        <s v="CLM70619"/>
        <s v="CLM70621"/>
        <s v="CLM70622"/>
        <s v="CLM70625"/>
        <s v="CLM70626"/>
        <s v="CLM70628"/>
        <s v="CLM70629"/>
        <s v="CLM70630"/>
        <s v="CLM70631"/>
        <s v="CLM70632"/>
        <s v="CLM70633"/>
        <s v="CLM70634"/>
        <s v="CLM70635"/>
        <s v="CLM70636"/>
        <s v="CLM70637"/>
        <s v="CLM70638"/>
        <s v="CLM70639"/>
        <s v="CLM70641"/>
        <s v="CLM70642"/>
        <s v="CLM70643"/>
        <s v="CLM70644"/>
        <s v="CLM70645"/>
        <s v="CLM70646"/>
        <s v="CLM70647"/>
        <s v="CLM70648"/>
        <s v="CLM70649"/>
        <s v="CLM70650"/>
        <s v="CLM70651"/>
        <s v="CLM70652"/>
        <s v="CLM70653"/>
        <s v="CLM70655"/>
        <s v="CLM70656"/>
        <s v="CLM70657"/>
        <s v="CLM70661"/>
        <s v="CLM70662"/>
        <s v="CLM70663"/>
        <s v="CLM70664"/>
        <s v="CLM70666"/>
        <s v="CLM70667"/>
        <s v="CLM70668"/>
        <s v="CLM70670"/>
        <s v="CLM70671"/>
        <s v="CLM70672"/>
        <s v="CLM70674"/>
        <s v="CLM70676"/>
        <s v="CLM70677"/>
        <s v="CLM70678"/>
        <s v="CLM70679"/>
        <s v="CLM70680"/>
        <s v="CLM70682"/>
        <s v="CLM70683"/>
        <s v="CLM70685"/>
        <s v="CLM70686"/>
        <s v="CLM70687"/>
        <s v="CLM70688"/>
        <s v="CLM70689"/>
        <s v="CLM70690"/>
        <s v="CLM70691"/>
        <s v="CLM70693"/>
        <s v="CLM70695"/>
        <s v="CLM70696"/>
        <s v="CLM70697"/>
        <s v="CLM70698"/>
        <s v="CLM70699"/>
        <s v="CLM70700"/>
        <s v="CLM70701"/>
        <s v="CLM70702"/>
        <s v="CLM70703"/>
        <s v="CLM70704"/>
        <s v="CLM70705"/>
        <s v="CLM70709"/>
        <s v="CLM70710"/>
        <s v="CLM70712"/>
        <s v="CLM70713"/>
        <s v="CLM70714"/>
        <s v="CLM70715"/>
        <s v="CLM70716"/>
        <s v="CLM70717"/>
        <s v="CLM70721"/>
        <s v="CLM70722"/>
        <s v="CLM70723"/>
        <s v="CLM70724"/>
        <s v="CLM70726"/>
        <s v="CLM70727"/>
        <s v="CLM70729"/>
        <s v="CLM70731"/>
        <s v="CLM70732"/>
        <s v="CLM70733"/>
        <s v="CLM70734"/>
        <s v="CLM70736"/>
        <s v="CLM70737"/>
        <s v="CLM70738"/>
        <s v="CLM70740"/>
        <s v="CLM70741"/>
        <s v="CLM70742"/>
        <s v="CLM70743"/>
        <s v="CLM70744"/>
        <s v="CLM70745"/>
        <s v="CLM70747"/>
        <s v="CLM70748"/>
        <s v="CLM70750"/>
        <s v="CLM70751"/>
        <s v="CLM70753"/>
        <s v="CLM70754"/>
        <s v="CLM70755"/>
        <s v="CLM70756"/>
        <s v="CLM70757"/>
        <s v="CLM70759"/>
        <s v="CLM70762"/>
        <s v="CLM70763"/>
        <s v="CLM70765"/>
        <s v="CLM70766"/>
        <s v="CLM70767"/>
        <s v="CLM70770"/>
        <s v="CLM70772"/>
        <s v="CLM70773"/>
        <s v="CLM70776"/>
        <s v="CLM70777"/>
        <s v="CLM70779"/>
        <s v="CLM70780"/>
        <s v="CLM70782"/>
        <s v="CLM70783"/>
        <s v="CLM70784"/>
        <s v="CLM70786"/>
        <s v="CLM70787"/>
        <s v="CLM70788"/>
        <s v="CLM70789"/>
        <s v="CLM70790"/>
        <s v="CLM70791"/>
        <s v="CLM70792"/>
        <s v="CLM70793"/>
        <s v="CLM70794"/>
        <s v="CLM70795"/>
        <s v="CLM70797"/>
        <s v="CLM70799"/>
        <s v="CLM70800"/>
        <s v="CLM70801"/>
        <s v="CLM70802"/>
        <s v="CLM70803"/>
        <s v="CLM70804"/>
        <s v="CLM70805"/>
        <s v="CLM70806"/>
        <s v="CLM70808"/>
        <s v="CLM70810"/>
        <s v="CLM70811"/>
        <s v="CLM70812"/>
        <s v="CLM70814"/>
        <s v="CLM70815"/>
        <s v="CLM70816"/>
        <s v="CLM70817"/>
        <s v="CLM70818"/>
        <s v="CLM70820"/>
        <s v="CLM70822"/>
        <s v="CLM70823"/>
        <s v="CLM70824"/>
        <s v="CLM70825"/>
        <s v="CLM70826"/>
        <s v="CLM70827"/>
        <s v="CLM70828"/>
        <s v="CLM70830"/>
        <s v="CLM70832"/>
        <s v="CLM70833"/>
        <s v="CLM70834"/>
        <s v="CLM70835"/>
        <s v="CLM70836"/>
        <s v="CLM70837"/>
        <s v="CLM70838"/>
        <s v="CLM70840"/>
        <s v="CLM70843"/>
        <s v="CLM70844"/>
        <s v="CLM70845"/>
        <s v="CLM70846"/>
        <s v="CLM70847"/>
        <s v="CLM70849"/>
        <s v="CLM70850"/>
        <s v="CLM70851"/>
        <s v="CLM70852"/>
        <s v="CLM70853"/>
        <s v="CLM70854"/>
        <s v="CLM70856"/>
        <s v="CLM70857"/>
        <s v="CLM70860"/>
        <s v="CLM70863"/>
        <s v="CLM70864"/>
        <s v="CLM70865"/>
        <s v="CLM70866"/>
        <s v="CLM70867"/>
        <s v="CLM70868"/>
        <s v="CLM70869"/>
        <s v="CLM70871"/>
        <s v="CLM70872"/>
        <s v="CLM70874"/>
        <s v="CLM70875"/>
        <s v="CLM70876"/>
        <s v="CLM70877"/>
        <s v="CLM70878"/>
        <s v="CLM70880"/>
        <s v="CLM70881"/>
        <s v="CLM70882"/>
        <s v="CLM70883"/>
        <s v="CLM70884"/>
        <s v="CLM70885"/>
        <s v="CLM70886"/>
        <s v="CLM70887"/>
        <s v="CLM70888"/>
        <s v="CLM70890"/>
        <s v="CLM70891"/>
        <s v="CLM70892"/>
        <s v="CLM70896"/>
        <s v="CLM70897"/>
        <s v="CLM70898"/>
        <s v="CLM70899"/>
        <s v="CLM70900"/>
        <s v="CLM70902"/>
        <s v="CLM70903"/>
        <s v="CLM70906"/>
        <s v="CLM70907"/>
        <s v="CLM70908"/>
        <s v="CLM70910"/>
        <s v="CLM70912"/>
        <s v="CLM70913"/>
        <s v="CLM70914"/>
        <s v="CLM70915"/>
        <s v="CLM70917"/>
        <s v="CLM70918"/>
        <s v="CLM70919"/>
        <s v="CLM70921"/>
        <s v="CLM70923"/>
        <s v="CLM70924"/>
        <s v="CLM70925"/>
        <s v="CLM70926"/>
        <s v="CLM70928"/>
        <s v="CLM70931"/>
        <s v="CLM70933"/>
        <s v="CLM70934"/>
        <s v="CLM70935"/>
        <s v="CLM70936"/>
        <s v="CLM70939"/>
        <s v="CLM70940"/>
        <s v="CLM70941"/>
        <s v="CLM70942"/>
        <s v="CLM70943"/>
        <s v="CLM70944"/>
        <s v="CLM70945"/>
        <s v="CLM70946"/>
        <s v="CLM70947"/>
        <s v="CLM70948"/>
        <s v="CLM70949"/>
        <s v="CLM70950"/>
        <s v="CLM70951"/>
        <s v="CLM70958"/>
        <s v="CLM70959"/>
        <s v="CLM70960"/>
        <s v="CLM70961"/>
        <s v="CLM70962"/>
        <s v="CLM70963"/>
        <s v="CLM70967"/>
        <s v="CLM70968"/>
        <s v="CLM70972"/>
        <s v="CLM70973"/>
        <s v="CLM70974"/>
        <s v="CLM70976"/>
        <s v="CLM70977"/>
        <s v="CLM70981"/>
        <s v="CLM70982"/>
        <s v="CLM70983"/>
        <s v="CLM70984"/>
        <s v="CLM70985"/>
        <s v="CLM70986"/>
        <s v="CLM70988"/>
        <s v="CLM70989"/>
        <s v="CLM70990"/>
        <s v="CLM70991"/>
        <s v="CLM70992"/>
        <s v="CLM70994"/>
        <s v="CLM70995"/>
        <s v="CLM70996"/>
        <s v="CLM70998"/>
        <s v="CLM71000"/>
        <s v="CLM71002"/>
        <s v="CLM71003"/>
        <s v="CLM71004"/>
        <s v="CLM71005"/>
        <s v="CLM71007"/>
        <s v="CLM71009"/>
        <s v="CLM71010"/>
        <s v="CLM71011"/>
        <s v="CLM71012"/>
        <s v="CLM71013"/>
        <s v="CLM71014"/>
        <s v="CLM71016"/>
        <s v="CLM71017"/>
        <s v="CLM71019"/>
        <s v="CLM71020"/>
        <s v="CLM71022"/>
        <s v="CLM71024"/>
        <s v="CLM71025"/>
        <s v="CLM71026"/>
        <s v="CLM71027"/>
        <s v="CLM71028"/>
        <s v="CLM71030"/>
        <s v="CLM71031"/>
        <s v="CLM71032"/>
        <s v="CLM71033"/>
        <s v="CLM71034"/>
        <s v="CLM71035"/>
        <s v="CLM71037"/>
        <s v="CLM71038"/>
        <s v="CLM71039"/>
        <s v="CLM71040"/>
        <s v="CLM71041"/>
        <s v="CLM71043"/>
        <s v="CLM71044"/>
        <s v="CLM71045"/>
        <s v="CLM71046"/>
        <s v="CLM71047"/>
        <s v="CLM71048"/>
        <s v="CLM71049"/>
        <s v="CLM71052"/>
        <s v="CLM71053"/>
        <s v="CLM71054"/>
        <s v="CLM71056"/>
        <s v="CLM71057"/>
        <s v="CLM71060"/>
        <s v="CLM71061"/>
        <s v="CLM71063"/>
        <s v="CLM71067"/>
        <s v="CLM71068"/>
        <s v="CLM71070"/>
        <s v="CLM71071"/>
        <s v="CLM71072"/>
        <s v="CLM71073"/>
        <s v="CLM71074"/>
        <s v="CLM71075"/>
        <s v="CLM71077"/>
        <s v="CLM71079"/>
        <s v="CLM71081"/>
        <s v="CLM71082"/>
        <s v="CLM71083"/>
        <s v="CLM71084"/>
        <s v="CLM71086"/>
        <s v="CLM71087"/>
        <s v="CLM71088"/>
        <s v="CLM71089"/>
        <s v="CLM71090"/>
        <s v="CLM71091"/>
        <s v="CLM71092"/>
        <s v="CLM71095"/>
        <s v="CLM71096"/>
        <s v="CLM71097"/>
        <s v="CLM71098"/>
        <s v="CLM71099"/>
        <s v="CLM71101"/>
        <s v="CLM71104"/>
        <s v="CLM71105"/>
        <s v="CLM71106"/>
        <s v="CLM71107"/>
        <s v="CLM71108"/>
        <s v="CLM71111"/>
        <s v="CLM71112"/>
        <s v="CLM71113"/>
        <s v="CLM71115"/>
        <s v="CLM71117"/>
        <s v="CLM71119"/>
        <s v="CLM71120"/>
        <s v="CLM71121"/>
        <s v="CLM71123"/>
        <s v="CLM71124"/>
        <s v="CLM71126"/>
        <s v="CLM71127"/>
        <s v="CLM71128"/>
        <s v="CLM71132"/>
        <s v="CLM71133"/>
        <s v="CLM71134"/>
        <s v="CLM71135"/>
        <s v="CLM71136"/>
        <s v="CLM71137"/>
        <s v="CLM71139"/>
        <s v="CLM71140"/>
        <s v="CLM71143"/>
        <s v="CLM71144"/>
        <s v="CLM71145"/>
        <s v="CLM71146"/>
        <s v="CLM71147"/>
        <s v="CLM71148"/>
        <s v="CLM71150"/>
        <s v="CLM71151"/>
        <s v="CLM71152"/>
        <s v="CLM71154"/>
        <s v="CLM71155"/>
        <s v="CLM71156"/>
        <s v="CLM71157"/>
        <s v="CLM71158"/>
        <s v="CLM71159"/>
        <s v="CLM71160"/>
        <s v="CLM71161"/>
        <s v="CLM71162"/>
        <s v="CLM71163"/>
        <s v="CLM71164"/>
        <s v="CLM71165"/>
        <s v="CLM71166"/>
        <s v="CLM71167"/>
        <s v="CLM71169"/>
        <s v="CLM71170"/>
        <s v="CLM71171"/>
        <s v="CLM71174"/>
        <s v="CLM71175"/>
        <s v="CLM71177"/>
        <s v="CLM71178"/>
        <s v="CLM71179"/>
        <s v="CLM71180"/>
        <s v="CLM71181"/>
        <s v="CLM71182"/>
        <s v="CLM71184"/>
        <s v="CLM71185"/>
        <s v="CLM71186"/>
        <s v="CLM71187"/>
        <s v="CLM71188"/>
        <s v="CLM71190"/>
        <s v="CLM71192"/>
        <s v="CLM71198"/>
        <s v="CLM71199"/>
        <s v="CLM71200"/>
        <s v="CLM71202"/>
        <s v="CLM71203"/>
        <s v="CLM71204"/>
        <s v="CLM71206"/>
        <s v="CLM71207"/>
        <s v="CLM71208"/>
        <s v="CLM71209"/>
        <s v="CLM71210"/>
        <s v="CLM71211"/>
        <s v="CLM71212"/>
        <s v="CLM71213"/>
        <s v="CLM71214"/>
        <s v="CLM71215"/>
        <s v="CLM71216"/>
        <s v="CLM71219"/>
        <s v="CLM71220"/>
        <s v="CLM71221"/>
        <s v="CLM71223"/>
        <s v="CLM71225"/>
        <s v="CLM71228"/>
        <s v="CLM71229"/>
        <s v="CLM71230"/>
        <s v="CLM71231"/>
        <s v="CLM71232"/>
        <s v="CLM71234"/>
        <s v="CLM71235"/>
        <s v="CLM71238"/>
        <s v="CLM71240"/>
        <s v="CLM71241"/>
        <s v="CLM71243"/>
        <s v="CLM71246"/>
        <s v="CLM71249"/>
        <s v="CLM71251"/>
        <s v="CLM71252"/>
        <s v="CLM71254"/>
        <s v="CLM71256"/>
        <s v="CLM71257"/>
        <s v="CLM71258"/>
        <s v="CLM71259"/>
        <s v="CLM71260"/>
        <s v="CLM71262"/>
        <s v="CLM71263"/>
        <s v="CLM71264"/>
        <s v="CLM71265"/>
        <s v="CLM71266"/>
        <s v="CLM71268"/>
        <s v="CLM71270"/>
        <s v="CLM71271"/>
        <s v="CLM71273"/>
        <s v="CLM71274"/>
        <s v="CLM71275"/>
        <s v="CLM71276"/>
        <s v="CLM71277"/>
        <s v="CLM71279"/>
        <s v="CLM71280"/>
        <s v="CLM71281"/>
        <s v="CLM71282"/>
        <s v="CLM71283"/>
        <s v="CLM71285"/>
        <s v="CLM71288"/>
        <s v="CLM71289"/>
        <s v="CLM71290"/>
        <s v="CLM71291"/>
        <s v="CLM71292"/>
        <s v="CLM71294"/>
        <s v="CLM71295"/>
        <s v="CLM71297"/>
        <s v="CLM71298"/>
        <s v="CLM71301"/>
        <s v="CLM71303"/>
        <s v="CLM71305"/>
        <s v="CLM71306"/>
        <s v="CLM71307"/>
        <s v="CLM71308"/>
        <s v="CLM71309"/>
        <s v="CLM71311"/>
        <s v="CLM71314"/>
        <s v="CLM71317"/>
        <s v="CLM71319"/>
        <s v="CLM71323"/>
        <s v="CLM71324"/>
        <s v="CLM71326"/>
        <s v="CLM71327"/>
        <s v="CLM71328"/>
        <s v="CLM71329"/>
        <s v="CLM71332"/>
        <s v="CLM71335"/>
        <s v="CLM71336"/>
        <s v="CLM71337"/>
        <s v="CLM71339"/>
        <s v="CLM71340"/>
        <s v="CLM71341"/>
        <s v="CLM71342"/>
        <s v="CLM71343"/>
        <s v="CLM71344"/>
        <s v="CLM71346"/>
        <s v="CLM71348"/>
        <s v="CLM71350"/>
        <s v="CLM71352"/>
        <s v="CLM71353"/>
        <s v="CLM71354"/>
        <s v="CLM71356"/>
        <s v="CLM71357"/>
        <s v="CLM71359"/>
        <s v="CLM71360"/>
        <s v="CLM71361"/>
        <s v="CLM71362"/>
        <s v="CLM71363"/>
        <s v="CLM71364"/>
        <s v="CLM71365"/>
        <s v="CLM71366"/>
        <s v="CLM71367"/>
        <s v="CLM71369"/>
        <s v="CLM71370"/>
        <s v="CLM71371"/>
        <s v="CLM71372"/>
        <s v="CLM71374"/>
        <s v="CLM71375"/>
        <s v="CLM71377"/>
        <s v="CLM71378"/>
        <s v="CLM71379"/>
        <s v="CLM71380"/>
        <s v="CLM71381"/>
        <s v="CLM71382"/>
        <s v="CLM71383"/>
        <s v="CLM71385"/>
        <s v="CLM71389"/>
        <s v="CLM71391"/>
        <s v="CLM71392"/>
        <s v="CLM71393"/>
        <s v="CLM71395"/>
        <s v="CLM71396"/>
        <s v="CLM71398"/>
        <s v="CLM71400"/>
        <s v="CLM71401"/>
        <s v="CLM71402"/>
        <s v="CLM71404"/>
        <s v="CLM71405"/>
        <s v="CLM71406"/>
        <s v="CLM71407"/>
        <s v="CLM71408"/>
        <s v="CLM71409"/>
        <s v="CLM71411"/>
        <s v="CLM71412"/>
        <s v="CLM71413"/>
        <s v="CLM71414"/>
        <s v="CLM71415"/>
        <s v="CLM71416"/>
        <s v="CLM71418"/>
        <s v="CLM71419"/>
        <s v="CLM71421"/>
        <s v="CLM71422"/>
        <s v="CLM71423"/>
        <s v="CLM71424"/>
        <s v="CLM71425"/>
        <s v="CLM71427"/>
        <s v="CLM71428"/>
        <s v="CLM71429"/>
        <s v="CLM71430"/>
        <s v="CLM71431"/>
        <s v="CLM71433"/>
        <s v="CLM71435"/>
        <s v="CLM71437"/>
        <s v="CLM71438"/>
        <s v="CLM71439"/>
        <s v="CLM71440"/>
        <s v="CLM71441"/>
        <s v="CLM71442"/>
        <s v="CLM71443"/>
        <s v="CLM71444"/>
        <s v="CLM71446"/>
        <s v="CLM71448"/>
        <s v="CLM71449"/>
        <s v="CLM71450"/>
        <s v="CLM71453"/>
        <s v="CLM71454"/>
        <s v="CLM71455"/>
        <s v="CLM71456"/>
        <s v="CLM71458"/>
        <s v="CLM71459"/>
        <s v="CLM71460"/>
        <s v="CLM71462"/>
        <s v="CLM71465"/>
        <s v="CLM71467"/>
        <s v="CLM71468"/>
        <s v="CLM71470"/>
        <s v="CLM71471"/>
        <s v="CLM71473"/>
        <s v="CLM71474"/>
        <s v="CLM71476"/>
        <s v="CLM71478"/>
        <s v="CLM71481"/>
        <s v="CLM71482"/>
        <s v="CLM71485"/>
        <s v="CLM71486"/>
        <s v="CLM71488"/>
        <s v="CLM71489"/>
        <s v="CLM71491"/>
        <s v="CLM71492"/>
        <s v="CLM71494"/>
        <s v="CLM71495"/>
        <s v="CLM71496"/>
        <s v="CLM71497"/>
        <s v="CLM71499"/>
        <s v="CLM71500"/>
        <s v="CLM71501"/>
        <s v="CLM71502"/>
        <s v="CLM71504"/>
        <s v="CLM71505"/>
        <s v="CLM71506"/>
        <s v="CLM71509"/>
        <s v="CLM71510"/>
        <s v="CLM71511"/>
        <s v="CLM71512"/>
        <s v="CLM71516"/>
        <s v="CLM71517"/>
        <s v="CLM71520"/>
        <s v="CLM71521"/>
        <s v="CLM71522"/>
        <s v="CLM71523"/>
        <s v="CLM71526"/>
        <s v="CLM71527"/>
        <s v="CLM71529"/>
        <s v="CLM71530"/>
        <s v="CLM71531"/>
        <s v="CLM71532"/>
        <s v="CLM71533"/>
        <s v="CLM71536"/>
        <s v="CLM71537"/>
        <s v="CLM71539"/>
        <s v="CLM71540"/>
        <s v="CLM71541"/>
        <s v="CLM71542"/>
        <s v="CLM71543"/>
        <s v="CLM71544"/>
        <s v="CLM71545"/>
        <s v="CLM71546"/>
        <s v="CLM71547"/>
        <s v="CLM71548"/>
        <s v="CLM71549"/>
        <s v="CLM71553"/>
        <s v="CLM71554"/>
        <s v="CLM71555"/>
        <s v="CLM71556"/>
        <s v="CLM71558"/>
        <s v="CLM71560"/>
        <s v="CLM71561"/>
        <s v="CLM71563"/>
        <s v="CLM71564"/>
        <s v="CLM71565"/>
        <s v="CLM71567"/>
        <s v="CLM71568"/>
        <s v="CLM71570"/>
        <s v="CLM71571"/>
        <s v="CLM71572"/>
        <s v="CLM71573"/>
        <s v="CLM71575"/>
        <s v="CLM71577"/>
        <s v="CLM71578"/>
        <s v="CLM71579"/>
        <s v="CLM71580"/>
        <s v="CLM71581"/>
        <s v="CLM71582"/>
        <s v="CLM71583"/>
        <s v="CLM71585"/>
        <s v="CLM71586"/>
        <s v="CLM71588"/>
        <s v="CLM71589"/>
        <s v="CLM71591"/>
        <s v="CLM71593"/>
        <s v="CLM71594"/>
        <s v="CLM71595"/>
        <s v="CLM71598"/>
        <s v="CLM71599"/>
        <s v="CLM71601"/>
        <s v="CLM71602"/>
        <s v="CLM71603"/>
        <s v="CLM71604"/>
        <s v="CLM71605"/>
        <s v="CLM71606"/>
        <s v="CLM71607"/>
        <s v="CLM71609"/>
        <s v="CLM71610"/>
        <s v="CLM71611"/>
        <s v="CLM71612"/>
        <s v="CLM71613"/>
        <s v="CLM71614"/>
        <s v="CLM71615"/>
        <s v="CLM71616"/>
        <s v="CLM71618"/>
        <s v="CLM71619"/>
        <s v="CLM71621"/>
        <s v="CLM71622"/>
        <s v="CLM71623"/>
        <s v="CLM71624"/>
        <s v="CLM71625"/>
        <s v="CLM71626"/>
        <s v="CLM71627"/>
        <s v="CLM71628"/>
        <s v="CLM71630"/>
        <s v="CLM71631"/>
        <s v="CLM71632"/>
        <s v="CLM71633"/>
        <s v="CLM71634"/>
        <s v="CLM71635"/>
        <s v="CLM71636"/>
        <s v="CLM71638"/>
        <s v="CLM71640"/>
        <s v="CLM71641"/>
        <s v="CLM71642"/>
        <s v="CLM71643"/>
        <s v="CLM71644"/>
        <s v="CLM71646"/>
        <s v="CLM71647"/>
        <s v="CLM71649"/>
        <s v="CLM71650"/>
        <s v="CLM71651"/>
        <s v="CLM71652"/>
        <s v="CLM71655"/>
        <s v="CLM71657"/>
        <s v="CLM71660"/>
        <s v="CLM71661"/>
        <s v="CLM71662"/>
        <s v="CLM71663"/>
        <s v="CLM71665"/>
        <s v="CLM71666"/>
        <s v="CLM71668"/>
        <s v="CLM71670"/>
        <s v="CLM71671"/>
        <s v="CLM71672"/>
        <s v="CLM71673"/>
        <s v="CLM71674"/>
        <s v="CLM71675"/>
        <s v="CLM71676"/>
        <s v="CLM71677"/>
        <s v="CLM71678"/>
        <s v="CLM71679"/>
        <s v="CLM71681"/>
        <s v="CLM71685"/>
        <s v="CLM71686"/>
        <s v="CLM71687"/>
        <s v="CLM71688"/>
        <s v="CLM71689"/>
        <s v="CLM71692"/>
        <s v="CLM71694"/>
        <s v="CLM71695"/>
        <s v="CLM71696"/>
        <s v="CLM71699"/>
        <s v="CLM71701"/>
        <s v="CLM71704"/>
        <s v="CLM71705"/>
        <s v="CLM71706"/>
        <s v="CLM71707"/>
        <s v="CLM71709"/>
        <s v="CLM71710"/>
        <s v="CLM71711"/>
        <s v="CLM71712"/>
        <s v="CLM71713"/>
        <s v="CLM71715"/>
        <s v="CLM71717"/>
        <s v="CLM71719"/>
        <s v="CLM71720"/>
        <s v="CLM71721"/>
        <s v="CLM71722"/>
        <s v="CLM71723"/>
        <s v="CLM71724"/>
        <s v="CLM71725"/>
        <s v="CLM71726"/>
        <s v="CLM71729"/>
        <s v="CLM71732"/>
        <s v="CLM71733"/>
        <s v="CLM71734"/>
        <s v="CLM71736"/>
        <s v="CLM71738"/>
        <s v="CLM71740"/>
        <s v="CLM71741"/>
        <s v="CLM71742"/>
        <s v="CLM71743"/>
        <s v="CLM71744"/>
        <s v="CLM71745"/>
        <s v="CLM71748"/>
        <s v="CLM71749"/>
        <s v="CLM71753"/>
        <s v="CLM71754"/>
        <s v="CLM71756"/>
        <s v="CLM71757"/>
        <s v="CLM71758"/>
        <s v="CLM71760"/>
        <s v="CLM71762"/>
        <s v="CLM71763"/>
        <s v="CLM71764"/>
        <s v="CLM71765"/>
        <s v="CLM71766"/>
        <s v="CLM71767"/>
        <s v="CLM71768"/>
        <s v="CLM71769"/>
        <s v="CLM71771"/>
        <s v="CLM71772"/>
        <s v="CLM71774"/>
        <s v="CLM71776"/>
        <s v="CLM71777"/>
        <s v="CLM71778"/>
        <s v="CLM71779"/>
        <s v="CLM71780"/>
        <s v="CLM71782"/>
        <s v="CLM71784"/>
        <s v="CLM71785"/>
        <s v="CLM71787"/>
        <s v="CLM71788"/>
        <s v="CLM71789"/>
        <s v="CLM71790"/>
        <s v="CLM71791"/>
        <s v="CLM71792"/>
        <s v="CLM71793"/>
        <s v="CLM71794"/>
        <s v="CLM71795"/>
        <s v="CLM71796"/>
        <s v="CLM71798"/>
        <s v="CLM71801"/>
        <s v="CLM71802"/>
        <s v="CLM71803"/>
        <s v="CLM71804"/>
        <s v="CLM71805"/>
        <s v="CLM71806"/>
        <s v="CLM71807"/>
        <s v="CLM71810"/>
        <s v="CLM71811"/>
        <s v="CLM71812"/>
        <s v="CLM71813"/>
        <s v="CLM71814"/>
        <s v="CLM71815"/>
        <s v="CLM71816"/>
        <s v="CLM71817"/>
        <s v="CLM71818"/>
        <s v="CLM71819"/>
        <s v="CLM71820"/>
        <s v="CLM71821"/>
        <s v="CLM71822"/>
        <s v="CLM71823"/>
        <s v="CLM71824"/>
        <s v="CLM71825"/>
        <s v="CLM71826"/>
        <s v="CLM71827"/>
        <s v="CLM71828"/>
        <s v="CLM71831"/>
        <s v="CLM71832"/>
        <s v="CLM71833"/>
        <s v="CLM71839"/>
        <s v="CLM71840"/>
        <s v="CLM71841"/>
        <s v="CLM71842"/>
        <s v="CLM71843"/>
        <s v="CLM71845"/>
        <s v="CLM71846"/>
        <s v="CLM71848"/>
        <s v="CLM71851"/>
        <s v="CLM71852"/>
        <s v="CLM71853"/>
        <s v="CLM71854"/>
        <s v="CLM71856"/>
        <s v="CLM71857"/>
        <s v="CLM71858"/>
        <s v="CLM71860"/>
        <s v="CLM71861"/>
        <s v="CLM71863"/>
        <s v="CLM71865"/>
        <s v="CLM71866"/>
        <s v="CLM71868"/>
        <s v="CLM71869"/>
        <s v="CLM71871"/>
        <s v="CLM71872"/>
        <s v="CLM71873"/>
        <s v="CLM71874"/>
        <s v="CLM71875"/>
        <s v="CLM71877"/>
        <s v="CLM71878"/>
        <s v="CLM71880"/>
        <s v="CLM71881"/>
        <s v="CLM71883"/>
        <s v="CLM71884"/>
        <s v="CLM71885"/>
        <s v="CLM71886"/>
        <s v="CLM71888"/>
        <s v="CLM71889"/>
        <s v="CLM71891"/>
        <s v="CLM71892"/>
        <s v="CLM71893"/>
        <s v="CLM71894"/>
        <s v="CLM71895"/>
        <s v="CLM71896"/>
        <s v="CLM71898"/>
        <s v="CLM71899"/>
        <s v="CLM71900"/>
        <s v="CLM71901"/>
        <s v="CLM71902"/>
        <s v="CLM71903"/>
        <s v="CLM71904"/>
        <s v="CLM71905"/>
        <s v="CLM71906"/>
        <s v="CLM71908"/>
        <s v="CLM71909"/>
        <s v="CLM71910"/>
        <s v="CLM71911"/>
        <s v="CLM71912"/>
        <s v="CLM71913"/>
        <s v="CLM71915"/>
        <s v="CLM71917"/>
        <s v="CLM71918"/>
        <s v="CLM71919"/>
        <s v="CLM71920"/>
        <s v="CLM71921"/>
        <s v="CLM71925"/>
        <s v="CLM71926"/>
        <s v="CLM71927"/>
        <s v="CLM71928"/>
        <s v="CLM71931"/>
        <s v="CLM71933"/>
        <s v="CLM71934"/>
        <s v="CLM71935"/>
        <s v="CLM71936"/>
        <s v="CLM71937"/>
        <s v="CLM71938"/>
        <s v="CLM71939"/>
        <s v="CLM71940"/>
        <s v="CLM71941"/>
        <s v="CLM71942"/>
        <s v="CLM71946"/>
        <s v="CLM71947"/>
        <s v="CLM71950"/>
        <s v="CLM71951"/>
        <s v="CLM71952"/>
        <s v="CLM71953"/>
        <s v="CLM71955"/>
        <s v="CLM71956"/>
        <s v="CLM71957"/>
        <s v="CLM71959"/>
        <s v="CLM71960"/>
        <s v="CLM71961"/>
        <s v="CLM71962"/>
        <s v="CLM71965"/>
        <s v="CLM71966"/>
        <s v="CLM71969"/>
        <s v="CLM71971"/>
        <s v="CLM71973"/>
        <s v="CLM71974"/>
        <s v="CLM71975"/>
        <s v="CLM71977"/>
        <s v="CLM71978"/>
        <s v="CLM71979"/>
        <s v="CLM71981"/>
        <s v="CLM71982"/>
        <s v="CLM71984"/>
        <s v="CLM71985"/>
        <s v="CLM71986"/>
        <s v="CLM71987"/>
        <s v="CLM71988"/>
        <s v="CLM71991"/>
        <s v="CLM71994"/>
        <s v="CLM71997"/>
        <s v="CLM71998"/>
        <s v="CLM71999"/>
      </sharedItems>
    </cacheField>
    <cacheField name="policy_id" numFmtId="0">
      <sharedItems/>
    </cacheField>
    <cacheField name="claim_date" numFmtId="14">
      <sharedItems containsSemiMixedTypes="0" containsNonDate="0" containsDate="1" containsString="0" minDate="2020-08-31T00:00:00" maxDate="2025-06-30T00:00:00"/>
    </cacheField>
    <cacheField name="claim_amount" numFmtId="0">
      <sharedItems containsSemiMixedTypes="0" containsString="0" containsNumber="1" minValue="10149.32" maxValue="499431.2" count="1406">
        <n v="379127.79"/>
        <n v="431984.06"/>
        <n v="206765.82"/>
        <n v="225358.05"/>
        <n v="340208.27"/>
        <n v="124603.36"/>
        <n v="83575.259999999995"/>
        <n v="239279.38"/>
        <n v="394794.62"/>
        <n v="375987.61"/>
        <n v="495032.58"/>
        <n v="468259.32"/>
        <n v="470562.44"/>
        <n v="421414.85"/>
        <n v="155992.82"/>
        <n v="255073.2"/>
        <n v="67527.06"/>
        <n v="22088.7"/>
        <n v="350386.21"/>
        <n v="124876.51"/>
        <n v="401659.17"/>
        <n v="285832.96999999997"/>
        <n v="480795.2"/>
        <n v="367933.53"/>
        <n v="107721.44"/>
        <n v="397208.6"/>
        <n v="135683.89000000001"/>
        <n v="379326.31"/>
        <n v="446549.2"/>
        <n v="127488.96000000001"/>
        <n v="365730.12"/>
        <n v="486508.65"/>
        <n v="27907.74"/>
        <n v="489315.33"/>
        <n v="274741.44"/>
        <n v="301554.48"/>
        <n v="155059.69"/>
        <n v="487345.7"/>
        <n v="122203.19"/>
        <n v="23474.7"/>
        <n v="156041.48000000001"/>
        <n v="189563.24"/>
        <n v="413787.2"/>
        <n v="445095.51"/>
        <n v="79263.210000000006"/>
        <n v="172221.13"/>
        <n v="191244.94"/>
        <n v="267667.93"/>
        <n v="422381.21"/>
        <n v="435372.41"/>
        <n v="342793.84"/>
        <n v="271007.14"/>
        <n v="389411.04"/>
        <n v="112536.24"/>
        <n v="296977.2"/>
        <n v="386747.78"/>
        <n v="182099.71"/>
        <n v="405963.06"/>
        <n v="243607.52"/>
        <n v="498110.26"/>
        <n v="269337.03000000003"/>
        <n v="86152.38"/>
        <n v="411616.47"/>
        <n v="345978.75"/>
        <n v="48118.03"/>
        <n v="308159.53999999998"/>
        <n v="97264.45"/>
        <n v="128300.14"/>
        <n v="462147.09"/>
        <n v="192823.07"/>
        <n v="88266.82"/>
        <n v="16861.39"/>
        <n v="309197.71000000002"/>
        <n v="50005.2"/>
        <n v="26489.24"/>
        <n v="336815.69"/>
        <n v="453099.96"/>
        <n v="133918.39999999999"/>
        <n v="121826.81"/>
        <n v="239290.7"/>
        <n v="39974.79"/>
        <n v="40452.32"/>
        <n v="263130.25"/>
        <n v="29898.86"/>
        <n v="259993.08"/>
        <n v="282324.3"/>
        <n v="415196.39"/>
        <n v="362825.55"/>
        <n v="109215.32"/>
        <n v="426039.67"/>
        <n v="102228.31"/>
        <n v="164633.69"/>
        <n v="436651.52000000002"/>
        <n v="217480.8"/>
        <n v="341474.05"/>
        <n v="256398.09"/>
        <n v="10635.02"/>
        <n v="107740.44"/>
        <n v="256866.78"/>
        <n v="458792.01"/>
        <n v="152733.62"/>
        <n v="61139.51"/>
        <n v="476174.32"/>
        <n v="92787.13"/>
        <n v="295545.45"/>
        <n v="306260.24"/>
        <n v="364034.51"/>
        <n v="184869.23"/>
        <n v="221156.11"/>
        <n v="258943.83"/>
        <n v="213356.52"/>
        <n v="112452.52"/>
        <n v="488577.23"/>
        <n v="327390.71000000002"/>
        <n v="135977.79999999999"/>
        <n v="394219.55"/>
        <n v="336857.47"/>
        <n v="247989.67"/>
        <n v="273144.38"/>
        <n v="154687.21"/>
        <n v="457612.09"/>
        <n v="488187.59"/>
        <n v="29479.3"/>
        <n v="163193.93"/>
        <n v="189978.06"/>
        <n v="328753.52"/>
        <n v="321517.03999999998"/>
        <n v="262646.40999999997"/>
        <n v="33763.5"/>
        <n v="77044.320000000007"/>
        <n v="339920.91"/>
        <n v="372678.92"/>
        <n v="31637.5"/>
        <n v="149235.4"/>
        <n v="48669.74"/>
        <n v="482295.33"/>
        <n v="67178.490000000005"/>
        <n v="440231.31"/>
        <n v="194724.57"/>
        <n v="152037.89000000001"/>
        <n v="330986.68"/>
        <n v="56257.37"/>
        <n v="261627.82"/>
        <n v="101663.74"/>
        <n v="308304.73"/>
        <n v="207683.66"/>
        <n v="356339.89"/>
        <n v="447750.98"/>
        <n v="455651.57"/>
        <n v="450164.55"/>
        <n v="81896.600000000006"/>
        <n v="353734.5"/>
        <n v="395342.72"/>
        <n v="494578.94"/>
        <n v="245270.42"/>
        <n v="101342.84"/>
        <n v="340497.59"/>
        <n v="114187.16"/>
        <n v="282092.68"/>
        <n v="336832.73"/>
        <n v="291861"/>
        <n v="427818.99"/>
        <n v="457507.89"/>
        <n v="493129.9"/>
        <n v="185218.51"/>
        <n v="115903.76"/>
        <n v="393178.33"/>
        <n v="190001.79"/>
        <n v="366097.3"/>
        <n v="433352.03"/>
        <n v="412188.8"/>
        <n v="467606.14"/>
        <n v="126099.15"/>
        <n v="449234.45"/>
        <n v="405661.21"/>
        <n v="272997.51"/>
        <n v="49245.39"/>
        <n v="447811.8"/>
        <n v="184987.88"/>
        <n v="406639.31"/>
        <n v="457481.83"/>
        <n v="59758.77"/>
        <n v="78435.73"/>
        <n v="402854.59"/>
        <n v="318254.95"/>
        <n v="267764.89"/>
        <n v="309627.51"/>
        <n v="133966.5"/>
        <n v="304419.8"/>
        <n v="57482.06"/>
        <n v="455029.32"/>
        <n v="476956.81"/>
        <n v="94138.78"/>
        <n v="356676.7"/>
        <n v="367641.93"/>
        <n v="484327.59"/>
        <n v="38339.699999999997"/>
        <n v="264250.76"/>
        <n v="287492.87"/>
        <n v="104562.49"/>
        <n v="129279.97"/>
        <n v="37067.339999999997"/>
        <n v="493334.36"/>
        <n v="73512.63"/>
        <n v="85769.61"/>
        <n v="233959.67999999999"/>
        <n v="114582.05"/>
        <n v="387845.4"/>
        <n v="258879.73"/>
        <n v="65520.15"/>
        <n v="196494.94"/>
        <n v="322079.89"/>
        <n v="214631.35"/>
        <n v="277848.06"/>
        <n v="292666.33"/>
        <n v="148607.14000000001"/>
        <n v="452035.42"/>
        <n v="195376.45"/>
        <n v="461141.71"/>
        <n v="45462.26"/>
        <n v="56771.81"/>
        <n v="411558.37"/>
        <n v="466337.77"/>
        <n v="185521.49"/>
        <n v="439452.89"/>
        <n v="52119.21"/>
        <n v="66734.87"/>
        <n v="338952.13"/>
        <n v="12604.61"/>
        <n v="34321.730000000003"/>
        <n v="56954.14"/>
        <n v="168832.54"/>
        <n v="253134.89"/>
        <n v="244964.94"/>
        <n v="479361.52"/>
        <n v="453898.36"/>
        <n v="425694.53"/>
        <n v="379946.05"/>
        <n v="436254.47"/>
        <n v="78660.289999999994"/>
        <n v="406097.65"/>
        <n v="71824.289999999994"/>
        <n v="417200.51"/>
        <n v="181390.99"/>
        <n v="12370.26"/>
        <n v="26383.02"/>
        <n v="39795.760000000002"/>
        <n v="477370.67"/>
        <n v="150690.37"/>
        <n v="241520.88"/>
        <n v="140627.29"/>
        <n v="436313.09"/>
        <n v="124872.37"/>
        <n v="169556.1"/>
        <n v="208210.04"/>
        <n v="191858.29"/>
        <n v="475162.44"/>
        <n v="168784.33"/>
        <n v="310249.27"/>
        <n v="233644.36"/>
        <n v="386320.76"/>
        <n v="60178.34"/>
        <n v="117904.19"/>
        <n v="36841.730000000003"/>
        <n v="280442.42"/>
        <n v="265925.59000000003"/>
        <n v="213637.04"/>
        <n v="438839.88"/>
        <n v="392731.34"/>
        <n v="214306.63"/>
        <n v="259951.89"/>
        <n v="487715.92"/>
        <n v="230524.49"/>
        <n v="286394.42"/>
        <n v="64769.78"/>
        <n v="275437.57"/>
        <n v="166040.29999999999"/>
        <n v="437404.65"/>
        <n v="64495.51"/>
        <n v="159976.81"/>
        <n v="488883.26"/>
        <n v="491896.05"/>
        <n v="22432.49"/>
        <n v="17803.16"/>
        <n v="407382.82"/>
        <n v="107164.3"/>
        <n v="29211.48"/>
        <n v="369357.38"/>
        <n v="95048.42"/>
        <n v="151458.75"/>
        <n v="151572.29999999999"/>
        <n v="474181.65"/>
        <n v="293703.52"/>
        <n v="408849.07"/>
        <n v="250142.3"/>
        <n v="282708.86"/>
        <n v="201816.86"/>
        <n v="44155.64"/>
        <n v="199113.05"/>
        <n v="10748.7"/>
        <n v="463674.78"/>
        <n v="424771.72"/>
        <n v="245478.71"/>
        <n v="239060.02"/>
        <n v="46582.93"/>
        <n v="140450.99"/>
        <n v="470528.37"/>
        <n v="335500.18"/>
        <n v="453829.56"/>
        <n v="122461.9"/>
        <n v="295693.17"/>
        <n v="151964.19"/>
        <n v="402535.06"/>
        <n v="190503.64"/>
        <n v="345592.82"/>
        <n v="61637.25"/>
        <n v="372045.44"/>
        <n v="208271.16"/>
        <n v="354897.64"/>
        <n v="76140.63"/>
        <n v="371289.11"/>
        <n v="164222.81"/>
        <n v="398322"/>
        <n v="61320.62"/>
        <n v="345929.62"/>
        <n v="310183.83"/>
        <n v="409652.99"/>
        <n v="260675.02"/>
        <n v="252516.55"/>
        <n v="288512.78999999998"/>
        <n v="309774.02"/>
        <n v="324348.58"/>
        <n v="125802.81"/>
        <n v="383293.96"/>
        <n v="238127.82"/>
        <n v="362798.82"/>
        <n v="59022.83"/>
        <n v="50727.56"/>
        <n v="441455.45"/>
        <n v="381091.48"/>
        <n v="237731.86"/>
        <n v="422720.39"/>
        <n v="491666.16"/>
        <n v="372154.55"/>
        <n v="128668.89"/>
        <n v="112055.12"/>
        <n v="123096.32000000001"/>
        <n v="187074.71"/>
        <n v="460933.82"/>
        <n v="409627.62"/>
        <n v="87555.19"/>
        <n v="91520.639999999999"/>
        <n v="440418.6"/>
        <n v="336445.04"/>
        <n v="98554.05"/>
        <n v="128223.46"/>
        <n v="143477.29999999999"/>
        <n v="33015.050000000003"/>
        <n v="13690.15"/>
        <n v="46957.15"/>
        <n v="10149.32"/>
        <n v="11207.66"/>
        <n v="324749.94"/>
        <n v="284541.81"/>
        <n v="422592.4"/>
        <n v="218857.44"/>
        <n v="454521"/>
        <n v="478942.04"/>
        <n v="31159.05"/>
        <n v="348822.23"/>
        <n v="41176.01"/>
        <n v="344850.77"/>
        <n v="274916.26"/>
        <n v="305318.71000000002"/>
        <n v="173395.14"/>
        <n v="454027.59"/>
        <n v="425834.29"/>
        <n v="394241.52"/>
        <n v="312296.73"/>
        <n v="14155.31"/>
        <n v="76100.73"/>
        <n v="488183.98"/>
        <n v="402924.1"/>
        <n v="283843.20000000001"/>
        <n v="86631.74"/>
        <n v="343108.68"/>
        <n v="235657.28"/>
        <n v="434969.59"/>
        <n v="448471.85"/>
        <n v="152745.71"/>
        <n v="326726.24"/>
        <n v="82619.67"/>
        <n v="457294.86"/>
        <n v="429303.17"/>
        <n v="268811.09999999998"/>
        <n v="107906.6"/>
        <n v="73842.8"/>
        <n v="168188.43"/>
        <n v="418126.19"/>
        <n v="369971.69"/>
        <n v="273625.53000000003"/>
        <n v="209834.07"/>
        <n v="370261.95"/>
        <n v="189336.57"/>
        <n v="324147.59000000003"/>
        <n v="406856.5"/>
        <n v="462707.64"/>
        <n v="94124.21"/>
        <n v="262521.26"/>
        <n v="212519.8"/>
        <n v="34936.050000000003"/>
        <n v="145347.51999999999"/>
        <n v="277762.19"/>
        <n v="300843.15999999997"/>
        <n v="309943.75"/>
        <n v="164012.60999999999"/>
        <n v="338026.94"/>
        <n v="372008.28"/>
        <n v="162644.79"/>
        <n v="201720.36"/>
        <n v="125216.18"/>
        <n v="365567.23"/>
        <n v="467636.33"/>
        <n v="320418.61"/>
        <n v="127801.51"/>
        <n v="224710.94"/>
        <n v="21169.35"/>
        <n v="221909.33"/>
        <n v="431066.28"/>
        <n v="148753.84"/>
        <n v="172658.33"/>
        <n v="376116.12"/>
        <n v="37420.370000000003"/>
        <n v="331992.01"/>
        <n v="344870.58"/>
        <n v="113707.01"/>
        <n v="166035.16"/>
        <n v="221865.29"/>
        <n v="10932.6"/>
        <n v="163783.67000000001"/>
        <n v="300508.34999999998"/>
        <n v="83804.12"/>
        <n v="87672.34"/>
        <n v="146433.04"/>
        <n v="180720.22"/>
        <n v="56896.47"/>
        <n v="23407.58"/>
        <n v="239765.02"/>
        <n v="202606.89"/>
        <n v="330329"/>
        <n v="117975.78"/>
        <n v="193112.95"/>
        <n v="349052.49"/>
        <n v="159391.39000000001"/>
        <n v="227512.88"/>
        <n v="420024.83"/>
        <n v="198734.6"/>
        <n v="356754.34"/>
        <n v="322114.33"/>
        <n v="424462.62"/>
        <n v="405168.54"/>
        <n v="338905.93"/>
        <n v="272532.37"/>
        <n v="498300.64"/>
        <n v="281424.3"/>
        <n v="266023.8"/>
        <n v="225055.43"/>
        <n v="222780.57"/>
        <n v="149582.53"/>
        <n v="194450.26"/>
        <n v="321314.21999999997"/>
        <n v="244325.81"/>
        <n v="230908.41"/>
        <n v="488209.13"/>
        <n v="366449.98"/>
        <n v="257100.2"/>
        <n v="325890.34999999998"/>
        <n v="294479.63"/>
        <n v="310501.14"/>
        <n v="122785.85"/>
        <n v="417467.5"/>
        <n v="159970.03"/>
        <n v="450546.83"/>
        <n v="370505.72"/>
        <n v="198530.28"/>
        <n v="28716.84"/>
        <n v="361724.47"/>
        <n v="179389.36"/>
        <n v="344623.51"/>
        <n v="172986.71"/>
        <n v="262074.65"/>
        <n v="364108.04"/>
        <n v="296239.96999999997"/>
        <n v="277517.75"/>
        <n v="416127.32"/>
        <n v="70717.429999999993"/>
        <n v="157411.14000000001"/>
        <n v="81805.240000000005"/>
        <n v="444333.16"/>
        <n v="55442.14"/>
        <n v="299995.48"/>
        <n v="201994.59"/>
        <n v="355245.86"/>
        <n v="282997.68"/>
        <n v="485091.49"/>
        <n v="303358.15999999997"/>
        <n v="380640.57"/>
        <n v="227762.46"/>
        <n v="200731.28"/>
        <n v="324185.73"/>
        <n v="158699.26999999999"/>
        <n v="76565.179999999993"/>
        <n v="453802.02"/>
        <n v="375570.91"/>
        <n v="248647.27"/>
        <n v="386485.86"/>
        <n v="288249.2"/>
        <n v="95884.86"/>
        <n v="345927.84"/>
        <n v="92715.24"/>
        <n v="77635.23"/>
        <n v="57395.91"/>
        <n v="255378.53"/>
        <n v="229336.47"/>
        <n v="345408.81"/>
        <n v="194566.56"/>
        <n v="149212.17000000001"/>
        <n v="37037.919999999998"/>
        <n v="427693.35"/>
        <n v="366615.7"/>
        <n v="445978.51"/>
        <n v="61252.959999999999"/>
        <n v="225031.14"/>
        <n v="87135.09"/>
        <n v="227648.58"/>
        <n v="321775.28000000003"/>
        <n v="422064.22"/>
        <n v="55408.21"/>
        <n v="294679.23"/>
        <n v="43742.02"/>
        <n v="91705.48"/>
        <n v="197450.64"/>
        <n v="174124.52"/>
        <n v="254770.61"/>
        <n v="97671.31"/>
        <n v="107548.69"/>
        <n v="83986.63"/>
        <n v="178299.48"/>
        <n v="416609.91"/>
        <n v="164639.75"/>
        <n v="151760.6"/>
        <n v="140195.25"/>
        <n v="484529.51"/>
        <n v="260330.29"/>
        <n v="353021.91"/>
        <n v="45547.6"/>
        <n v="29489.54"/>
        <n v="43967.42"/>
        <n v="439851.51"/>
        <n v="169069.19"/>
        <n v="97798.71"/>
        <n v="260461.68"/>
        <n v="250870.05"/>
        <n v="15195.21"/>
        <n v="100676.14"/>
        <n v="62949.09"/>
        <n v="310115.18"/>
        <n v="360929.83"/>
        <n v="441160.03"/>
        <n v="232780.06"/>
        <n v="409378.04"/>
        <n v="450128.24"/>
        <n v="475405.98"/>
        <n v="384696.16"/>
        <n v="126199.29"/>
        <n v="338160.11"/>
        <n v="198352.72"/>
        <n v="192458.68"/>
        <n v="36813.82"/>
        <n v="193145.06"/>
        <n v="39003.769999999997"/>
        <n v="313416.19"/>
        <n v="404407.15"/>
        <n v="372763.44"/>
        <n v="123261.36"/>
        <n v="444705.3"/>
        <n v="401119.97"/>
        <n v="111099.58"/>
        <n v="238275.65"/>
        <n v="348858.46"/>
        <n v="181932.73"/>
        <n v="352511.39"/>
        <n v="495942.35"/>
        <n v="431774.34"/>
        <n v="388944.5"/>
        <n v="198077.76"/>
        <n v="259848.99"/>
        <n v="121182.15"/>
        <n v="436990.75"/>
        <n v="405906.8"/>
        <n v="462208.67"/>
        <n v="170320.27"/>
        <n v="392599.76"/>
        <n v="401446.41"/>
        <n v="105864.36"/>
        <n v="214399.2"/>
        <n v="231364.2"/>
        <n v="43954.91"/>
        <n v="226307.39"/>
        <n v="294584.23"/>
        <n v="317523.13"/>
        <n v="466912.42"/>
        <n v="100298.08"/>
        <n v="95172.6"/>
        <n v="75085.679999999993"/>
        <n v="295605.88"/>
        <n v="392667.58"/>
        <n v="484154.11"/>
        <n v="297579.31"/>
        <n v="18945.71"/>
        <n v="297545.99"/>
        <n v="159646.66"/>
        <n v="107215.57"/>
        <n v="109793.3"/>
        <n v="386387.63"/>
        <n v="270465"/>
        <n v="498748.22"/>
        <n v="167934.13"/>
        <n v="44116.87"/>
        <n v="451820.07"/>
        <n v="277690.40000000002"/>
        <n v="273066.11"/>
        <n v="260048.9"/>
        <n v="220719.21"/>
        <n v="278234.56"/>
        <n v="465176.73"/>
        <n v="203537.55"/>
        <n v="458726.37"/>
        <n v="165337.81"/>
        <n v="139371.9"/>
        <n v="246388.75"/>
        <n v="434997.73"/>
        <n v="321776.40000000002"/>
        <n v="72444.95"/>
        <n v="86625.52"/>
        <n v="268157.78000000003"/>
        <n v="265189.88"/>
        <n v="184914.62"/>
        <n v="49825.79"/>
        <n v="462778.77"/>
        <n v="264121.57"/>
        <n v="447669.65"/>
        <n v="179713.16"/>
        <n v="324825.77"/>
        <n v="64301.9"/>
        <n v="193337.9"/>
        <n v="206109.17"/>
        <n v="287410.67"/>
        <n v="167720.25"/>
        <n v="386486.86"/>
        <n v="461748.87"/>
        <n v="127506.05"/>
        <n v="104690.04"/>
        <n v="90820.2"/>
        <n v="100467.14"/>
        <n v="372766.05"/>
        <n v="335982.3"/>
        <n v="329502.63"/>
        <n v="125164.73"/>
        <n v="70927.25"/>
        <n v="69499.59"/>
        <n v="271541.07"/>
        <n v="418662.56"/>
        <n v="235717.87"/>
        <n v="305888.05"/>
        <n v="418509.83"/>
        <n v="272938.82"/>
        <n v="186002.98"/>
        <n v="208190.28"/>
        <n v="280924.12"/>
        <n v="186652.35"/>
        <n v="455129.9"/>
        <n v="480528.32"/>
        <n v="383803.62"/>
        <n v="19931.48"/>
        <n v="142174.96"/>
        <n v="280838.71999999997"/>
        <n v="12541.81"/>
        <n v="411950.16"/>
        <n v="389154.49"/>
        <n v="171953.87"/>
        <n v="196452.17"/>
        <n v="168316.47"/>
        <n v="161065.57"/>
        <n v="74811.33"/>
        <n v="496888.54"/>
        <n v="428682.8"/>
        <n v="55085.35"/>
        <n v="354577.05"/>
        <n v="110071"/>
        <n v="185583.35"/>
        <n v="63545.32"/>
        <n v="130159.55"/>
        <n v="393426.65"/>
        <n v="436400.05"/>
        <n v="401019.4"/>
        <n v="77953.06"/>
        <n v="305904.31"/>
        <n v="44898.27"/>
        <n v="366115.79"/>
        <n v="132163.89000000001"/>
        <n v="469207.73"/>
        <n v="36317.19"/>
        <n v="425547.97"/>
        <n v="406589.38"/>
        <n v="440196.76"/>
        <n v="147562.70000000001"/>
        <n v="450430.04"/>
        <n v="29090.22"/>
        <n v="217369.4"/>
        <n v="262048.94"/>
        <n v="348694.52"/>
        <n v="205448.64"/>
        <n v="348898.4"/>
        <n v="399628.02"/>
        <n v="494378.45"/>
        <n v="193760.12"/>
        <n v="423858.32"/>
        <n v="99421.82"/>
        <n v="110173.94"/>
        <n v="130474.61"/>
        <n v="65742.63"/>
        <n v="413832.5"/>
        <n v="153248.57"/>
        <n v="481864.13"/>
        <n v="469357.59"/>
        <n v="243154.64"/>
        <n v="225284.11"/>
        <n v="263549.63"/>
        <n v="376559.38"/>
        <n v="390712.03"/>
        <n v="40417.61"/>
        <n v="193796.58"/>
        <n v="256502.13"/>
        <n v="125624.27"/>
        <n v="486764.29"/>
        <n v="247141.28"/>
        <n v="182649.32"/>
        <n v="42853.97"/>
        <n v="12530.66"/>
        <n v="191717.07"/>
        <n v="408524.45"/>
        <n v="44913.73"/>
        <n v="468760.84"/>
        <n v="150744.21"/>
        <n v="332426.77"/>
        <n v="186091.39"/>
        <n v="115817.65"/>
        <n v="67033.679999999993"/>
        <n v="65821.77"/>
        <n v="243083.57"/>
        <n v="309791.28000000003"/>
        <n v="176398.55"/>
        <n v="237235.5"/>
        <n v="262269"/>
        <n v="194899.15"/>
        <n v="273605.21000000002"/>
        <n v="489325.03"/>
        <n v="172954.94"/>
        <n v="420256.17"/>
        <n v="138446.15"/>
        <n v="169495.71"/>
        <n v="63361.79"/>
        <n v="123437.93"/>
        <n v="167011.25"/>
        <n v="43538.74"/>
        <n v="381073.18"/>
        <n v="212227.11"/>
        <n v="44675.87"/>
        <n v="496290.6"/>
        <n v="313739.73"/>
        <n v="471771.24"/>
        <n v="121450.89"/>
        <n v="301869.28000000003"/>
        <n v="130944.07"/>
        <n v="341113.93"/>
        <n v="429163.27"/>
        <n v="191474.47"/>
        <n v="157892.15"/>
        <n v="311915.96999999997"/>
        <n v="90310.39"/>
        <n v="175139.82"/>
        <n v="127148.72"/>
        <n v="88281.36"/>
        <n v="208136.26"/>
        <n v="116339.84"/>
        <n v="438142.83"/>
        <n v="473718.12"/>
        <n v="389335.59"/>
        <n v="412253.84"/>
        <n v="363565.7"/>
        <n v="395240.87"/>
        <n v="190861.2"/>
        <n v="104444.39"/>
        <n v="290085.44"/>
        <n v="117351.88"/>
        <n v="250884.61"/>
        <n v="25197.75"/>
        <n v="446416.11"/>
        <n v="331135.65000000002"/>
        <n v="121080.34"/>
        <n v="434622.32"/>
        <n v="115908.86"/>
        <n v="197311.29"/>
        <n v="19824.41"/>
        <n v="183730.28"/>
        <n v="461062.52"/>
        <n v="476562.16"/>
        <n v="354780.05"/>
        <n v="46126.62"/>
        <n v="443095.48"/>
        <n v="441438.75"/>
        <n v="273326.07"/>
        <n v="416492.42"/>
        <n v="478523.21"/>
        <n v="239239.16"/>
        <n v="18905.36"/>
        <n v="494353.9"/>
        <n v="365637.41"/>
        <n v="135672.17000000001"/>
        <n v="30193.75"/>
        <n v="233732.89"/>
        <n v="46075.199999999997"/>
        <n v="452201.34"/>
        <n v="270201.88"/>
        <n v="278569.69"/>
        <n v="339899.29"/>
        <n v="183892.44"/>
        <n v="208566.61"/>
        <n v="105679.5"/>
        <n v="219007.51"/>
        <n v="191311.61"/>
        <n v="167642.79"/>
        <n v="169887.9"/>
        <n v="55533.57"/>
        <n v="124968.58"/>
        <n v="110220.4"/>
        <n v="99694.080000000002"/>
        <n v="200527.17"/>
        <n v="220802.92"/>
        <n v="233659.67"/>
        <n v="153408.16"/>
        <n v="285861.71000000002"/>
        <n v="450077.9"/>
        <n v="132591.39000000001"/>
        <n v="480640.27"/>
        <n v="113827.07"/>
        <n v="188934.89"/>
        <n v="141006.24"/>
        <n v="326579.23"/>
        <n v="303270.61"/>
        <n v="267527.42"/>
        <n v="10473.36"/>
        <n v="465418.81"/>
        <n v="467510.34"/>
        <n v="315790.74"/>
        <n v="121358.55"/>
        <n v="401912.99"/>
        <n v="186979.35"/>
        <n v="301209.59999999998"/>
        <n v="267582.53999999998"/>
        <n v="169464.35"/>
        <n v="449358.59"/>
        <n v="289482.56"/>
        <n v="118778.14"/>
        <n v="131003.35"/>
        <n v="449503.95"/>
        <n v="205377.29"/>
        <n v="363991.44"/>
        <n v="141286.07999999999"/>
        <n v="438293.13"/>
        <n v="160249.46"/>
        <n v="30001.4"/>
        <n v="268026.08"/>
        <n v="301755.32"/>
        <n v="289260.89"/>
        <n v="74245.83"/>
        <n v="450675.9"/>
        <n v="383780.52"/>
        <n v="321808.40999999997"/>
        <n v="340973.85"/>
        <n v="262674.95"/>
        <n v="209903.85"/>
        <n v="327396.53000000003"/>
        <n v="64582.54"/>
        <n v="393695.15"/>
        <n v="186748.54"/>
        <n v="363479.77"/>
        <n v="253270.13"/>
        <n v="292835.25"/>
        <n v="17815.04"/>
        <n v="452720.43"/>
        <n v="490352.67"/>
        <n v="376466.96"/>
        <n v="434878.95"/>
        <n v="448286.88"/>
        <n v="51162.78"/>
        <n v="281264.43"/>
        <n v="408506.72"/>
        <n v="467078.24"/>
        <n v="256785.91"/>
        <n v="69511.55"/>
        <n v="14203.35"/>
        <n v="70028.34"/>
        <n v="294902.53999999998"/>
        <n v="442524.66"/>
        <n v="62621.23"/>
        <n v="33165.300000000003"/>
        <n v="448583.61"/>
        <n v="145481.57"/>
        <n v="186593.2"/>
        <n v="427754.36"/>
        <n v="98635.43"/>
        <n v="173955.71"/>
        <n v="102260.26"/>
        <n v="219703.71"/>
        <n v="489698.88"/>
        <n v="316779.75"/>
        <n v="281457.71000000002"/>
        <n v="122199.35"/>
        <n v="310127.23"/>
        <n v="81678.789999999994"/>
        <n v="324333.51"/>
        <n v="230398.73"/>
        <n v="25511.98"/>
        <n v="24262.07"/>
        <n v="438552.96"/>
        <n v="403571.91"/>
        <n v="222606.71"/>
        <n v="51886.1"/>
        <n v="444858.46"/>
        <n v="227970.96"/>
        <n v="363971.77"/>
        <n v="392192.18"/>
        <n v="297341.03999999998"/>
        <n v="466075.58"/>
        <n v="30454.61"/>
        <n v="256231.87"/>
        <n v="363104.83"/>
        <n v="184621.55"/>
        <n v="99410.72"/>
        <n v="164023.38"/>
        <n v="65350.77"/>
        <n v="131376.03"/>
        <n v="107879.58"/>
        <n v="297394.61"/>
        <n v="55835.12"/>
        <n v="431221.21"/>
        <n v="217464.11"/>
        <n v="212266.47"/>
        <n v="242528.86"/>
        <n v="388062.71999999997"/>
        <n v="313938.03999999998"/>
        <n v="107608.48"/>
        <n v="402575.37"/>
        <n v="65524.7"/>
        <n v="412472.95"/>
        <n v="449406.42"/>
        <n v="346420.98"/>
        <n v="466486.03"/>
        <n v="335943.48"/>
        <n v="117533.23"/>
        <n v="238958.37"/>
        <n v="70974.990000000005"/>
        <n v="491879.08"/>
        <n v="419832.32000000001"/>
        <n v="290503.36"/>
        <n v="255423.59"/>
        <n v="285421.67"/>
        <n v="459108.8"/>
        <n v="410501.31"/>
        <n v="216546.04"/>
        <n v="425110.46"/>
        <n v="58713.84"/>
        <n v="287200.98"/>
        <n v="196597.97"/>
        <n v="134354.74"/>
        <n v="90327.41"/>
        <n v="253900.39"/>
        <n v="287543.21000000002"/>
        <n v="65062.46"/>
        <n v="413060.74"/>
        <n v="222312.18"/>
        <n v="280526.63"/>
        <n v="367102.94"/>
        <n v="249198.79"/>
        <n v="18770.68"/>
        <n v="243201.03"/>
        <n v="314319.48"/>
        <n v="499431.2"/>
        <n v="85627.43"/>
        <n v="452065.56"/>
        <n v="355211.11"/>
        <n v="319360.13"/>
        <n v="113247"/>
        <n v="359416.18"/>
        <n v="59812.75"/>
        <n v="320077.02"/>
        <n v="135307.76999999999"/>
        <n v="455100.04"/>
        <n v="100887.3"/>
        <n v="406931.53"/>
        <n v="339660.63"/>
        <n v="443063.27"/>
        <n v="362619.01"/>
        <n v="257018.19"/>
        <n v="313816.11"/>
        <n v="311063.87"/>
        <n v="457306.56"/>
        <n v="67369.98"/>
        <n v="103018.91"/>
        <n v="411891.54"/>
        <n v="486777.2"/>
        <n v="450460.14"/>
        <n v="49829.01"/>
        <n v="409877.94"/>
        <n v="400708.61"/>
        <n v="442111.49"/>
        <n v="161056.35999999999"/>
        <n v="382996.34"/>
        <n v="117363.51"/>
        <n v="461121.9"/>
        <n v="329646.74"/>
        <n v="285063.75"/>
        <n v="463004.51"/>
        <n v="187053.97"/>
        <n v="127362.93"/>
        <n v="30443.82"/>
        <n v="460886.5"/>
        <n v="406045.54"/>
        <n v="21198.080000000002"/>
        <n v="343595.18"/>
        <n v="335223.87"/>
        <n v="245273.26"/>
        <n v="163429.96"/>
        <n v="416752.55"/>
        <n v="385727.6"/>
        <n v="402755.87"/>
        <n v="421411.19"/>
        <n v="70209.919999999998"/>
        <n v="316872.07"/>
        <n v="70399.37"/>
        <n v="233666.49"/>
        <n v="77261.5"/>
        <n v="181111.66"/>
        <n v="33122.94"/>
        <n v="235128.7"/>
        <n v="346442.46"/>
        <n v="26983.11"/>
        <n v="24126.7"/>
        <n v="281160.61"/>
        <n v="201329.38"/>
        <n v="281423.03000000003"/>
        <n v="324761.48"/>
        <n v="278760.01"/>
        <n v="187163.61"/>
        <n v="125179.67"/>
        <n v="220835.29"/>
        <n v="397082.84"/>
        <n v="387793.07"/>
        <n v="234777.53"/>
        <n v="427117.57"/>
        <n v="486196.52"/>
        <n v="131472.84"/>
        <n v="355607.25"/>
        <n v="180876"/>
        <n v="103446.66"/>
        <n v="153171.62"/>
        <n v="41758.370000000003"/>
        <n v="245499.84"/>
        <n v="145795.85999999999"/>
        <n v="296107.2"/>
        <n v="269303.65000000002"/>
        <n v="80133.47"/>
        <n v="135867.93"/>
        <n v="156004.62"/>
        <n v="177091.43"/>
        <n v="127813.89"/>
        <n v="389560.07"/>
        <n v="308586.65000000002"/>
        <n v="133341.01"/>
        <n v="297490.28999999998"/>
        <n v="313329.37"/>
        <n v="409795.01"/>
        <n v="134950.23000000001"/>
        <n v="314376.99"/>
        <n v="99667.81"/>
        <n v="394584.75"/>
        <n v="145742.13"/>
        <n v="287201.13"/>
        <n v="123980.04"/>
        <n v="494099.97"/>
        <n v="322779.65999999997"/>
        <n v="75734.81"/>
        <n v="62444.41"/>
        <n v="102146.21"/>
        <n v="468828.3"/>
        <n v="403404.26"/>
        <n v="429559.18"/>
        <n v="450666.09"/>
        <n v="130538.52"/>
        <n v="485618.39"/>
        <n v="161850.19"/>
        <n v="159671.01"/>
        <n v="29316.31"/>
        <n v="419096.51"/>
        <n v="413927.21"/>
        <n v="481634.9"/>
        <n v="38168.26"/>
        <n v="19880.39"/>
        <n v="19300.54"/>
        <n v="212170.17"/>
        <n v="12740.13"/>
        <n v="11895.6"/>
        <n v="21743.22"/>
        <n v="456759.14"/>
        <n v="306810.69"/>
        <n v="135588.35"/>
        <n v="24517.19"/>
        <n v="462850.09"/>
        <n v="441157.49"/>
        <n v="147778.63"/>
        <n v="202118.38"/>
        <n v="121717.53"/>
        <n v="211735.29"/>
        <n v="23992.67"/>
        <n v="378216.45"/>
        <n v="359282.94"/>
        <n v="418247.11"/>
        <n v="99976.74"/>
        <n v="271668.07"/>
        <n v="154772.56"/>
        <n v="311514.21999999997"/>
        <n v="465987.92"/>
        <n v="333149.71000000002"/>
        <n v="156384.72"/>
        <n v="314973.28000000003"/>
        <n v="93470.1"/>
        <n v="370572.45"/>
        <n v="24573.64"/>
        <n v="263894.78999999998"/>
        <n v="137507.91"/>
        <n v="88536.13"/>
        <n v="73711.850000000006"/>
        <n v="363890.85"/>
        <n v="497532.53"/>
        <n v="437622.74"/>
        <n v="170888.84"/>
        <n v="472180.56"/>
        <n v="281400.21000000002"/>
        <n v="299149.09000000003"/>
        <n v="191551.24"/>
        <n v="160699.35"/>
        <n v="207532.35"/>
        <n v="147781.76000000001"/>
        <n v="78301.16"/>
        <n v="131785.54999999999"/>
        <n v="93920.99"/>
        <n v="305939.76"/>
        <n v="114792.34"/>
        <n v="131611.45000000001"/>
        <n v="342089.73"/>
        <n v="439792.36"/>
        <n v="25378.46"/>
        <n v="341288.64"/>
        <n v="349992.65"/>
        <n v="311040.68"/>
        <n v="354958.52"/>
        <n v="50670.67"/>
        <n v="94163.46"/>
        <n v="275497.12"/>
        <n v="342731.75"/>
        <n v="373385.59"/>
        <n v="94472.02"/>
        <n v="115651.24"/>
        <n v="282410.64"/>
        <n v="251374.71"/>
        <n v="367507.52"/>
        <n v="285921.19"/>
        <n v="464224.64"/>
        <n v="303126.92"/>
        <n v="14985.34"/>
        <n v="408243.33"/>
        <n v="109961.85"/>
        <n v="427669.07"/>
        <n v="419757.76"/>
        <n v="444058.43"/>
        <n v="279253.83"/>
        <n v="353851.39"/>
        <n v="385031.95"/>
        <n v="243804.02"/>
        <n v="115133.03"/>
        <n v="235904.58"/>
        <n v="46093.64"/>
        <n v="49557.08"/>
        <n v="256108.24"/>
        <n v="254711.93"/>
        <n v="153674.6"/>
        <n v="35974.949999999997"/>
        <n v="155552.24"/>
        <n v="137691.39000000001"/>
        <n v="262069.9"/>
        <n v="403048.99"/>
        <n v="253382.41"/>
        <n v="429472"/>
        <n v="94691.42"/>
        <n v="275904.92"/>
        <n v="209896.9"/>
        <n v="301290.64"/>
        <n v="74828.429999999993"/>
        <n v="217849.99"/>
        <n v="234019.38"/>
        <n v="35811.94"/>
        <n v="463428.48"/>
        <n v="298414.78999999998"/>
        <n v="142522.76"/>
        <n v="366431.28"/>
        <n v="89491.21"/>
        <n v="427000.54"/>
        <n v="293357.32"/>
        <n v="341418.85"/>
        <n v="131561.73000000001"/>
        <n v="11374.37"/>
        <n v="490030.61"/>
        <n v="472743.73"/>
        <n v="344345.47"/>
        <n v="277463.26"/>
        <n v="266795.21999999997"/>
        <n v="141236.97"/>
        <n v="78020.649999999994"/>
        <n v="101693.45"/>
        <n v="488889.85"/>
        <n v="176626.44"/>
        <n v="313617.17"/>
        <n v="285711.37"/>
        <n v="12382.59"/>
        <n v="207657.94"/>
        <n v="139978.70000000001"/>
        <n v="377533.92"/>
        <n v="280802.52"/>
        <n v="213618.84"/>
        <n v="362827.64"/>
        <n v="25919.17"/>
        <n v="155508.51"/>
        <n v="26521.78"/>
        <n v="73843.17"/>
        <n v="376216.73"/>
        <n v="121727.6"/>
        <n v="210894.89"/>
        <n v="43425.1"/>
        <n v="145073.45000000001"/>
        <n v="202686.07999999999"/>
        <n v="447677.43"/>
        <n v="288030.77"/>
        <n v="304623.89"/>
        <n v="345339.1"/>
        <n v="15739.41"/>
        <n v="271950.96000000002"/>
        <n v="223552"/>
        <n v="11061.28"/>
        <n v="465762.5"/>
        <n v="203527.11"/>
        <n v="51820.54"/>
        <n v="360701.49"/>
        <n v="370638.42"/>
        <n v="277516.55"/>
        <n v="276214.74"/>
        <n v="246588.89"/>
        <n v="37487.040000000001"/>
        <n v="431060.63"/>
        <n v="182510.17"/>
        <n v="183793.43"/>
        <n v="63479.199999999997"/>
        <n v="70575.56"/>
        <n v="406234.13"/>
        <n v="429975.42"/>
        <n v="335247.14"/>
        <n v="132733.79999999999"/>
        <n v="266018.2"/>
        <n v="326869.51"/>
        <n v="411871.09"/>
        <n v="265365.06"/>
        <n v="334294.48"/>
        <n v="360055.87"/>
        <n v="271751.28000000003"/>
        <n v="188398.4"/>
        <n v="379783.89"/>
        <n v="275746.57"/>
        <n v="69898.490000000005"/>
        <n v="369574.84"/>
        <n v="370161.36"/>
        <n v="312453.48"/>
        <n v="75579.39"/>
        <n v="45059.15"/>
        <n v="285062.12"/>
        <n v="297996.01"/>
        <n v="297228.55"/>
        <n v="256735.85"/>
        <n v="371499.23"/>
        <n v="385356.15"/>
        <n v="122280.01"/>
        <n v="64899.71"/>
        <n v="125620.11"/>
        <n v="72363.92"/>
        <n v="348092.69"/>
        <n v="208923.41"/>
        <n v="180237.95"/>
        <n v="312209.06"/>
        <n v="312150.90000000002"/>
        <n v="256986.25"/>
        <n v="226254.25"/>
        <n v="67870.789999999994"/>
        <n v="214971.11"/>
        <n v="315155.32"/>
        <n v="161510.10999999999"/>
        <n v="213480.49"/>
        <n v="420314.23"/>
        <n v="366683.43"/>
        <n v="284203.52000000002"/>
        <n v="499014.37"/>
        <n v="477448.06"/>
        <n v="345554.94"/>
        <n v="119502.84"/>
        <n v="389009.81"/>
        <n v="146405.74"/>
        <n v="154425.38"/>
        <n v="443247.03"/>
        <n v="355495.91"/>
        <n v="330072.90000000002"/>
        <n v="343554.63"/>
        <n v="380276.87"/>
        <n v="432633.92"/>
        <n v="332183.23"/>
        <n v="283987.96999999997"/>
        <n v="229787.85"/>
        <n v="396898.79"/>
        <n v="452468.82"/>
        <n v="13090.82"/>
        <n v="330665.71000000002"/>
        <n v="490082.3"/>
        <n v="200612.35"/>
        <n v="357103.01"/>
        <n v="137972.62"/>
        <n v="133140.79999999999"/>
        <n v="310170.56"/>
        <n v="353894.27"/>
        <n v="383911.55"/>
        <n v="267934.13"/>
        <n v="306316.33"/>
        <n v="47123.31"/>
        <n v="169159.85"/>
        <n v="203702.43"/>
        <n v="490321.32"/>
        <n v="346264.63"/>
        <n v="67283.679999999993"/>
        <n v="131719.76"/>
        <n v="432486.37"/>
        <n v="176826.83"/>
        <n v="42409.64"/>
        <n v="296454.08"/>
        <n v="274101.78000000003"/>
        <n v="276931.21000000002"/>
        <n v="118840.39"/>
        <n v="262744.96000000002"/>
        <n v="151121.42000000001"/>
        <n v="225216.92"/>
        <n v="263091.40999999997"/>
        <n v="221928.7"/>
        <n v="134037.46"/>
        <n v="319703.82"/>
        <n v="63264.45"/>
        <n v="237510.38"/>
        <n v="428852.71"/>
        <n v="120374.43"/>
        <n v="391752.99"/>
        <n v="85469.97"/>
        <n v="71058.73"/>
        <n v="103092.28"/>
        <n v="37759.589999999997"/>
        <n v="217827.22"/>
        <n v="423430.23"/>
        <n v="265306.09999999998"/>
        <n v="409509.86"/>
        <n v="339086.82"/>
        <n v="182027.58"/>
        <n v="440888.59"/>
        <n v="448047.75"/>
        <n v="229672.11"/>
        <n v="381721.67"/>
        <n v="423005.08"/>
        <n v="125443.45"/>
        <n v="399400.01"/>
        <n v="109732.19"/>
        <n v="438345.46"/>
        <n v="373093.5"/>
        <n v="124149.71"/>
      </sharedItems>
    </cacheField>
    <cacheField name="claim_status" numFmtId="0">
      <sharedItems count="3">
        <s v="Pending"/>
        <s v="Approved"/>
        <s v="Rejected"/>
      </sharedItems>
    </cacheField>
    <cacheField name="claim_type" numFmtId="0">
      <sharedItems count="5">
        <s v="Theft"/>
        <s v="Hospital"/>
        <s v="Death"/>
        <s v="Accident"/>
        <s v="Other"/>
      </sharedItems>
    </cacheField>
    <cacheField name="fraud_flag" numFmtId="0">
      <sharedItems count="2">
        <s v="No"/>
        <s v="Yes"/>
      </sharedItems>
    </cacheField>
    <cacheField name="days_to_process" numFmtId="0">
      <sharedItems containsSemiMixedTypes="0" containsString="0" containsNumber="1" containsInteger="1" minValue="2" maxValue="59"/>
    </cacheField>
    <cacheField name="Month" numFmtId="0">
      <sharedItems count="12">
        <s v="October"/>
        <s v="December"/>
        <s v="July"/>
        <s v="June"/>
        <s v="August"/>
        <s v="March"/>
        <s v="May"/>
        <s v="September"/>
        <s v="January"/>
        <s v="April"/>
        <s v="February"/>
        <s v="November"/>
      </sharedItems>
    </cacheField>
    <cacheField name="Year" numFmtId="0">
      <sharedItems containsSemiMixedTypes="0" containsString="0" containsNumber="1" containsInteger="1" minValue="2020" maxValue="2025" count="6">
        <n v="2022"/>
        <n v="2021"/>
        <n v="2024"/>
        <n v="2023"/>
        <n v="2025"/>
        <n v="2020"/>
      </sharedItems>
    </cacheField>
    <cacheField name="Quarter" numFmtId="0">
      <sharedItems count="4">
        <s v="Q4"/>
        <s v="Q3"/>
        <s v="Q2"/>
        <s v="Q1"/>
      </sharedItems>
    </cacheField>
    <cacheField name="Claim Amount Category" numFmtId="0">
      <sharedItems/>
    </cacheField>
    <cacheField name="Processing Speed" numFmtId="0">
      <sharedItems count="2">
        <s v="Slow"/>
        <s v="Fast"/>
      </sharedItems>
    </cacheField>
  </cacheFields>
  <extLst>
    <ext xmlns:x14="http://schemas.microsoft.com/office/spreadsheetml/2009/9/main" uri="{725AE2AE-9491-48be-B2B4-4EB974FC3084}">
      <x14:pivotCacheDefinition pivotCacheId="17248764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6">
  <r>
    <x v="0"/>
    <s v="POL51902"/>
    <d v="2022-10-10T00:00:00"/>
    <n v="379127.79"/>
    <x v="0"/>
    <x v="0"/>
    <x v="0"/>
    <n v="40"/>
    <x v="0"/>
    <x v="0"/>
    <x v="0"/>
    <s v="High"/>
    <x v="0"/>
  </r>
  <r>
    <x v="1"/>
    <s v="POL50001"/>
    <d v="2021-12-06T00:00:00"/>
    <n v="431984.06"/>
    <x v="1"/>
    <x v="1"/>
    <x v="0"/>
    <n v="56"/>
    <x v="1"/>
    <x v="1"/>
    <x v="0"/>
    <s v="High"/>
    <x v="0"/>
  </r>
  <r>
    <x v="2"/>
    <s v="POL53707"/>
    <d v="2024-07-17T00:00:00"/>
    <n v="206765.82"/>
    <x v="2"/>
    <x v="2"/>
    <x v="0"/>
    <n v="39"/>
    <x v="2"/>
    <x v="2"/>
    <x v="1"/>
    <s v="High"/>
    <x v="0"/>
  </r>
  <r>
    <x v="3"/>
    <s v="POL53642"/>
    <d v="2024-06-12T00:00:00"/>
    <n v="225358.05"/>
    <x v="1"/>
    <x v="3"/>
    <x v="1"/>
    <n v="22"/>
    <x v="3"/>
    <x v="2"/>
    <x v="2"/>
    <s v="High"/>
    <x v="1"/>
  </r>
  <r>
    <x v="4"/>
    <s v="POL51744"/>
    <d v="2024-06-13T00:00:00"/>
    <n v="340208.27"/>
    <x v="2"/>
    <x v="0"/>
    <x v="0"/>
    <n v="31"/>
    <x v="3"/>
    <x v="2"/>
    <x v="2"/>
    <s v="High"/>
    <x v="0"/>
  </r>
  <r>
    <x v="5"/>
    <s v="POL53198"/>
    <d v="2022-08-28T00:00:00"/>
    <n v="124603.36"/>
    <x v="2"/>
    <x v="2"/>
    <x v="0"/>
    <n v="31"/>
    <x v="4"/>
    <x v="0"/>
    <x v="1"/>
    <s v="Medium"/>
    <x v="0"/>
  </r>
  <r>
    <x v="6"/>
    <s v="POL51779"/>
    <d v="2023-08-07T00:00:00"/>
    <n v="83575.259999999995"/>
    <x v="1"/>
    <x v="0"/>
    <x v="1"/>
    <n v="40"/>
    <x v="4"/>
    <x v="3"/>
    <x v="1"/>
    <s v="Low"/>
    <x v="0"/>
  </r>
  <r>
    <x v="7"/>
    <s v="POL51026"/>
    <d v="2025-06-24T00:00:00"/>
    <n v="239279.38"/>
    <x v="0"/>
    <x v="4"/>
    <x v="1"/>
    <n v="58"/>
    <x v="3"/>
    <x v="4"/>
    <x v="2"/>
    <s v="High"/>
    <x v="0"/>
  </r>
  <r>
    <x v="8"/>
    <s v="POL53572"/>
    <d v="2024-03-24T00:00:00"/>
    <n v="394794.62"/>
    <x v="2"/>
    <x v="4"/>
    <x v="0"/>
    <n v="5"/>
    <x v="5"/>
    <x v="2"/>
    <x v="3"/>
    <s v="High"/>
    <x v="1"/>
  </r>
  <r>
    <x v="9"/>
    <s v="POL50965"/>
    <d v="2021-10-03T00:00:00"/>
    <n v="375987.61"/>
    <x v="2"/>
    <x v="2"/>
    <x v="1"/>
    <n v="25"/>
    <x v="0"/>
    <x v="1"/>
    <x v="0"/>
    <s v="High"/>
    <x v="1"/>
  </r>
  <r>
    <x v="10"/>
    <s v="POL50966"/>
    <d v="2024-05-15T00:00:00"/>
    <n v="495032.58"/>
    <x v="0"/>
    <x v="2"/>
    <x v="0"/>
    <n v="40"/>
    <x v="6"/>
    <x v="2"/>
    <x v="2"/>
    <s v="High"/>
    <x v="0"/>
  </r>
  <r>
    <x v="11"/>
    <s v="POL50449"/>
    <d v="2023-09-16T00:00:00"/>
    <n v="468259.32"/>
    <x v="2"/>
    <x v="3"/>
    <x v="0"/>
    <n v="11"/>
    <x v="7"/>
    <x v="3"/>
    <x v="1"/>
    <s v="High"/>
    <x v="1"/>
  </r>
  <r>
    <x v="12"/>
    <s v="POL52946"/>
    <d v="2024-05-14T00:00:00"/>
    <n v="470562.44"/>
    <x v="2"/>
    <x v="1"/>
    <x v="1"/>
    <n v="42"/>
    <x v="6"/>
    <x v="2"/>
    <x v="2"/>
    <s v="High"/>
    <x v="0"/>
  </r>
  <r>
    <x v="13"/>
    <s v="POL50889"/>
    <d v="2023-01-25T00:00:00"/>
    <n v="421414.85"/>
    <x v="0"/>
    <x v="2"/>
    <x v="0"/>
    <n v="27"/>
    <x v="8"/>
    <x v="3"/>
    <x v="3"/>
    <s v="High"/>
    <x v="1"/>
  </r>
  <r>
    <x v="14"/>
    <s v="POL50857"/>
    <d v="2024-05-03T00:00:00"/>
    <n v="155992.82"/>
    <x v="1"/>
    <x v="0"/>
    <x v="0"/>
    <n v="33"/>
    <x v="6"/>
    <x v="2"/>
    <x v="2"/>
    <s v="Medium"/>
    <x v="0"/>
  </r>
  <r>
    <x v="15"/>
    <s v="POL52629"/>
    <d v="2022-04-15T00:00:00"/>
    <n v="255073.2"/>
    <x v="0"/>
    <x v="4"/>
    <x v="1"/>
    <n v="29"/>
    <x v="9"/>
    <x v="0"/>
    <x v="2"/>
    <s v="High"/>
    <x v="1"/>
  </r>
  <r>
    <x v="16"/>
    <s v="POL50382"/>
    <d v="2024-06-02T00:00:00"/>
    <n v="67527.06"/>
    <x v="0"/>
    <x v="1"/>
    <x v="0"/>
    <n v="47"/>
    <x v="3"/>
    <x v="2"/>
    <x v="2"/>
    <s v="Low"/>
    <x v="0"/>
  </r>
  <r>
    <x v="17"/>
    <s v="POL53516"/>
    <d v="2023-09-21T00:00:00"/>
    <n v="22088.7"/>
    <x v="1"/>
    <x v="0"/>
    <x v="1"/>
    <n v="56"/>
    <x v="7"/>
    <x v="3"/>
    <x v="1"/>
    <s v="Low"/>
    <x v="0"/>
  </r>
  <r>
    <x v="18"/>
    <s v="POL53651"/>
    <d v="2024-02-02T00:00:00"/>
    <n v="350386.21"/>
    <x v="1"/>
    <x v="1"/>
    <x v="0"/>
    <n v="8"/>
    <x v="10"/>
    <x v="2"/>
    <x v="3"/>
    <s v="High"/>
    <x v="1"/>
  </r>
  <r>
    <x v="19"/>
    <s v="POL50377"/>
    <d v="2024-04-19T00:00:00"/>
    <n v="124876.51"/>
    <x v="2"/>
    <x v="0"/>
    <x v="1"/>
    <n v="10"/>
    <x v="9"/>
    <x v="2"/>
    <x v="2"/>
    <s v="Medium"/>
    <x v="1"/>
  </r>
  <r>
    <x v="20"/>
    <s v="POL50424"/>
    <d v="2024-02-15T00:00:00"/>
    <n v="401659.17"/>
    <x v="0"/>
    <x v="0"/>
    <x v="1"/>
    <n v="21"/>
    <x v="10"/>
    <x v="2"/>
    <x v="3"/>
    <s v="High"/>
    <x v="1"/>
  </r>
  <r>
    <x v="21"/>
    <s v="POL50715"/>
    <d v="2023-09-24T00:00:00"/>
    <n v="285832.96999999997"/>
    <x v="2"/>
    <x v="0"/>
    <x v="0"/>
    <n v="48"/>
    <x v="7"/>
    <x v="3"/>
    <x v="1"/>
    <s v="High"/>
    <x v="0"/>
  </r>
  <r>
    <x v="22"/>
    <s v="POL50632"/>
    <d v="2023-02-27T00:00:00"/>
    <n v="480795.2"/>
    <x v="0"/>
    <x v="3"/>
    <x v="1"/>
    <n v="33"/>
    <x v="10"/>
    <x v="3"/>
    <x v="3"/>
    <s v="High"/>
    <x v="0"/>
  </r>
  <r>
    <x v="23"/>
    <s v="POL53353"/>
    <d v="2024-07-31T00:00:00"/>
    <n v="367933.53"/>
    <x v="1"/>
    <x v="0"/>
    <x v="0"/>
    <n v="56"/>
    <x v="2"/>
    <x v="2"/>
    <x v="1"/>
    <s v="High"/>
    <x v="0"/>
  </r>
  <r>
    <x v="24"/>
    <s v="POL52227"/>
    <d v="2024-05-24T00:00:00"/>
    <n v="107721.44"/>
    <x v="0"/>
    <x v="4"/>
    <x v="1"/>
    <n v="4"/>
    <x v="6"/>
    <x v="2"/>
    <x v="2"/>
    <s v="Medium"/>
    <x v="1"/>
  </r>
  <r>
    <x v="25"/>
    <s v="POL52157"/>
    <d v="2023-06-22T00:00:00"/>
    <n v="397208.6"/>
    <x v="0"/>
    <x v="3"/>
    <x v="1"/>
    <n v="47"/>
    <x v="3"/>
    <x v="3"/>
    <x v="2"/>
    <s v="High"/>
    <x v="0"/>
  </r>
  <r>
    <x v="26"/>
    <s v="POL50395"/>
    <d v="2022-08-29T00:00:00"/>
    <n v="135683.89000000001"/>
    <x v="0"/>
    <x v="3"/>
    <x v="1"/>
    <n v="38"/>
    <x v="4"/>
    <x v="0"/>
    <x v="1"/>
    <s v="Medium"/>
    <x v="0"/>
  </r>
  <r>
    <x v="27"/>
    <s v="POL53070"/>
    <d v="2023-10-02T00:00:00"/>
    <n v="379326.31"/>
    <x v="0"/>
    <x v="3"/>
    <x v="1"/>
    <n v="25"/>
    <x v="0"/>
    <x v="3"/>
    <x v="0"/>
    <s v="High"/>
    <x v="1"/>
  </r>
  <r>
    <x v="28"/>
    <s v="POL52922"/>
    <d v="2024-03-13T00:00:00"/>
    <n v="446549.2"/>
    <x v="2"/>
    <x v="0"/>
    <x v="0"/>
    <n v="48"/>
    <x v="5"/>
    <x v="2"/>
    <x v="3"/>
    <s v="High"/>
    <x v="0"/>
  </r>
  <r>
    <x v="29"/>
    <s v="POL50440"/>
    <d v="2023-05-17T00:00:00"/>
    <n v="127488.96000000001"/>
    <x v="0"/>
    <x v="0"/>
    <x v="1"/>
    <n v="33"/>
    <x v="6"/>
    <x v="3"/>
    <x v="2"/>
    <s v="Medium"/>
    <x v="0"/>
  </r>
  <r>
    <x v="30"/>
    <s v="POL51843"/>
    <d v="2024-08-27T00:00:00"/>
    <n v="365730.12"/>
    <x v="1"/>
    <x v="4"/>
    <x v="1"/>
    <n v="17"/>
    <x v="4"/>
    <x v="2"/>
    <x v="1"/>
    <s v="High"/>
    <x v="1"/>
  </r>
  <r>
    <x v="31"/>
    <s v="POL53605"/>
    <d v="2024-12-28T00:00:00"/>
    <n v="486508.65"/>
    <x v="1"/>
    <x v="3"/>
    <x v="1"/>
    <n v="7"/>
    <x v="1"/>
    <x v="2"/>
    <x v="0"/>
    <s v="High"/>
    <x v="1"/>
  </r>
  <r>
    <x v="32"/>
    <s v="POL50648"/>
    <d v="2025-02-14T00:00:00"/>
    <n v="27907.74"/>
    <x v="1"/>
    <x v="1"/>
    <x v="1"/>
    <n v="9"/>
    <x v="10"/>
    <x v="4"/>
    <x v="3"/>
    <s v="Low"/>
    <x v="1"/>
  </r>
  <r>
    <x v="33"/>
    <s v="POL53560"/>
    <d v="2024-05-16T00:00:00"/>
    <n v="489315.33"/>
    <x v="1"/>
    <x v="3"/>
    <x v="0"/>
    <n v="50"/>
    <x v="6"/>
    <x v="2"/>
    <x v="2"/>
    <s v="High"/>
    <x v="0"/>
  </r>
  <r>
    <x v="34"/>
    <s v="POL53199"/>
    <d v="2024-01-31T00:00:00"/>
    <n v="274741.44"/>
    <x v="2"/>
    <x v="0"/>
    <x v="1"/>
    <n v="53"/>
    <x v="8"/>
    <x v="2"/>
    <x v="3"/>
    <s v="High"/>
    <x v="0"/>
  </r>
  <r>
    <x v="35"/>
    <s v="POL52707"/>
    <d v="2022-12-27T00:00:00"/>
    <n v="301554.48"/>
    <x v="2"/>
    <x v="4"/>
    <x v="1"/>
    <n v="32"/>
    <x v="1"/>
    <x v="0"/>
    <x v="0"/>
    <s v="High"/>
    <x v="0"/>
  </r>
  <r>
    <x v="36"/>
    <s v="POL52546"/>
    <d v="2023-05-15T00:00:00"/>
    <n v="155059.69"/>
    <x v="0"/>
    <x v="4"/>
    <x v="0"/>
    <n v="2"/>
    <x v="6"/>
    <x v="3"/>
    <x v="2"/>
    <s v="Medium"/>
    <x v="1"/>
  </r>
  <r>
    <x v="37"/>
    <s v="POL51317"/>
    <d v="2024-06-01T00:00:00"/>
    <n v="487345.7"/>
    <x v="2"/>
    <x v="2"/>
    <x v="1"/>
    <n v="33"/>
    <x v="3"/>
    <x v="2"/>
    <x v="2"/>
    <s v="High"/>
    <x v="0"/>
  </r>
  <r>
    <x v="38"/>
    <s v="POL50880"/>
    <d v="2022-02-25T00:00:00"/>
    <n v="122203.19"/>
    <x v="0"/>
    <x v="0"/>
    <x v="0"/>
    <n v="35"/>
    <x v="10"/>
    <x v="0"/>
    <x v="3"/>
    <s v="Medium"/>
    <x v="0"/>
  </r>
  <r>
    <x v="39"/>
    <s v="POL52454"/>
    <d v="2021-06-25T00:00:00"/>
    <n v="23474.7"/>
    <x v="0"/>
    <x v="4"/>
    <x v="0"/>
    <n v="19"/>
    <x v="3"/>
    <x v="1"/>
    <x v="2"/>
    <s v="Low"/>
    <x v="1"/>
  </r>
  <r>
    <x v="40"/>
    <s v="POL53052"/>
    <d v="2023-12-01T00:00:00"/>
    <n v="156041.48000000001"/>
    <x v="1"/>
    <x v="2"/>
    <x v="1"/>
    <n v="51"/>
    <x v="1"/>
    <x v="3"/>
    <x v="0"/>
    <s v="Medium"/>
    <x v="0"/>
  </r>
  <r>
    <x v="41"/>
    <s v="POL53924"/>
    <d v="2023-06-10T00:00:00"/>
    <n v="189563.24"/>
    <x v="1"/>
    <x v="3"/>
    <x v="1"/>
    <n v="12"/>
    <x v="3"/>
    <x v="3"/>
    <x v="2"/>
    <s v="Medium"/>
    <x v="1"/>
  </r>
  <r>
    <x v="42"/>
    <s v="POL53044"/>
    <d v="2023-09-08T00:00:00"/>
    <n v="413787.2"/>
    <x v="2"/>
    <x v="1"/>
    <x v="0"/>
    <n v="9"/>
    <x v="7"/>
    <x v="3"/>
    <x v="1"/>
    <s v="High"/>
    <x v="1"/>
  </r>
  <r>
    <x v="43"/>
    <s v="POL53715"/>
    <d v="2022-03-22T00:00:00"/>
    <n v="445095.51"/>
    <x v="2"/>
    <x v="0"/>
    <x v="1"/>
    <n v="16"/>
    <x v="5"/>
    <x v="0"/>
    <x v="3"/>
    <s v="High"/>
    <x v="1"/>
  </r>
  <r>
    <x v="44"/>
    <s v="POL51450"/>
    <d v="2024-01-31T00:00:00"/>
    <n v="79263.210000000006"/>
    <x v="1"/>
    <x v="4"/>
    <x v="1"/>
    <n v="30"/>
    <x v="8"/>
    <x v="2"/>
    <x v="3"/>
    <s v="Low"/>
    <x v="1"/>
  </r>
  <r>
    <x v="45"/>
    <s v="POL53776"/>
    <d v="2024-12-03T00:00:00"/>
    <n v="172221.13"/>
    <x v="1"/>
    <x v="1"/>
    <x v="0"/>
    <n v="59"/>
    <x v="1"/>
    <x v="2"/>
    <x v="0"/>
    <s v="Medium"/>
    <x v="0"/>
  </r>
  <r>
    <x v="46"/>
    <s v="POL50140"/>
    <d v="2024-11-30T00:00:00"/>
    <n v="191244.94"/>
    <x v="0"/>
    <x v="1"/>
    <x v="1"/>
    <n v="48"/>
    <x v="11"/>
    <x v="2"/>
    <x v="0"/>
    <s v="Medium"/>
    <x v="0"/>
  </r>
  <r>
    <x v="47"/>
    <s v="POL52957"/>
    <d v="2024-08-13T00:00:00"/>
    <n v="267667.93"/>
    <x v="2"/>
    <x v="0"/>
    <x v="1"/>
    <n v="58"/>
    <x v="4"/>
    <x v="2"/>
    <x v="1"/>
    <s v="High"/>
    <x v="0"/>
  </r>
  <r>
    <x v="48"/>
    <s v="POL51555"/>
    <d v="2022-09-27T00:00:00"/>
    <n v="422381.21"/>
    <x v="0"/>
    <x v="2"/>
    <x v="1"/>
    <n v="13"/>
    <x v="7"/>
    <x v="0"/>
    <x v="1"/>
    <s v="High"/>
    <x v="1"/>
  </r>
  <r>
    <x v="49"/>
    <s v="POL51711"/>
    <d v="2025-03-15T00:00:00"/>
    <n v="435372.41"/>
    <x v="1"/>
    <x v="3"/>
    <x v="1"/>
    <n v="11"/>
    <x v="5"/>
    <x v="4"/>
    <x v="3"/>
    <s v="High"/>
    <x v="1"/>
  </r>
  <r>
    <x v="50"/>
    <s v="POL53075"/>
    <d v="2023-01-29T00:00:00"/>
    <n v="342793.84"/>
    <x v="1"/>
    <x v="1"/>
    <x v="0"/>
    <n v="5"/>
    <x v="8"/>
    <x v="3"/>
    <x v="3"/>
    <s v="High"/>
    <x v="1"/>
  </r>
  <r>
    <x v="51"/>
    <s v="POL51482"/>
    <d v="2022-08-26T00:00:00"/>
    <n v="271007.14"/>
    <x v="0"/>
    <x v="0"/>
    <x v="0"/>
    <n v="16"/>
    <x v="4"/>
    <x v="0"/>
    <x v="1"/>
    <s v="High"/>
    <x v="1"/>
  </r>
  <r>
    <x v="52"/>
    <s v="POL51040"/>
    <d v="2025-04-20T00:00:00"/>
    <n v="389411.04"/>
    <x v="1"/>
    <x v="1"/>
    <x v="0"/>
    <n v="56"/>
    <x v="9"/>
    <x v="4"/>
    <x v="2"/>
    <s v="High"/>
    <x v="0"/>
  </r>
  <r>
    <x v="53"/>
    <s v="POL50932"/>
    <d v="2023-02-04T00:00:00"/>
    <n v="112536.24"/>
    <x v="2"/>
    <x v="1"/>
    <x v="0"/>
    <n v="53"/>
    <x v="10"/>
    <x v="3"/>
    <x v="3"/>
    <s v="Medium"/>
    <x v="0"/>
  </r>
  <r>
    <x v="54"/>
    <s v="POL52096"/>
    <d v="2023-02-28T00:00:00"/>
    <n v="296977.2"/>
    <x v="1"/>
    <x v="0"/>
    <x v="0"/>
    <n v="35"/>
    <x v="10"/>
    <x v="3"/>
    <x v="3"/>
    <s v="High"/>
    <x v="0"/>
  </r>
  <r>
    <x v="55"/>
    <s v="POL50428"/>
    <d v="2023-08-15T00:00:00"/>
    <n v="386747.78"/>
    <x v="0"/>
    <x v="0"/>
    <x v="0"/>
    <n v="45"/>
    <x v="4"/>
    <x v="3"/>
    <x v="1"/>
    <s v="High"/>
    <x v="0"/>
  </r>
  <r>
    <x v="56"/>
    <s v="POL53342"/>
    <d v="2024-02-08T00:00:00"/>
    <n v="182099.71"/>
    <x v="1"/>
    <x v="4"/>
    <x v="0"/>
    <n v="12"/>
    <x v="10"/>
    <x v="2"/>
    <x v="3"/>
    <s v="Medium"/>
    <x v="1"/>
  </r>
  <r>
    <x v="57"/>
    <s v="POL53064"/>
    <d v="2024-10-03T00:00:00"/>
    <n v="405963.06"/>
    <x v="1"/>
    <x v="3"/>
    <x v="0"/>
    <n v="26"/>
    <x v="0"/>
    <x v="2"/>
    <x v="0"/>
    <s v="High"/>
    <x v="1"/>
  </r>
  <r>
    <x v="58"/>
    <s v="POL51090"/>
    <d v="2022-11-24T00:00:00"/>
    <n v="243607.52"/>
    <x v="2"/>
    <x v="1"/>
    <x v="1"/>
    <n v="52"/>
    <x v="11"/>
    <x v="0"/>
    <x v="0"/>
    <s v="High"/>
    <x v="0"/>
  </r>
  <r>
    <x v="59"/>
    <s v="POL52701"/>
    <d v="2021-08-19T00:00:00"/>
    <n v="498110.26"/>
    <x v="1"/>
    <x v="1"/>
    <x v="1"/>
    <n v="29"/>
    <x v="4"/>
    <x v="1"/>
    <x v="1"/>
    <s v="High"/>
    <x v="1"/>
  </r>
  <r>
    <x v="60"/>
    <s v="POL51889"/>
    <d v="2024-08-11T00:00:00"/>
    <n v="269337.03000000003"/>
    <x v="2"/>
    <x v="4"/>
    <x v="0"/>
    <n v="59"/>
    <x v="4"/>
    <x v="2"/>
    <x v="1"/>
    <s v="High"/>
    <x v="0"/>
  </r>
  <r>
    <x v="61"/>
    <s v="POL51172"/>
    <d v="2025-02-10T00:00:00"/>
    <n v="86152.38"/>
    <x v="2"/>
    <x v="4"/>
    <x v="0"/>
    <n v="36"/>
    <x v="10"/>
    <x v="4"/>
    <x v="3"/>
    <s v="Low"/>
    <x v="0"/>
  </r>
  <r>
    <x v="62"/>
    <s v="POL50455"/>
    <d v="2024-06-14T00:00:00"/>
    <n v="411616.47"/>
    <x v="1"/>
    <x v="1"/>
    <x v="1"/>
    <n v="8"/>
    <x v="3"/>
    <x v="2"/>
    <x v="2"/>
    <s v="High"/>
    <x v="1"/>
  </r>
  <r>
    <x v="63"/>
    <s v="POL50408"/>
    <d v="2024-12-02T00:00:00"/>
    <n v="345978.75"/>
    <x v="0"/>
    <x v="0"/>
    <x v="0"/>
    <n v="9"/>
    <x v="1"/>
    <x v="2"/>
    <x v="0"/>
    <s v="High"/>
    <x v="1"/>
  </r>
  <r>
    <x v="64"/>
    <s v="POL50332"/>
    <d v="2024-08-27T00:00:00"/>
    <n v="48118.03"/>
    <x v="2"/>
    <x v="4"/>
    <x v="0"/>
    <n v="18"/>
    <x v="4"/>
    <x v="2"/>
    <x v="1"/>
    <s v="Low"/>
    <x v="1"/>
  </r>
  <r>
    <x v="65"/>
    <s v="POL53058"/>
    <d v="2024-07-09T00:00:00"/>
    <n v="308159.53999999998"/>
    <x v="1"/>
    <x v="2"/>
    <x v="0"/>
    <n v="17"/>
    <x v="2"/>
    <x v="2"/>
    <x v="1"/>
    <s v="High"/>
    <x v="1"/>
  </r>
  <r>
    <x v="66"/>
    <s v="POL50080"/>
    <d v="2024-06-26T00:00:00"/>
    <n v="97264.45"/>
    <x v="2"/>
    <x v="2"/>
    <x v="1"/>
    <n v="10"/>
    <x v="3"/>
    <x v="2"/>
    <x v="2"/>
    <s v="Low"/>
    <x v="1"/>
  </r>
  <r>
    <x v="67"/>
    <s v="POL53583"/>
    <d v="2023-08-16T00:00:00"/>
    <n v="128300.14"/>
    <x v="1"/>
    <x v="2"/>
    <x v="0"/>
    <n v="42"/>
    <x v="4"/>
    <x v="3"/>
    <x v="1"/>
    <s v="Medium"/>
    <x v="0"/>
  </r>
  <r>
    <x v="68"/>
    <s v="POL52197"/>
    <d v="2023-10-06T00:00:00"/>
    <n v="462147.09"/>
    <x v="0"/>
    <x v="0"/>
    <x v="0"/>
    <n v="44"/>
    <x v="0"/>
    <x v="3"/>
    <x v="0"/>
    <s v="High"/>
    <x v="0"/>
  </r>
  <r>
    <x v="69"/>
    <s v="POL50612"/>
    <d v="2024-02-19T00:00:00"/>
    <n v="192823.07"/>
    <x v="2"/>
    <x v="3"/>
    <x v="1"/>
    <n v="50"/>
    <x v="10"/>
    <x v="2"/>
    <x v="3"/>
    <s v="Medium"/>
    <x v="0"/>
  </r>
  <r>
    <x v="70"/>
    <s v="POL53522"/>
    <d v="2024-06-16T00:00:00"/>
    <n v="88266.82"/>
    <x v="1"/>
    <x v="1"/>
    <x v="0"/>
    <n v="12"/>
    <x v="3"/>
    <x v="2"/>
    <x v="2"/>
    <s v="Low"/>
    <x v="1"/>
  </r>
  <r>
    <x v="71"/>
    <s v="POL52971"/>
    <d v="2024-06-15T00:00:00"/>
    <n v="16861.39"/>
    <x v="0"/>
    <x v="0"/>
    <x v="0"/>
    <n v="19"/>
    <x v="3"/>
    <x v="2"/>
    <x v="2"/>
    <s v="Low"/>
    <x v="1"/>
  </r>
  <r>
    <x v="72"/>
    <s v="POL52501"/>
    <d v="2024-08-23T00:00:00"/>
    <n v="309197.71000000002"/>
    <x v="2"/>
    <x v="3"/>
    <x v="0"/>
    <n v="4"/>
    <x v="4"/>
    <x v="2"/>
    <x v="1"/>
    <s v="High"/>
    <x v="1"/>
  </r>
  <r>
    <x v="73"/>
    <s v="POL50036"/>
    <d v="2024-09-10T00:00:00"/>
    <n v="50005.2"/>
    <x v="0"/>
    <x v="4"/>
    <x v="0"/>
    <n v="42"/>
    <x v="7"/>
    <x v="2"/>
    <x v="1"/>
    <s v="Low"/>
    <x v="0"/>
  </r>
  <r>
    <x v="74"/>
    <s v="POL53487"/>
    <d v="2023-08-19T00:00:00"/>
    <n v="26489.24"/>
    <x v="1"/>
    <x v="3"/>
    <x v="1"/>
    <n v="32"/>
    <x v="4"/>
    <x v="3"/>
    <x v="1"/>
    <s v="Low"/>
    <x v="0"/>
  </r>
  <r>
    <x v="75"/>
    <s v="POL52012"/>
    <d v="2023-10-11T00:00:00"/>
    <n v="336815.69"/>
    <x v="2"/>
    <x v="2"/>
    <x v="1"/>
    <n v="32"/>
    <x v="0"/>
    <x v="3"/>
    <x v="0"/>
    <s v="High"/>
    <x v="0"/>
  </r>
  <r>
    <x v="76"/>
    <s v="POL52219"/>
    <d v="2024-09-27T00:00:00"/>
    <n v="453099.96"/>
    <x v="0"/>
    <x v="3"/>
    <x v="0"/>
    <n v="21"/>
    <x v="7"/>
    <x v="2"/>
    <x v="1"/>
    <s v="High"/>
    <x v="1"/>
  </r>
  <r>
    <x v="77"/>
    <s v="POL50252"/>
    <d v="2023-12-02T00:00:00"/>
    <n v="133918.39999999999"/>
    <x v="0"/>
    <x v="1"/>
    <x v="0"/>
    <n v="18"/>
    <x v="1"/>
    <x v="3"/>
    <x v="0"/>
    <s v="Medium"/>
    <x v="1"/>
  </r>
  <r>
    <x v="78"/>
    <s v="POL51598"/>
    <d v="2024-09-06T00:00:00"/>
    <n v="121826.81"/>
    <x v="0"/>
    <x v="4"/>
    <x v="0"/>
    <n v="25"/>
    <x v="7"/>
    <x v="2"/>
    <x v="1"/>
    <s v="Medium"/>
    <x v="1"/>
  </r>
  <r>
    <x v="79"/>
    <s v="POL50251"/>
    <d v="2023-11-21T00:00:00"/>
    <n v="239290.7"/>
    <x v="0"/>
    <x v="3"/>
    <x v="0"/>
    <n v="57"/>
    <x v="11"/>
    <x v="3"/>
    <x v="0"/>
    <s v="High"/>
    <x v="0"/>
  </r>
  <r>
    <x v="80"/>
    <s v="POL53438"/>
    <d v="2024-02-22T00:00:00"/>
    <n v="39974.79"/>
    <x v="1"/>
    <x v="0"/>
    <x v="0"/>
    <n v="31"/>
    <x v="10"/>
    <x v="2"/>
    <x v="3"/>
    <s v="Low"/>
    <x v="0"/>
  </r>
  <r>
    <x v="81"/>
    <s v="POL52449"/>
    <d v="2024-10-29T00:00:00"/>
    <n v="40452.32"/>
    <x v="0"/>
    <x v="3"/>
    <x v="1"/>
    <n v="36"/>
    <x v="0"/>
    <x v="2"/>
    <x v="0"/>
    <s v="Low"/>
    <x v="0"/>
  </r>
  <r>
    <x v="82"/>
    <s v="POL51984"/>
    <d v="2023-09-06T00:00:00"/>
    <n v="263130.25"/>
    <x v="2"/>
    <x v="0"/>
    <x v="0"/>
    <n v="43"/>
    <x v="7"/>
    <x v="3"/>
    <x v="1"/>
    <s v="High"/>
    <x v="0"/>
  </r>
  <r>
    <x v="83"/>
    <s v="POL50251"/>
    <d v="2024-01-22T00:00:00"/>
    <n v="29898.86"/>
    <x v="1"/>
    <x v="1"/>
    <x v="0"/>
    <n v="8"/>
    <x v="8"/>
    <x v="2"/>
    <x v="3"/>
    <s v="Low"/>
    <x v="1"/>
  </r>
  <r>
    <x v="84"/>
    <s v="POL50371"/>
    <d v="2022-04-11T00:00:00"/>
    <n v="259993.08"/>
    <x v="0"/>
    <x v="3"/>
    <x v="1"/>
    <n v="10"/>
    <x v="9"/>
    <x v="0"/>
    <x v="2"/>
    <s v="High"/>
    <x v="1"/>
  </r>
  <r>
    <x v="85"/>
    <s v="POL50876"/>
    <d v="2022-09-30T00:00:00"/>
    <n v="282324.3"/>
    <x v="0"/>
    <x v="0"/>
    <x v="0"/>
    <n v="16"/>
    <x v="7"/>
    <x v="0"/>
    <x v="1"/>
    <s v="High"/>
    <x v="1"/>
  </r>
  <r>
    <x v="86"/>
    <s v="POL51350"/>
    <d v="2022-01-04T00:00:00"/>
    <n v="415196.39"/>
    <x v="1"/>
    <x v="2"/>
    <x v="0"/>
    <n v="29"/>
    <x v="8"/>
    <x v="0"/>
    <x v="3"/>
    <s v="High"/>
    <x v="1"/>
  </r>
  <r>
    <x v="87"/>
    <s v="POL50499"/>
    <d v="2023-12-16T00:00:00"/>
    <n v="362825.55"/>
    <x v="2"/>
    <x v="2"/>
    <x v="1"/>
    <n v="6"/>
    <x v="1"/>
    <x v="3"/>
    <x v="0"/>
    <s v="High"/>
    <x v="1"/>
  </r>
  <r>
    <x v="88"/>
    <s v="POL53585"/>
    <d v="2025-03-23T00:00:00"/>
    <n v="109215.32"/>
    <x v="0"/>
    <x v="3"/>
    <x v="1"/>
    <n v="46"/>
    <x v="5"/>
    <x v="4"/>
    <x v="3"/>
    <s v="Medium"/>
    <x v="0"/>
  </r>
  <r>
    <x v="89"/>
    <s v="POL53148"/>
    <d v="2024-07-02T00:00:00"/>
    <n v="426039.67"/>
    <x v="1"/>
    <x v="2"/>
    <x v="1"/>
    <n v="55"/>
    <x v="2"/>
    <x v="2"/>
    <x v="1"/>
    <s v="High"/>
    <x v="0"/>
  </r>
  <r>
    <x v="90"/>
    <s v="POL51711"/>
    <d v="2025-05-24T00:00:00"/>
    <n v="102228.31"/>
    <x v="2"/>
    <x v="3"/>
    <x v="0"/>
    <n v="9"/>
    <x v="6"/>
    <x v="4"/>
    <x v="2"/>
    <s v="Medium"/>
    <x v="1"/>
  </r>
  <r>
    <x v="91"/>
    <s v="POL52479"/>
    <d v="2021-07-27T00:00:00"/>
    <n v="164633.69"/>
    <x v="0"/>
    <x v="3"/>
    <x v="0"/>
    <n v="28"/>
    <x v="2"/>
    <x v="1"/>
    <x v="1"/>
    <s v="Medium"/>
    <x v="1"/>
  </r>
  <r>
    <x v="92"/>
    <s v="POL51535"/>
    <d v="2022-08-19T00:00:00"/>
    <n v="436651.52000000002"/>
    <x v="1"/>
    <x v="3"/>
    <x v="1"/>
    <n v="59"/>
    <x v="4"/>
    <x v="0"/>
    <x v="1"/>
    <s v="High"/>
    <x v="0"/>
  </r>
  <r>
    <x v="93"/>
    <s v="POL52860"/>
    <d v="2023-10-02T00:00:00"/>
    <n v="217480.8"/>
    <x v="1"/>
    <x v="1"/>
    <x v="0"/>
    <n v="30"/>
    <x v="0"/>
    <x v="3"/>
    <x v="0"/>
    <s v="High"/>
    <x v="1"/>
  </r>
  <r>
    <x v="94"/>
    <s v="POL52613"/>
    <d v="2023-08-01T00:00:00"/>
    <n v="341474.05"/>
    <x v="2"/>
    <x v="2"/>
    <x v="1"/>
    <n v="12"/>
    <x v="4"/>
    <x v="3"/>
    <x v="1"/>
    <s v="High"/>
    <x v="1"/>
  </r>
  <r>
    <x v="95"/>
    <s v="POL50250"/>
    <d v="2023-10-08T00:00:00"/>
    <n v="256398.09"/>
    <x v="1"/>
    <x v="4"/>
    <x v="1"/>
    <n v="44"/>
    <x v="0"/>
    <x v="3"/>
    <x v="0"/>
    <s v="High"/>
    <x v="0"/>
  </r>
  <r>
    <x v="96"/>
    <s v="POL53159"/>
    <d v="2022-08-14T00:00:00"/>
    <n v="10635.02"/>
    <x v="1"/>
    <x v="4"/>
    <x v="0"/>
    <n v="4"/>
    <x v="4"/>
    <x v="0"/>
    <x v="1"/>
    <s v="Low"/>
    <x v="1"/>
  </r>
  <r>
    <x v="97"/>
    <s v="POL52749"/>
    <d v="2022-11-05T00:00:00"/>
    <n v="107740.44"/>
    <x v="0"/>
    <x v="3"/>
    <x v="1"/>
    <n v="12"/>
    <x v="11"/>
    <x v="0"/>
    <x v="0"/>
    <s v="Medium"/>
    <x v="1"/>
  </r>
  <r>
    <x v="98"/>
    <s v="POL53845"/>
    <d v="2024-02-06T00:00:00"/>
    <n v="256866.78"/>
    <x v="1"/>
    <x v="4"/>
    <x v="0"/>
    <n v="16"/>
    <x v="10"/>
    <x v="2"/>
    <x v="3"/>
    <s v="High"/>
    <x v="1"/>
  </r>
  <r>
    <x v="99"/>
    <s v="POL50739"/>
    <d v="2024-07-30T00:00:00"/>
    <n v="458792.01"/>
    <x v="0"/>
    <x v="4"/>
    <x v="1"/>
    <n v="29"/>
    <x v="2"/>
    <x v="2"/>
    <x v="1"/>
    <s v="High"/>
    <x v="1"/>
  </r>
  <r>
    <x v="100"/>
    <s v="POL50434"/>
    <d v="2022-01-31T00:00:00"/>
    <n v="152733.62"/>
    <x v="0"/>
    <x v="1"/>
    <x v="1"/>
    <n v="9"/>
    <x v="8"/>
    <x v="0"/>
    <x v="3"/>
    <s v="Medium"/>
    <x v="1"/>
  </r>
  <r>
    <x v="101"/>
    <s v="POL53528"/>
    <d v="2023-02-14T00:00:00"/>
    <n v="61139.51"/>
    <x v="0"/>
    <x v="4"/>
    <x v="0"/>
    <n v="39"/>
    <x v="10"/>
    <x v="3"/>
    <x v="3"/>
    <s v="Low"/>
    <x v="0"/>
  </r>
  <r>
    <x v="102"/>
    <s v="POL51364"/>
    <d v="2024-06-27T00:00:00"/>
    <n v="476174.32"/>
    <x v="2"/>
    <x v="4"/>
    <x v="0"/>
    <n v="28"/>
    <x v="3"/>
    <x v="2"/>
    <x v="2"/>
    <s v="High"/>
    <x v="1"/>
  </r>
  <r>
    <x v="103"/>
    <s v="POL53660"/>
    <d v="2024-07-12T00:00:00"/>
    <n v="92787.13"/>
    <x v="0"/>
    <x v="4"/>
    <x v="0"/>
    <n v="28"/>
    <x v="2"/>
    <x v="2"/>
    <x v="1"/>
    <s v="Low"/>
    <x v="1"/>
  </r>
  <r>
    <x v="104"/>
    <s v="POL52417"/>
    <d v="2024-03-18T00:00:00"/>
    <n v="295545.45"/>
    <x v="2"/>
    <x v="2"/>
    <x v="0"/>
    <n v="12"/>
    <x v="5"/>
    <x v="2"/>
    <x v="3"/>
    <s v="High"/>
    <x v="1"/>
  </r>
  <r>
    <x v="105"/>
    <s v="POL51154"/>
    <d v="2024-09-06T00:00:00"/>
    <n v="306260.24"/>
    <x v="1"/>
    <x v="3"/>
    <x v="0"/>
    <n v="3"/>
    <x v="7"/>
    <x v="2"/>
    <x v="1"/>
    <s v="High"/>
    <x v="1"/>
  </r>
  <r>
    <x v="106"/>
    <s v="POL53889"/>
    <d v="2023-02-10T00:00:00"/>
    <n v="364034.51"/>
    <x v="2"/>
    <x v="2"/>
    <x v="0"/>
    <n v="28"/>
    <x v="10"/>
    <x v="3"/>
    <x v="3"/>
    <s v="High"/>
    <x v="1"/>
  </r>
  <r>
    <x v="107"/>
    <s v="POL50743"/>
    <d v="2025-04-27T00:00:00"/>
    <n v="184869.23"/>
    <x v="0"/>
    <x v="0"/>
    <x v="0"/>
    <n v="8"/>
    <x v="9"/>
    <x v="4"/>
    <x v="2"/>
    <s v="Medium"/>
    <x v="1"/>
  </r>
  <r>
    <x v="108"/>
    <s v="POL50639"/>
    <d v="2022-08-14T00:00:00"/>
    <n v="221156.11"/>
    <x v="2"/>
    <x v="3"/>
    <x v="1"/>
    <n v="23"/>
    <x v="4"/>
    <x v="0"/>
    <x v="1"/>
    <s v="High"/>
    <x v="1"/>
  </r>
  <r>
    <x v="109"/>
    <s v="POL50707"/>
    <d v="2024-04-21T00:00:00"/>
    <n v="258943.83"/>
    <x v="1"/>
    <x v="1"/>
    <x v="1"/>
    <n v="52"/>
    <x v="9"/>
    <x v="2"/>
    <x v="2"/>
    <s v="High"/>
    <x v="0"/>
  </r>
  <r>
    <x v="110"/>
    <s v="POL51006"/>
    <d v="2020-10-11T00:00:00"/>
    <n v="213356.52"/>
    <x v="1"/>
    <x v="2"/>
    <x v="1"/>
    <n v="50"/>
    <x v="0"/>
    <x v="5"/>
    <x v="0"/>
    <s v="High"/>
    <x v="0"/>
  </r>
  <r>
    <x v="111"/>
    <s v="POL51069"/>
    <d v="2024-06-01T00:00:00"/>
    <n v="112452.52"/>
    <x v="2"/>
    <x v="4"/>
    <x v="0"/>
    <n v="14"/>
    <x v="3"/>
    <x v="2"/>
    <x v="2"/>
    <s v="Medium"/>
    <x v="1"/>
  </r>
  <r>
    <x v="112"/>
    <s v="POL50967"/>
    <d v="2020-12-21T00:00:00"/>
    <n v="488577.23"/>
    <x v="1"/>
    <x v="0"/>
    <x v="0"/>
    <n v="12"/>
    <x v="1"/>
    <x v="5"/>
    <x v="0"/>
    <s v="High"/>
    <x v="1"/>
  </r>
  <r>
    <x v="113"/>
    <s v="POL53201"/>
    <d v="2022-12-12T00:00:00"/>
    <n v="327390.71000000002"/>
    <x v="1"/>
    <x v="3"/>
    <x v="1"/>
    <n v="24"/>
    <x v="1"/>
    <x v="0"/>
    <x v="0"/>
    <s v="High"/>
    <x v="1"/>
  </r>
  <r>
    <x v="114"/>
    <s v="POL52157"/>
    <d v="2024-07-23T00:00:00"/>
    <n v="135977.79999999999"/>
    <x v="2"/>
    <x v="4"/>
    <x v="0"/>
    <n v="40"/>
    <x v="2"/>
    <x v="2"/>
    <x v="1"/>
    <s v="Medium"/>
    <x v="0"/>
  </r>
  <r>
    <x v="115"/>
    <s v="POL51326"/>
    <d v="2024-03-10T00:00:00"/>
    <n v="394219.55"/>
    <x v="1"/>
    <x v="2"/>
    <x v="1"/>
    <n v="42"/>
    <x v="5"/>
    <x v="2"/>
    <x v="3"/>
    <s v="High"/>
    <x v="0"/>
  </r>
  <r>
    <x v="116"/>
    <s v="POL51520"/>
    <d v="2024-03-21T00:00:00"/>
    <n v="336857.47"/>
    <x v="0"/>
    <x v="2"/>
    <x v="0"/>
    <n v="22"/>
    <x v="5"/>
    <x v="2"/>
    <x v="3"/>
    <s v="High"/>
    <x v="1"/>
  </r>
  <r>
    <x v="117"/>
    <s v="POL51707"/>
    <d v="2024-11-03T00:00:00"/>
    <n v="247989.67"/>
    <x v="2"/>
    <x v="0"/>
    <x v="1"/>
    <n v="28"/>
    <x v="11"/>
    <x v="2"/>
    <x v="0"/>
    <s v="High"/>
    <x v="1"/>
  </r>
  <r>
    <x v="118"/>
    <s v="POL51817"/>
    <d v="2021-11-08T00:00:00"/>
    <n v="273144.38"/>
    <x v="1"/>
    <x v="3"/>
    <x v="0"/>
    <n v="46"/>
    <x v="11"/>
    <x v="1"/>
    <x v="0"/>
    <s v="High"/>
    <x v="0"/>
  </r>
  <r>
    <x v="119"/>
    <s v="POL52444"/>
    <d v="2024-04-13T00:00:00"/>
    <n v="154687.21"/>
    <x v="2"/>
    <x v="3"/>
    <x v="1"/>
    <n v="56"/>
    <x v="9"/>
    <x v="2"/>
    <x v="2"/>
    <s v="Medium"/>
    <x v="0"/>
  </r>
  <r>
    <x v="120"/>
    <s v="POL51587"/>
    <d v="2024-02-17T00:00:00"/>
    <n v="457612.09"/>
    <x v="1"/>
    <x v="0"/>
    <x v="0"/>
    <n v="42"/>
    <x v="10"/>
    <x v="2"/>
    <x v="3"/>
    <s v="High"/>
    <x v="0"/>
  </r>
  <r>
    <x v="121"/>
    <s v="POL51575"/>
    <d v="2022-11-17T00:00:00"/>
    <n v="488187.59"/>
    <x v="0"/>
    <x v="2"/>
    <x v="1"/>
    <n v="34"/>
    <x v="11"/>
    <x v="0"/>
    <x v="0"/>
    <s v="High"/>
    <x v="0"/>
  </r>
  <r>
    <x v="122"/>
    <s v="POL50234"/>
    <d v="2024-10-17T00:00:00"/>
    <n v="29479.3"/>
    <x v="1"/>
    <x v="0"/>
    <x v="1"/>
    <n v="24"/>
    <x v="0"/>
    <x v="2"/>
    <x v="0"/>
    <s v="Low"/>
    <x v="1"/>
  </r>
  <r>
    <x v="123"/>
    <s v="POL51518"/>
    <d v="2023-07-31T00:00:00"/>
    <n v="163193.93"/>
    <x v="0"/>
    <x v="2"/>
    <x v="0"/>
    <n v="24"/>
    <x v="2"/>
    <x v="3"/>
    <x v="1"/>
    <s v="Medium"/>
    <x v="1"/>
  </r>
  <r>
    <x v="124"/>
    <s v="POL50791"/>
    <d v="2024-05-28T00:00:00"/>
    <n v="189978.06"/>
    <x v="2"/>
    <x v="0"/>
    <x v="1"/>
    <n v="7"/>
    <x v="6"/>
    <x v="2"/>
    <x v="2"/>
    <s v="Medium"/>
    <x v="1"/>
  </r>
  <r>
    <x v="125"/>
    <s v="POL52721"/>
    <d v="2024-07-04T00:00:00"/>
    <n v="328753.52"/>
    <x v="1"/>
    <x v="0"/>
    <x v="0"/>
    <n v="3"/>
    <x v="2"/>
    <x v="2"/>
    <x v="1"/>
    <s v="High"/>
    <x v="1"/>
  </r>
  <r>
    <x v="126"/>
    <s v="POL50621"/>
    <d v="2024-05-23T00:00:00"/>
    <n v="321517.03999999998"/>
    <x v="0"/>
    <x v="2"/>
    <x v="1"/>
    <n v="58"/>
    <x v="6"/>
    <x v="2"/>
    <x v="2"/>
    <s v="High"/>
    <x v="0"/>
  </r>
  <r>
    <x v="127"/>
    <s v="POL53489"/>
    <d v="2024-10-22T00:00:00"/>
    <n v="262646.40999999997"/>
    <x v="2"/>
    <x v="0"/>
    <x v="0"/>
    <n v="59"/>
    <x v="0"/>
    <x v="2"/>
    <x v="0"/>
    <s v="High"/>
    <x v="0"/>
  </r>
  <r>
    <x v="128"/>
    <s v="POL51938"/>
    <d v="2023-09-15T00:00:00"/>
    <n v="33763.5"/>
    <x v="2"/>
    <x v="0"/>
    <x v="1"/>
    <n v="43"/>
    <x v="7"/>
    <x v="3"/>
    <x v="1"/>
    <s v="Low"/>
    <x v="0"/>
  </r>
  <r>
    <x v="129"/>
    <s v="POL51780"/>
    <d v="2023-07-13T00:00:00"/>
    <n v="77044.320000000007"/>
    <x v="1"/>
    <x v="1"/>
    <x v="1"/>
    <n v="53"/>
    <x v="2"/>
    <x v="3"/>
    <x v="1"/>
    <s v="Low"/>
    <x v="0"/>
  </r>
  <r>
    <x v="130"/>
    <s v="POL51664"/>
    <d v="2025-02-15T00:00:00"/>
    <n v="339920.91"/>
    <x v="0"/>
    <x v="0"/>
    <x v="0"/>
    <n v="4"/>
    <x v="10"/>
    <x v="4"/>
    <x v="3"/>
    <s v="High"/>
    <x v="1"/>
  </r>
  <r>
    <x v="131"/>
    <s v="POL51869"/>
    <d v="2022-03-23T00:00:00"/>
    <n v="372678.92"/>
    <x v="0"/>
    <x v="1"/>
    <x v="0"/>
    <n v="33"/>
    <x v="5"/>
    <x v="0"/>
    <x v="3"/>
    <s v="High"/>
    <x v="0"/>
  </r>
  <r>
    <x v="132"/>
    <s v="POL50952"/>
    <d v="2022-08-25T00:00:00"/>
    <n v="31637.5"/>
    <x v="0"/>
    <x v="2"/>
    <x v="1"/>
    <n v="26"/>
    <x v="4"/>
    <x v="0"/>
    <x v="1"/>
    <s v="Low"/>
    <x v="1"/>
  </r>
  <r>
    <x v="133"/>
    <s v="POL50884"/>
    <d v="2023-04-04T00:00:00"/>
    <n v="149235.4"/>
    <x v="0"/>
    <x v="4"/>
    <x v="1"/>
    <n v="20"/>
    <x v="9"/>
    <x v="3"/>
    <x v="2"/>
    <s v="Medium"/>
    <x v="1"/>
  </r>
  <r>
    <x v="134"/>
    <s v="POL53116"/>
    <d v="2022-09-09T00:00:00"/>
    <n v="48669.74"/>
    <x v="2"/>
    <x v="1"/>
    <x v="1"/>
    <n v="48"/>
    <x v="7"/>
    <x v="0"/>
    <x v="1"/>
    <s v="Low"/>
    <x v="0"/>
  </r>
  <r>
    <x v="135"/>
    <s v="POL52975"/>
    <d v="2022-01-01T00:00:00"/>
    <n v="482295.33"/>
    <x v="2"/>
    <x v="0"/>
    <x v="1"/>
    <n v="52"/>
    <x v="8"/>
    <x v="0"/>
    <x v="3"/>
    <s v="High"/>
    <x v="0"/>
  </r>
  <r>
    <x v="136"/>
    <s v="POL50303"/>
    <d v="2022-08-16T00:00:00"/>
    <n v="67178.490000000005"/>
    <x v="2"/>
    <x v="1"/>
    <x v="1"/>
    <n v="9"/>
    <x v="4"/>
    <x v="0"/>
    <x v="1"/>
    <s v="Low"/>
    <x v="1"/>
  </r>
  <r>
    <x v="137"/>
    <s v="POL53401"/>
    <d v="2024-01-31T00:00:00"/>
    <n v="440231.31"/>
    <x v="2"/>
    <x v="2"/>
    <x v="1"/>
    <n v="34"/>
    <x v="8"/>
    <x v="2"/>
    <x v="3"/>
    <s v="High"/>
    <x v="0"/>
  </r>
  <r>
    <x v="138"/>
    <s v="POL51760"/>
    <d v="2022-04-26T00:00:00"/>
    <n v="194724.57"/>
    <x v="0"/>
    <x v="4"/>
    <x v="0"/>
    <n v="19"/>
    <x v="9"/>
    <x v="0"/>
    <x v="2"/>
    <s v="Medium"/>
    <x v="1"/>
  </r>
  <r>
    <x v="139"/>
    <s v="POL53583"/>
    <d v="2023-10-10T00:00:00"/>
    <n v="152037.89000000001"/>
    <x v="1"/>
    <x v="2"/>
    <x v="1"/>
    <n v="16"/>
    <x v="0"/>
    <x v="3"/>
    <x v="0"/>
    <s v="Medium"/>
    <x v="1"/>
  </r>
  <r>
    <x v="140"/>
    <s v="POL53059"/>
    <d v="2023-12-13T00:00:00"/>
    <n v="330986.68"/>
    <x v="0"/>
    <x v="4"/>
    <x v="0"/>
    <n v="54"/>
    <x v="1"/>
    <x v="3"/>
    <x v="0"/>
    <s v="High"/>
    <x v="0"/>
  </r>
  <r>
    <x v="141"/>
    <s v="POL50829"/>
    <d v="2023-02-15T00:00:00"/>
    <n v="56257.37"/>
    <x v="1"/>
    <x v="4"/>
    <x v="0"/>
    <n v="3"/>
    <x v="10"/>
    <x v="3"/>
    <x v="3"/>
    <s v="Low"/>
    <x v="1"/>
  </r>
  <r>
    <x v="142"/>
    <s v="POL51237"/>
    <d v="2023-11-10T00:00:00"/>
    <n v="261627.82"/>
    <x v="1"/>
    <x v="1"/>
    <x v="1"/>
    <n v="17"/>
    <x v="11"/>
    <x v="3"/>
    <x v="0"/>
    <s v="High"/>
    <x v="1"/>
  </r>
  <r>
    <x v="143"/>
    <s v="POL51582"/>
    <d v="2024-06-23T00:00:00"/>
    <n v="101663.74"/>
    <x v="0"/>
    <x v="1"/>
    <x v="0"/>
    <n v="17"/>
    <x v="3"/>
    <x v="2"/>
    <x v="2"/>
    <s v="Medium"/>
    <x v="1"/>
  </r>
  <r>
    <x v="144"/>
    <s v="POL52233"/>
    <d v="2024-01-17T00:00:00"/>
    <n v="308304.73"/>
    <x v="2"/>
    <x v="3"/>
    <x v="0"/>
    <n v="18"/>
    <x v="8"/>
    <x v="2"/>
    <x v="3"/>
    <s v="High"/>
    <x v="1"/>
  </r>
  <r>
    <x v="145"/>
    <s v="POL52702"/>
    <d v="2023-02-03T00:00:00"/>
    <n v="207683.66"/>
    <x v="1"/>
    <x v="1"/>
    <x v="0"/>
    <n v="42"/>
    <x v="10"/>
    <x v="3"/>
    <x v="3"/>
    <s v="High"/>
    <x v="0"/>
  </r>
  <r>
    <x v="146"/>
    <s v="POL53502"/>
    <d v="2023-06-27T00:00:00"/>
    <n v="356339.89"/>
    <x v="1"/>
    <x v="2"/>
    <x v="1"/>
    <n v="34"/>
    <x v="3"/>
    <x v="3"/>
    <x v="2"/>
    <s v="High"/>
    <x v="0"/>
  </r>
  <r>
    <x v="147"/>
    <s v="POL52882"/>
    <d v="2021-12-23T00:00:00"/>
    <n v="447750.98"/>
    <x v="1"/>
    <x v="0"/>
    <x v="0"/>
    <n v="44"/>
    <x v="1"/>
    <x v="1"/>
    <x v="0"/>
    <s v="High"/>
    <x v="0"/>
  </r>
  <r>
    <x v="148"/>
    <s v="POL52100"/>
    <d v="2024-10-13T00:00:00"/>
    <n v="455651.57"/>
    <x v="2"/>
    <x v="4"/>
    <x v="1"/>
    <n v="4"/>
    <x v="0"/>
    <x v="2"/>
    <x v="0"/>
    <s v="High"/>
    <x v="1"/>
  </r>
  <r>
    <x v="149"/>
    <s v="POL50621"/>
    <d v="2023-06-06T00:00:00"/>
    <n v="450164.55"/>
    <x v="2"/>
    <x v="2"/>
    <x v="1"/>
    <n v="3"/>
    <x v="3"/>
    <x v="3"/>
    <x v="2"/>
    <s v="High"/>
    <x v="1"/>
  </r>
  <r>
    <x v="150"/>
    <s v="POL53749"/>
    <d v="2024-07-17T00:00:00"/>
    <n v="81896.600000000006"/>
    <x v="2"/>
    <x v="3"/>
    <x v="0"/>
    <n v="2"/>
    <x v="2"/>
    <x v="2"/>
    <x v="1"/>
    <s v="Low"/>
    <x v="1"/>
  </r>
  <r>
    <x v="151"/>
    <s v="POL51978"/>
    <d v="2023-08-04T00:00:00"/>
    <n v="353734.5"/>
    <x v="1"/>
    <x v="4"/>
    <x v="1"/>
    <n v="37"/>
    <x v="4"/>
    <x v="3"/>
    <x v="1"/>
    <s v="High"/>
    <x v="0"/>
  </r>
  <r>
    <x v="152"/>
    <s v="POL51735"/>
    <d v="2024-06-08T00:00:00"/>
    <n v="395342.72"/>
    <x v="0"/>
    <x v="3"/>
    <x v="1"/>
    <n v="47"/>
    <x v="3"/>
    <x v="2"/>
    <x v="2"/>
    <s v="High"/>
    <x v="0"/>
  </r>
  <r>
    <x v="153"/>
    <s v="POL52883"/>
    <d v="2021-05-05T00:00:00"/>
    <n v="494578.94"/>
    <x v="1"/>
    <x v="0"/>
    <x v="1"/>
    <n v="22"/>
    <x v="6"/>
    <x v="1"/>
    <x v="2"/>
    <s v="High"/>
    <x v="1"/>
  </r>
  <r>
    <x v="154"/>
    <s v="POL50056"/>
    <d v="2022-07-14T00:00:00"/>
    <n v="245270.42"/>
    <x v="1"/>
    <x v="2"/>
    <x v="0"/>
    <n v="29"/>
    <x v="2"/>
    <x v="0"/>
    <x v="1"/>
    <s v="High"/>
    <x v="1"/>
  </r>
  <r>
    <x v="155"/>
    <s v="POL50967"/>
    <d v="2023-10-13T00:00:00"/>
    <n v="101342.84"/>
    <x v="1"/>
    <x v="3"/>
    <x v="0"/>
    <n v="28"/>
    <x v="0"/>
    <x v="3"/>
    <x v="0"/>
    <s v="Medium"/>
    <x v="1"/>
  </r>
  <r>
    <x v="156"/>
    <s v="POL50492"/>
    <d v="2024-07-23T00:00:00"/>
    <n v="340497.59"/>
    <x v="0"/>
    <x v="4"/>
    <x v="1"/>
    <n v="52"/>
    <x v="2"/>
    <x v="2"/>
    <x v="1"/>
    <s v="High"/>
    <x v="0"/>
  </r>
  <r>
    <x v="157"/>
    <s v="POL53159"/>
    <d v="2022-09-16T00:00:00"/>
    <n v="114187.16"/>
    <x v="1"/>
    <x v="1"/>
    <x v="0"/>
    <n v="35"/>
    <x v="7"/>
    <x v="0"/>
    <x v="1"/>
    <s v="Medium"/>
    <x v="0"/>
  </r>
  <r>
    <x v="158"/>
    <s v="POL53570"/>
    <d v="2023-02-17T00:00:00"/>
    <n v="282092.68"/>
    <x v="0"/>
    <x v="2"/>
    <x v="0"/>
    <n v="13"/>
    <x v="10"/>
    <x v="3"/>
    <x v="3"/>
    <s v="High"/>
    <x v="1"/>
  </r>
  <r>
    <x v="159"/>
    <s v="POL50015"/>
    <d v="2022-07-09T00:00:00"/>
    <n v="336832.73"/>
    <x v="0"/>
    <x v="0"/>
    <x v="0"/>
    <n v="55"/>
    <x v="2"/>
    <x v="0"/>
    <x v="1"/>
    <s v="High"/>
    <x v="0"/>
  </r>
  <r>
    <x v="160"/>
    <s v="POL50006"/>
    <d v="2021-08-04T00:00:00"/>
    <n v="291861"/>
    <x v="1"/>
    <x v="1"/>
    <x v="0"/>
    <n v="3"/>
    <x v="4"/>
    <x v="1"/>
    <x v="1"/>
    <s v="High"/>
    <x v="1"/>
  </r>
  <r>
    <x v="161"/>
    <s v="POL53301"/>
    <d v="2024-08-09T00:00:00"/>
    <n v="427818.99"/>
    <x v="0"/>
    <x v="3"/>
    <x v="0"/>
    <n v="44"/>
    <x v="4"/>
    <x v="2"/>
    <x v="1"/>
    <s v="High"/>
    <x v="0"/>
  </r>
  <r>
    <x v="162"/>
    <s v="POL50066"/>
    <d v="2024-01-27T00:00:00"/>
    <n v="457507.89"/>
    <x v="1"/>
    <x v="2"/>
    <x v="0"/>
    <n v="35"/>
    <x v="8"/>
    <x v="2"/>
    <x v="3"/>
    <s v="High"/>
    <x v="0"/>
  </r>
  <r>
    <x v="163"/>
    <s v="POL53525"/>
    <d v="2024-06-05T00:00:00"/>
    <n v="493129.9"/>
    <x v="1"/>
    <x v="1"/>
    <x v="1"/>
    <n v="38"/>
    <x v="3"/>
    <x v="2"/>
    <x v="2"/>
    <s v="High"/>
    <x v="0"/>
  </r>
  <r>
    <x v="164"/>
    <s v="POL50523"/>
    <d v="2024-04-23T00:00:00"/>
    <n v="185218.51"/>
    <x v="2"/>
    <x v="2"/>
    <x v="0"/>
    <n v="9"/>
    <x v="9"/>
    <x v="2"/>
    <x v="2"/>
    <s v="Medium"/>
    <x v="1"/>
  </r>
  <r>
    <x v="165"/>
    <s v="POL51404"/>
    <d v="2022-06-29T00:00:00"/>
    <n v="115903.76"/>
    <x v="1"/>
    <x v="4"/>
    <x v="0"/>
    <n v="35"/>
    <x v="3"/>
    <x v="0"/>
    <x v="2"/>
    <s v="Medium"/>
    <x v="0"/>
  </r>
  <r>
    <x v="166"/>
    <s v="POL52326"/>
    <d v="2024-05-01T00:00:00"/>
    <n v="393178.33"/>
    <x v="1"/>
    <x v="2"/>
    <x v="1"/>
    <n v="7"/>
    <x v="6"/>
    <x v="2"/>
    <x v="2"/>
    <s v="High"/>
    <x v="1"/>
  </r>
  <r>
    <x v="167"/>
    <s v="POL50351"/>
    <d v="2024-01-14T00:00:00"/>
    <n v="190001.79"/>
    <x v="1"/>
    <x v="2"/>
    <x v="1"/>
    <n v="51"/>
    <x v="8"/>
    <x v="2"/>
    <x v="3"/>
    <s v="Medium"/>
    <x v="0"/>
  </r>
  <r>
    <x v="168"/>
    <s v="POL52817"/>
    <d v="2024-05-27T00:00:00"/>
    <n v="366097.3"/>
    <x v="2"/>
    <x v="2"/>
    <x v="1"/>
    <n v="49"/>
    <x v="6"/>
    <x v="2"/>
    <x v="2"/>
    <s v="High"/>
    <x v="0"/>
  </r>
  <r>
    <x v="169"/>
    <s v="POL51239"/>
    <d v="2021-01-22T00:00:00"/>
    <n v="433352.03"/>
    <x v="2"/>
    <x v="1"/>
    <x v="0"/>
    <n v="29"/>
    <x v="8"/>
    <x v="1"/>
    <x v="3"/>
    <s v="High"/>
    <x v="1"/>
  </r>
  <r>
    <x v="170"/>
    <s v="POL51521"/>
    <d v="2023-12-19T00:00:00"/>
    <n v="412188.8"/>
    <x v="0"/>
    <x v="3"/>
    <x v="0"/>
    <n v="25"/>
    <x v="1"/>
    <x v="3"/>
    <x v="0"/>
    <s v="High"/>
    <x v="1"/>
  </r>
  <r>
    <x v="171"/>
    <s v="POL51737"/>
    <d v="2024-01-27T00:00:00"/>
    <n v="467606.14"/>
    <x v="1"/>
    <x v="0"/>
    <x v="1"/>
    <n v="15"/>
    <x v="8"/>
    <x v="2"/>
    <x v="3"/>
    <s v="High"/>
    <x v="1"/>
  </r>
  <r>
    <x v="172"/>
    <s v="POL50494"/>
    <d v="2023-09-13T00:00:00"/>
    <n v="126099.15"/>
    <x v="2"/>
    <x v="3"/>
    <x v="0"/>
    <n v="50"/>
    <x v="7"/>
    <x v="3"/>
    <x v="1"/>
    <s v="Medium"/>
    <x v="0"/>
  </r>
  <r>
    <x v="173"/>
    <s v="POL51972"/>
    <d v="2024-05-22T00:00:00"/>
    <n v="449234.45"/>
    <x v="1"/>
    <x v="1"/>
    <x v="0"/>
    <n v="50"/>
    <x v="6"/>
    <x v="2"/>
    <x v="2"/>
    <s v="High"/>
    <x v="0"/>
  </r>
  <r>
    <x v="174"/>
    <s v="POL52375"/>
    <d v="2022-05-10T00:00:00"/>
    <n v="405661.21"/>
    <x v="0"/>
    <x v="2"/>
    <x v="0"/>
    <n v="31"/>
    <x v="6"/>
    <x v="0"/>
    <x v="2"/>
    <s v="High"/>
    <x v="0"/>
  </r>
  <r>
    <x v="175"/>
    <s v="POL53907"/>
    <d v="2024-01-09T00:00:00"/>
    <n v="272997.51"/>
    <x v="0"/>
    <x v="4"/>
    <x v="0"/>
    <n v="43"/>
    <x v="8"/>
    <x v="2"/>
    <x v="3"/>
    <s v="High"/>
    <x v="0"/>
  </r>
  <r>
    <x v="176"/>
    <s v="POL53756"/>
    <d v="2023-03-02T00:00:00"/>
    <n v="49245.39"/>
    <x v="2"/>
    <x v="4"/>
    <x v="0"/>
    <n v="57"/>
    <x v="5"/>
    <x v="3"/>
    <x v="3"/>
    <s v="Low"/>
    <x v="0"/>
  </r>
  <r>
    <x v="177"/>
    <s v="POL53476"/>
    <d v="2023-09-05T00:00:00"/>
    <n v="447811.8"/>
    <x v="1"/>
    <x v="3"/>
    <x v="1"/>
    <n v="57"/>
    <x v="7"/>
    <x v="3"/>
    <x v="1"/>
    <s v="High"/>
    <x v="0"/>
  </r>
  <r>
    <x v="178"/>
    <s v="POL50997"/>
    <d v="2022-02-18T00:00:00"/>
    <n v="184987.88"/>
    <x v="1"/>
    <x v="4"/>
    <x v="1"/>
    <n v="50"/>
    <x v="10"/>
    <x v="0"/>
    <x v="3"/>
    <s v="Medium"/>
    <x v="0"/>
  </r>
  <r>
    <x v="179"/>
    <s v="POL52718"/>
    <d v="2024-07-08T00:00:00"/>
    <n v="406639.31"/>
    <x v="2"/>
    <x v="0"/>
    <x v="0"/>
    <n v="36"/>
    <x v="2"/>
    <x v="2"/>
    <x v="1"/>
    <s v="High"/>
    <x v="0"/>
  </r>
  <r>
    <x v="180"/>
    <s v="POL53425"/>
    <d v="2024-08-26T00:00:00"/>
    <n v="457481.83"/>
    <x v="1"/>
    <x v="2"/>
    <x v="1"/>
    <n v="44"/>
    <x v="4"/>
    <x v="2"/>
    <x v="1"/>
    <s v="High"/>
    <x v="0"/>
  </r>
  <r>
    <x v="181"/>
    <s v="POL53514"/>
    <d v="2023-09-14T00:00:00"/>
    <n v="59758.77"/>
    <x v="2"/>
    <x v="4"/>
    <x v="1"/>
    <n v="50"/>
    <x v="7"/>
    <x v="3"/>
    <x v="1"/>
    <s v="Low"/>
    <x v="0"/>
  </r>
  <r>
    <x v="182"/>
    <s v="POL50418"/>
    <d v="2024-06-23T00:00:00"/>
    <n v="78435.73"/>
    <x v="0"/>
    <x v="2"/>
    <x v="0"/>
    <n v="28"/>
    <x v="3"/>
    <x v="2"/>
    <x v="2"/>
    <s v="Low"/>
    <x v="1"/>
  </r>
  <r>
    <x v="183"/>
    <s v="POL53318"/>
    <d v="2024-02-20T00:00:00"/>
    <n v="402854.59"/>
    <x v="2"/>
    <x v="2"/>
    <x v="1"/>
    <n v="34"/>
    <x v="10"/>
    <x v="2"/>
    <x v="3"/>
    <s v="High"/>
    <x v="0"/>
  </r>
  <r>
    <x v="184"/>
    <s v="POL50176"/>
    <d v="2025-03-16T00:00:00"/>
    <n v="318254.95"/>
    <x v="2"/>
    <x v="0"/>
    <x v="0"/>
    <n v="22"/>
    <x v="5"/>
    <x v="4"/>
    <x v="3"/>
    <s v="High"/>
    <x v="1"/>
  </r>
  <r>
    <x v="185"/>
    <s v="POL53833"/>
    <d v="2023-10-20T00:00:00"/>
    <n v="267764.89"/>
    <x v="2"/>
    <x v="3"/>
    <x v="1"/>
    <n v="35"/>
    <x v="0"/>
    <x v="3"/>
    <x v="0"/>
    <s v="High"/>
    <x v="0"/>
  </r>
  <r>
    <x v="186"/>
    <s v="POL52656"/>
    <d v="2021-09-24T00:00:00"/>
    <n v="309627.51"/>
    <x v="0"/>
    <x v="1"/>
    <x v="1"/>
    <n v="21"/>
    <x v="7"/>
    <x v="1"/>
    <x v="1"/>
    <s v="High"/>
    <x v="1"/>
  </r>
  <r>
    <x v="187"/>
    <s v="POL51654"/>
    <d v="2022-08-17T00:00:00"/>
    <n v="133966.5"/>
    <x v="1"/>
    <x v="0"/>
    <x v="1"/>
    <n v="16"/>
    <x v="4"/>
    <x v="0"/>
    <x v="1"/>
    <s v="Medium"/>
    <x v="1"/>
  </r>
  <r>
    <x v="188"/>
    <s v="POL53866"/>
    <d v="2022-07-07T00:00:00"/>
    <n v="304419.8"/>
    <x v="1"/>
    <x v="0"/>
    <x v="1"/>
    <n v="58"/>
    <x v="2"/>
    <x v="0"/>
    <x v="1"/>
    <s v="High"/>
    <x v="0"/>
  </r>
  <r>
    <x v="189"/>
    <s v="POL53340"/>
    <d v="2022-09-13T00:00:00"/>
    <n v="57482.06"/>
    <x v="0"/>
    <x v="2"/>
    <x v="0"/>
    <n v="58"/>
    <x v="7"/>
    <x v="0"/>
    <x v="1"/>
    <s v="Low"/>
    <x v="0"/>
  </r>
  <r>
    <x v="190"/>
    <s v="POL50937"/>
    <d v="2024-09-06T00:00:00"/>
    <n v="455029.32"/>
    <x v="1"/>
    <x v="3"/>
    <x v="0"/>
    <n v="39"/>
    <x v="7"/>
    <x v="2"/>
    <x v="1"/>
    <s v="High"/>
    <x v="0"/>
  </r>
  <r>
    <x v="191"/>
    <s v="POL50814"/>
    <d v="2025-04-02T00:00:00"/>
    <n v="476956.81"/>
    <x v="1"/>
    <x v="2"/>
    <x v="1"/>
    <n v="18"/>
    <x v="9"/>
    <x v="4"/>
    <x v="2"/>
    <s v="High"/>
    <x v="1"/>
  </r>
  <r>
    <x v="192"/>
    <s v="POL53197"/>
    <d v="2023-04-27T00:00:00"/>
    <n v="94138.78"/>
    <x v="0"/>
    <x v="2"/>
    <x v="0"/>
    <n v="41"/>
    <x v="9"/>
    <x v="3"/>
    <x v="2"/>
    <s v="Low"/>
    <x v="0"/>
  </r>
  <r>
    <x v="193"/>
    <s v="POL52198"/>
    <d v="2022-03-20T00:00:00"/>
    <n v="356676.7"/>
    <x v="1"/>
    <x v="2"/>
    <x v="0"/>
    <n v="39"/>
    <x v="5"/>
    <x v="0"/>
    <x v="3"/>
    <s v="High"/>
    <x v="0"/>
  </r>
  <r>
    <x v="194"/>
    <s v="POL53089"/>
    <d v="2023-03-19T00:00:00"/>
    <n v="367641.93"/>
    <x v="0"/>
    <x v="4"/>
    <x v="1"/>
    <n v="38"/>
    <x v="5"/>
    <x v="3"/>
    <x v="3"/>
    <s v="High"/>
    <x v="0"/>
  </r>
  <r>
    <x v="195"/>
    <s v="POL53154"/>
    <d v="2023-07-14T00:00:00"/>
    <n v="484327.59"/>
    <x v="1"/>
    <x v="2"/>
    <x v="1"/>
    <n v="2"/>
    <x v="2"/>
    <x v="3"/>
    <x v="1"/>
    <s v="High"/>
    <x v="1"/>
  </r>
  <r>
    <x v="196"/>
    <s v="POL52262"/>
    <d v="2023-09-20T00:00:00"/>
    <n v="38339.699999999997"/>
    <x v="1"/>
    <x v="3"/>
    <x v="0"/>
    <n v="3"/>
    <x v="7"/>
    <x v="3"/>
    <x v="1"/>
    <s v="Low"/>
    <x v="1"/>
  </r>
  <r>
    <x v="197"/>
    <s v="POL53614"/>
    <d v="2023-11-06T00:00:00"/>
    <n v="264250.76"/>
    <x v="2"/>
    <x v="2"/>
    <x v="0"/>
    <n v="13"/>
    <x v="11"/>
    <x v="3"/>
    <x v="0"/>
    <s v="High"/>
    <x v="1"/>
  </r>
  <r>
    <x v="198"/>
    <s v="POL50564"/>
    <d v="2023-09-28T00:00:00"/>
    <n v="287492.87"/>
    <x v="0"/>
    <x v="4"/>
    <x v="1"/>
    <n v="58"/>
    <x v="7"/>
    <x v="3"/>
    <x v="1"/>
    <s v="High"/>
    <x v="0"/>
  </r>
  <r>
    <x v="199"/>
    <s v="POL51636"/>
    <d v="2024-07-03T00:00:00"/>
    <n v="104562.49"/>
    <x v="1"/>
    <x v="3"/>
    <x v="0"/>
    <n v="11"/>
    <x v="2"/>
    <x v="2"/>
    <x v="1"/>
    <s v="Medium"/>
    <x v="1"/>
  </r>
  <r>
    <x v="200"/>
    <s v="POL50955"/>
    <d v="2023-10-10T00:00:00"/>
    <n v="129279.97"/>
    <x v="2"/>
    <x v="1"/>
    <x v="0"/>
    <n v="30"/>
    <x v="0"/>
    <x v="3"/>
    <x v="0"/>
    <s v="Medium"/>
    <x v="1"/>
  </r>
  <r>
    <x v="201"/>
    <s v="POL53163"/>
    <d v="2022-04-16T00:00:00"/>
    <n v="37067.339999999997"/>
    <x v="1"/>
    <x v="3"/>
    <x v="1"/>
    <n v="46"/>
    <x v="9"/>
    <x v="0"/>
    <x v="2"/>
    <s v="Low"/>
    <x v="0"/>
  </r>
  <r>
    <x v="202"/>
    <s v="POL53280"/>
    <d v="2024-05-16T00:00:00"/>
    <n v="493334.36"/>
    <x v="0"/>
    <x v="3"/>
    <x v="1"/>
    <n v="30"/>
    <x v="6"/>
    <x v="2"/>
    <x v="2"/>
    <s v="High"/>
    <x v="1"/>
  </r>
  <r>
    <x v="203"/>
    <s v="POL53796"/>
    <d v="2024-01-12T00:00:00"/>
    <n v="73512.63"/>
    <x v="1"/>
    <x v="2"/>
    <x v="1"/>
    <n v="22"/>
    <x v="8"/>
    <x v="2"/>
    <x v="3"/>
    <s v="Low"/>
    <x v="1"/>
  </r>
  <r>
    <x v="204"/>
    <s v="POL53217"/>
    <d v="2023-05-08T00:00:00"/>
    <n v="85769.61"/>
    <x v="0"/>
    <x v="3"/>
    <x v="1"/>
    <n v="32"/>
    <x v="6"/>
    <x v="3"/>
    <x v="2"/>
    <s v="Low"/>
    <x v="0"/>
  </r>
  <r>
    <x v="205"/>
    <s v="POL50877"/>
    <d v="2023-12-01T00:00:00"/>
    <n v="233959.67999999999"/>
    <x v="0"/>
    <x v="2"/>
    <x v="1"/>
    <n v="41"/>
    <x v="1"/>
    <x v="3"/>
    <x v="0"/>
    <s v="High"/>
    <x v="0"/>
  </r>
  <r>
    <x v="206"/>
    <s v="POL52863"/>
    <d v="2024-06-19T00:00:00"/>
    <n v="114582.05"/>
    <x v="1"/>
    <x v="3"/>
    <x v="1"/>
    <n v="29"/>
    <x v="3"/>
    <x v="2"/>
    <x v="2"/>
    <s v="Medium"/>
    <x v="1"/>
  </r>
  <r>
    <x v="207"/>
    <s v="POL52509"/>
    <d v="2024-09-18T00:00:00"/>
    <n v="387845.4"/>
    <x v="0"/>
    <x v="4"/>
    <x v="0"/>
    <n v="59"/>
    <x v="7"/>
    <x v="2"/>
    <x v="1"/>
    <s v="High"/>
    <x v="0"/>
  </r>
  <r>
    <x v="208"/>
    <s v="POL52924"/>
    <d v="2022-07-23T00:00:00"/>
    <n v="258879.73"/>
    <x v="0"/>
    <x v="3"/>
    <x v="0"/>
    <n v="45"/>
    <x v="2"/>
    <x v="0"/>
    <x v="1"/>
    <s v="High"/>
    <x v="0"/>
  </r>
  <r>
    <x v="209"/>
    <s v="POL50316"/>
    <d v="2023-03-30T00:00:00"/>
    <n v="65520.15"/>
    <x v="2"/>
    <x v="0"/>
    <x v="0"/>
    <n v="39"/>
    <x v="5"/>
    <x v="3"/>
    <x v="3"/>
    <s v="Low"/>
    <x v="0"/>
  </r>
  <r>
    <x v="210"/>
    <s v="POL51361"/>
    <d v="2024-04-28T00:00:00"/>
    <n v="196494.94"/>
    <x v="0"/>
    <x v="2"/>
    <x v="1"/>
    <n v="43"/>
    <x v="9"/>
    <x v="2"/>
    <x v="2"/>
    <s v="Medium"/>
    <x v="0"/>
  </r>
  <r>
    <x v="211"/>
    <s v="POL53476"/>
    <d v="2023-01-27T00:00:00"/>
    <n v="322079.89"/>
    <x v="0"/>
    <x v="4"/>
    <x v="0"/>
    <n v="35"/>
    <x v="8"/>
    <x v="3"/>
    <x v="3"/>
    <s v="High"/>
    <x v="0"/>
  </r>
  <r>
    <x v="212"/>
    <s v="POL52343"/>
    <d v="2023-11-19T00:00:00"/>
    <n v="214631.35"/>
    <x v="0"/>
    <x v="1"/>
    <x v="0"/>
    <n v="7"/>
    <x v="11"/>
    <x v="3"/>
    <x v="0"/>
    <s v="High"/>
    <x v="1"/>
  </r>
  <r>
    <x v="213"/>
    <s v="POL50886"/>
    <d v="2024-08-10T00:00:00"/>
    <n v="277848.06"/>
    <x v="0"/>
    <x v="2"/>
    <x v="1"/>
    <n v="42"/>
    <x v="4"/>
    <x v="2"/>
    <x v="1"/>
    <s v="High"/>
    <x v="0"/>
  </r>
  <r>
    <x v="214"/>
    <s v="POL52665"/>
    <d v="2024-05-13T00:00:00"/>
    <n v="292666.33"/>
    <x v="1"/>
    <x v="2"/>
    <x v="0"/>
    <n v="27"/>
    <x v="6"/>
    <x v="2"/>
    <x v="2"/>
    <s v="High"/>
    <x v="1"/>
  </r>
  <r>
    <x v="215"/>
    <s v="POL53050"/>
    <d v="2024-12-17T00:00:00"/>
    <n v="148607.14000000001"/>
    <x v="2"/>
    <x v="2"/>
    <x v="1"/>
    <n v="33"/>
    <x v="1"/>
    <x v="2"/>
    <x v="0"/>
    <s v="Medium"/>
    <x v="0"/>
  </r>
  <r>
    <x v="216"/>
    <s v="POL53994"/>
    <d v="2024-03-18T00:00:00"/>
    <n v="452035.42"/>
    <x v="0"/>
    <x v="3"/>
    <x v="0"/>
    <n v="48"/>
    <x v="5"/>
    <x v="2"/>
    <x v="3"/>
    <s v="High"/>
    <x v="0"/>
  </r>
  <r>
    <x v="217"/>
    <s v="POL51001"/>
    <d v="2024-02-26T00:00:00"/>
    <n v="195376.45"/>
    <x v="2"/>
    <x v="0"/>
    <x v="1"/>
    <n v="55"/>
    <x v="10"/>
    <x v="2"/>
    <x v="3"/>
    <s v="Medium"/>
    <x v="0"/>
  </r>
  <r>
    <x v="218"/>
    <s v="POL50471"/>
    <d v="2024-03-25T00:00:00"/>
    <n v="461141.71"/>
    <x v="2"/>
    <x v="2"/>
    <x v="0"/>
    <n v="35"/>
    <x v="5"/>
    <x v="2"/>
    <x v="3"/>
    <s v="High"/>
    <x v="0"/>
  </r>
  <r>
    <x v="219"/>
    <s v="POL51096"/>
    <d v="2025-06-29T00:00:00"/>
    <n v="45462.26"/>
    <x v="1"/>
    <x v="4"/>
    <x v="1"/>
    <n v="10"/>
    <x v="3"/>
    <x v="4"/>
    <x v="2"/>
    <s v="Low"/>
    <x v="1"/>
  </r>
  <r>
    <x v="220"/>
    <s v="POL52402"/>
    <d v="2020-12-11T00:00:00"/>
    <n v="56771.81"/>
    <x v="1"/>
    <x v="4"/>
    <x v="0"/>
    <n v="31"/>
    <x v="1"/>
    <x v="5"/>
    <x v="0"/>
    <s v="Low"/>
    <x v="0"/>
  </r>
  <r>
    <x v="221"/>
    <s v="POL51217"/>
    <d v="2021-12-26T00:00:00"/>
    <n v="411558.37"/>
    <x v="1"/>
    <x v="0"/>
    <x v="0"/>
    <n v="49"/>
    <x v="1"/>
    <x v="1"/>
    <x v="0"/>
    <s v="High"/>
    <x v="0"/>
  </r>
  <r>
    <x v="222"/>
    <s v="POL52523"/>
    <d v="2021-08-13T00:00:00"/>
    <n v="466337.77"/>
    <x v="2"/>
    <x v="3"/>
    <x v="1"/>
    <n v="43"/>
    <x v="4"/>
    <x v="1"/>
    <x v="1"/>
    <s v="High"/>
    <x v="0"/>
  </r>
  <r>
    <x v="223"/>
    <s v="POL50777"/>
    <d v="2022-04-18T00:00:00"/>
    <n v="185521.49"/>
    <x v="2"/>
    <x v="3"/>
    <x v="1"/>
    <n v="45"/>
    <x v="9"/>
    <x v="0"/>
    <x v="2"/>
    <s v="Medium"/>
    <x v="0"/>
  </r>
  <r>
    <x v="224"/>
    <s v="POL50297"/>
    <d v="2024-01-13T00:00:00"/>
    <n v="439452.89"/>
    <x v="0"/>
    <x v="1"/>
    <x v="1"/>
    <n v="9"/>
    <x v="8"/>
    <x v="2"/>
    <x v="3"/>
    <s v="High"/>
    <x v="1"/>
  </r>
  <r>
    <x v="225"/>
    <s v="POL51320"/>
    <d v="2021-11-06T00:00:00"/>
    <n v="52119.21"/>
    <x v="2"/>
    <x v="4"/>
    <x v="1"/>
    <n v="48"/>
    <x v="11"/>
    <x v="1"/>
    <x v="0"/>
    <s v="Low"/>
    <x v="0"/>
  </r>
  <r>
    <x v="226"/>
    <s v="POL52277"/>
    <d v="2024-04-08T00:00:00"/>
    <n v="66734.87"/>
    <x v="2"/>
    <x v="4"/>
    <x v="0"/>
    <n v="53"/>
    <x v="9"/>
    <x v="2"/>
    <x v="2"/>
    <s v="Low"/>
    <x v="0"/>
  </r>
  <r>
    <x v="227"/>
    <s v="POL52834"/>
    <d v="2024-02-17T00:00:00"/>
    <n v="338952.13"/>
    <x v="2"/>
    <x v="1"/>
    <x v="0"/>
    <n v="22"/>
    <x v="10"/>
    <x v="2"/>
    <x v="3"/>
    <s v="High"/>
    <x v="1"/>
  </r>
  <r>
    <x v="228"/>
    <s v="POL53382"/>
    <d v="2021-08-27T00:00:00"/>
    <n v="12604.61"/>
    <x v="2"/>
    <x v="2"/>
    <x v="0"/>
    <n v="25"/>
    <x v="4"/>
    <x v="1"/>
    <x v="1"/>
    <s v="Low"/>
    <x v="1"/>
  </r>
  <r>
    <x v="229"/>
    <s v="POL51297"/>
    <d v="2023-05-18T00:00:00"/>
    <n v="34321.730000000003"/>
    <x v="2"/>
    <x v="0"/>
    <x v="0"/>
    <n v="2"/>
    <x v="6"/>
    <x v="3"/>
    <x v="2"/>
    <s v="Low"/>
    <x v="1"/>
  </r>
  <r>
    <x v="230"/>
    <s v="POL53569"/>
    <d v="2024-06-15T00:00:00"/>
    <n v="56954.14"/>
    <x v="2"/>
    <x v="2"/>
    <x v="1"/>
    <n v="24"/>
    <x v="3"/>
    <x v="2"/>
    <x v="2"/>
    <s v="Low"/>
    <x v="1"/>
  </r>
  <r>
    <x v="231"/>
    <s v="POL50323"/>
    <d v="2024-08-11T00:00:00"/>
    <n v="168832.54"/>
    <x v="2"/>
    <x v="2"/>
    <x v="1"/>
    <n v="11"/>
    <x v="4"/>
    <x v="2"/>
    <x v="1"/>
    <s v="Medium"/>
    <x v="1"/>
  </r>
  <r>
    <x v="232"/>
    <s v="POL50557"/>
    <d v="2024-08-15T00:00:00"/>
    <n v="253134.89"/>
    <x v="0"/>
    <x v="3"/>
    <x v="0"/>
    <n v="22"/>
    <x v="4"/>
    <x v="2"/>
    <x v="1"/>
    <s v="High"/>
    <x v="1"/>
  </r>
  <r>
    <x v="233"/>
    <s v="POL50029"/>
    <d v="2023-10-25T00:00:00"/>
    <n v="244964.94"/>
    <x v="2"/>
    <x v="0"/>
    <x v="1"/>
    <n v="5"/>
    <x v="0"/>
    <x v="3"/>
    <x v="0"/>
    <s v="High"/>
    <x v="1"/>
  </r>
  <r>
    <x v="234"/>
    <s v="POL51177"/>
    <d v="2025-01-13T00:00:00"/>
    <n v="479361.52"/>
    <x v="0"/>
    <x v="3"/>
    <x v="1"/>
    <n v="10"/>
    <x v="8"/>
    <x v="4"/>
    <x v="3"/>
    <s v="High"/>
    <x v="1"/>
  </r>
  <r>
    <x v="235"/>
    <s v="POL50681"/>
    <d v="2023-01-03T00:00:00"/>
    <n v="453898.36"/>
    <x v="2"/>
    <x v="4"/>
    <x v="0"/>
    <n v="18"/>
    <x v="8"/>
    <x v="3"/>
    <x v="3"/>
    <s v="High"/>
    <x v="1"/>
  </r>
  <r>
    <x v="236"/>
    <s v="POL52130"/>
    <d v="2023-05-19T00:00:00"/>
    <n v="425694.53"/>
    <x v="2"/>
    <x v="2"/>
    <x v="1"/>
    <n v="48"/>
    <x v="6"/>
    <x v="3"/>
    <x v="2"/>
    <s v="High"/>
    <x v="0"/>
  </r>
  <r>
    <x v="237"/>
    <s v="POL50118"/>
    <d v="2021-10-05T00:00:00"/>
    <n v="379946.05"/>
    <x v="2"/>
    <x v="4"/>
    <x v="1"/>
    <n v="8"/>
    <x v="0"/>
    <x v="1"/>
    <x v="0"/>
    <s v="High"/>
    <x v="1"/>
  </r>
  <r>
    <x v="238"/>
    <s v="POL50155"/>
    <d v="2024-12-21T00:00:00"/>
    <n v="436254.47"/>
    <x v="1"/>
    <x v="3"/>
    <x v="1"/>
    <n v="32"/>
    <x v="1"/>
    <x v="2"/>
    <x v="0"/>
    <s v="High"/>
    <x v="0"/>
  </r>
  <r>
    <x v="239"/>
    <s v="POL52651"/>
    <d v="2025-03-11T00:00:00"/>
    <n v="78660.289999999994"/>
    <x v="0"/>
    <x v="2"/>
    <x v="0"/>
    <n v="55"/>
    <x v="5"/>
    <x v="4"/>
    <x v="3"/>
    <s v="Low"/>
    <x v="0"/>
  </r>
  <r>
    <x v="240"/>
    <s v="POL53345"/>
    <d v="2024-02-21T00:00:00"/>
    <n v="406097.65"/>
    <x v="2"/>
    <x v="1"/>
    <x v="0"/>
    <n v="42"/>
    <x v="10"/>
    <x v="2"/>
    <x v="3"/>
    <s v="High"/>
    <x v="0"/>
  </r>
  <r>
    <x v="241"/>
    <s v="POL51978"/>
    <d v="2023-07-06T00:00:00"/>
    <n v="71824.289999999994"/>
    <x v="0"/>
    <x v="0"/>
    <x v="0"/>
    <n v="58"/>
    <x v="2"/>
    <x v="3"/>
    <x v="1"/>
    <s v="Low"/>
    <x v="0"/>
  </r>
  <r>
    <x v="242"/>
    <s v="POL51165"/>
    <d v="2024-12-18T00:00:00"/>
    <n v="417200.51"/>
    <x v="2"/>
    <x v="2"/>
    <x v="0"/>
    <n v="7"/>
    <x v="1"/>
    <x v="2"/>
    <x v="0"/>
    <s v="High"/>
    <x v="1"/>
  </r>
  <r>
    <x v="243"/>
    <s v="POL51139"/>
    <d v="2022-07-08T00:00:00"/>
    <n v="181390.99"/>
    <x v="1"/>
    <x v="3"/>
    <x v="0"/>
    <n v="21"/>
    <x v="2"/>
    <x v="0"/>
    <x v="1"/>
    <s v="Medium"/>
    <x v="1"/>
  </r>
  <r>
    <x v="244"/>
    <s v="POL53884"/>
    <d v="2024-07-04T00:00:00"/>
    <n v="12370.26"/>
    <x v="0"/>
    <x v="4"/>
    <x v="1"/>
    <n v="24"/>
    <x v="2"/>
    <x v="2"/>
    <x v="1"/>
    <s v="Low"/>
    <x v="1"/>
  </r>
  <r>
    <x v="245"/>
    <s v="POL53851"/>
    <d v="2021-06-17T00:00:00"/>
    <n v="26383.02"/>
    <x v="0"/>
    <x v="3"/>
    <x v="1"/>
    <n v="52"/>
    <x v="3"/>
    <x v="1"/>
    <x v="2"/>
    <s v="Low"/>
    <x v="0"/>
  </r>
  <r>
    <x v="246"/>
    <s v="POL53357"/>
    <d v="2023-03-16T00:00:00"/>
    <n v="39795.760000000002"/>
    <x v="0"/>
    <x v="3"/>
    <x v="1"/>
    <n v="18"/>
    <x v="5"/>
    <x v="3"/>
    <x v="3"/>
    <s v="Low"/>
    <x v="1"/>
  </r>
  <r>
    <x v="247"/>
    <s v="POL51941"/>
    <d v="2024-10-20T00:00:00"/>
    <n v="477370.67"/>
    <x v="0"/>
    <x v="4"/>
    <x v="0"/>
    <n v="40"/>
    <x v="0"/>
    <x v="2"/>
    <x v="0"/>
    <s v="High"/>
    <x v="0"/>
  </r>
  <r>
    <x v="248"/>
    <s v="POL51679"/>
    <d v="2023-11-27T00:00:00"/>
    <n v="150690.37"/>
    <x v="2"/>
    <x v="4"/>
    <x v="0"/>
    <n v="27"/>
    <x v="11"/>
    <x v="3"/>
    <x v="0"/>
    <s v="Medium"/>
    <x v="1"/>
  </r>
  <r>
    <x v="249"/>
    <s v="POL51095"/>
    <d v="2024-04-24T00:00:00"/>
    <n v="241520.88"/>
    <x v="0"/>
    <x v="0"/>
    <x v="1"/>
    <n v="42"/>
    <x v="9"/>
    <x v="2"/>
    <x v="2"/>
    <s v="High"/>
    <x v="0"/>
  </r>
  <r>
    <x v="250"/>
    <s v="POL52976"/>
    <d v="2024-03-31T00:00:00"/>
    <n v="140627.29"/>
    <x v="1"/>
    <x v="0"/>
    <x v="0"/>
    <n v="3"/>
    <x v="5"/>
    <x v="2"/>
    <x v="3"/>
    <s v="Medium"/>
    <x v="1"/>
  </r>
  <r>
    <x v="251"/>
    <s v="POL52010"/>
    <d v="2023-05-19T00:00:00"/>
    <n v="436313.09"/>
    <x v="2"/>
    <x v="1"/>
    <x v="1"/>
    <n v="5"/>
    <x v="6"/>
    <x v="3"/>
    <x v="2"/>
    <s v="High"/>
    <x v="1"/>
  </r>
  <r>
    <x v="252"/>
    <s v="POL50760"/>
    <d v="2022-03-29T00:00:00"/>
    <n v="124872.37"/>
    <x v="2"/>
    <x v="4"/>
    <x v="0"/>
    <n v="38"/>
    <x v="5"/>
    <x v="0"/>
    <x v="3"/>
    <s v="Medium"/>
    <x v="0"/>
  </r>
  <r>
    <x v="253"/>
    <s v="POL52294"/>
    <d v="2024-01-30T00:00:00"/>
    <n v="169556.1"/>
    <x v="0"/>
    <x v="1"/>
    <x v="1"/>
    <n v="41"/>
    <x v="8"/>
    <x v="2"/>
    <x v="3"/>
    <s v="Medium"/>
    <x v="0"/>
  </r>
  <r>
    <x v="254"/>
    <s v="POL53519"/>
    <d v="2024-05-03T00:00:00"/>
    <n v="208210.04"/>
    <x v="2"/>
    <x v="3"/>
    <x v="0"/>
    <n v="52"/>
    <x v="6"/>
    <x v="2"/>
    <x v="2"/>
    <s v="High"/>
    <x v="0"/>
  </r>
  <r>
    <x v="255"/>
    <s v="POL53337"/>
    <d v="2022-08-19T00:00:00"/>
    <n v="191858.29"/>
    <x v="0"/>
    <x v="4"/>
    <x v="0"/>
    <n v="30"/>
    <x v="4"/>
    <x v="0"/>
    <x v="1"/>
    <s v="Medium"/>
    <x v="1"/>
  </r>
  <r>
    <x v="256"/>
    <s v="POL50408"/>
    <d v="2022-07-21T00:00:00"/>
    <n v="475162.44"/>
    <x v="0"/>
    <x v="4"/>
    <x v="0"/>
    <n v="50"/>
    <x v="2"/>
    <x v="0"/>
    <x v="1"/>
    <s v="High"/>
    <x v="0"/>
  </r>
  <r>
    <x v="257"/>
    <s v="POL53309"/>
    <d v="2025-04-11T00:00:00"/>
    <n v="168784.33"/>
    <x v="0"/>
    <x v="1"/>
    <x v="1"/>
    <n v="22"/>
    <x v="9"/>
    <x v="4"/>
    <x v="2"/>
    <s v="Medium"/>
    <x v="1"/>
  </r>
  <r>
    <x v="258"/>
    <s v="POL51090"/>
    <d v="2022-09-16T00:00:00"/>
    <n v="310249.27"/>
    <x v="2"/>
    <x v="2"/>
    <x v="1"/>
    <n v="15"/>
    <x v="7"/>
    <x v="0"/>
    <x v="1"/>
    <s v="High"/>
    <x v="1"/>
  </r>
  <r>
    <x v="259"/>
    <s v="POL51337"/>
    <d v="2022-02-22T00:00:00"/>
    <n v="233644.36"/>
    <x v="2"/>
    <x v="1"/>
    <x v="0"/>
    <n v="55"/>
    <x v="10"/>
    <x v="0"/>
    <x v="3"/>
    <s v="High"/>
    <x v="0"/>
  </r>
  <r>
    <x v="260"/>
    <s v="POL50755"/>
    <d v="2023-12-17T00:00:00"/>
    <n v="386320.76"/>
    <x v="1"/>
    <x v="3"/>
    <x v="0"/>
    <n v="46"/>
    <x v="1"/>
    <x v="3"/>
    <x v="0"/>
    <s v="High"/>
    <x v="0"/>
  </r>
  <r>
    <x v="261"/>
    <s v="POL50739"/>
    <d v="2024-09-25T00:00:00"/>
    <n v="60178.34"/>
    <x v="2"/>
    <x v="1"/>
    <x v="0"/>
    <n v="57"/>
    <x v="7"/>
    <x v="2"/>
    <x v="1"/>
    <s v="Low"/>
    <x v="0"/>
  </r>
  <r>
    <x v="262"/>
    <s v="POL52574"/>
    <d v="2023-05-14T00:00:00"/>
    <n v="117904.19"/>
    <x v="2"/>
    <x v="1"/>
    <x v="1"/>
    <n v="54"/>
    <x v="6"/>
    <x v="3"/>
    <x v="2"/>
    <s v="Medium"/>
    <x v="0"/>
  </r>
  <r>
    <x v="263"/>
    <s v="POL50816"/>
    <d v="2021-03-21T00:00:00"/>
    <n v="36841.730000000003"/>
    <x v="0"/>
    <x v="0"/>
    <x v="1"/>
    <n v="19"/>
    <x v="5"/>
    <x v="1"/>
    <x v="3"/>
    <s v="Low"/>
    <x v="1"/>
  </r>
  <r>
    <x v="264"/>
    <s v="POL52230"/>
    <d v="2024-02-26T00:00:00"/>
    <n v="280442.42"/>
    <x v="0"/>
    <x v="3"/>
    <x v="0"/>
    <n v="31"/>
    <x v="10"/>
    <x v="2"/>
    <x v="3"/>
    <s v="High"/>
    <x v="0"/>
  </r>
  <r>
    <x v="265"/>
    <s v="POL52934"/>
    <d v="2022-08-09T00:00:00"/>
    <n v="265925.59000000003"/>
    <x v="1"/>
    <x v="4"/>
    <x v="1"/>
    <n v="46"/>
    <x v="4"/>
    <x v="0"/>
    <x v="1"/>
    <s v="High"/>
    <x v="0"/>
  </r>
  <r>
    <x v="266"/>
    <s v="POL52124"/>
    <d v="2023-07-28T00:00:00"/>
    <n v="213637.04"/>
    <x v="0"/>
    <x v="4"/>
    <x v="1"/>
    <n v="59"/>
    <x v="2"/>
    <x v="3"/>
    <x v="1"/>
    <s v="High"/>
    <x v="0"/>
  </r>
  <r>
    <x v="267"/>
    <s v="POL51328"/>
    <d v="2024-10-20T00:00:00"/>
    <n v="438839.88"/>
    <x v="2"/>
    <x v="0"/>
    <x v="1"/>
    <n v="36"/>
    <x v="0"/>
    <x v="2"/>
    <x v="0"/>
    <s v="High"/>
    <x v="0"/>
  </r>
  <r>
    <x v="268"/>
    <s v="POL52268"/>
    <d v="2024-07-04T00:00:00"/>
    <n v="392731.34"/>
    <x v="1"/>
    <x v="3"/>
    <x v="0"/>
    <n v="12"/>
    <x v="2"/>
    <x v="2"/>
    <x v="1"/>
    <s v="High"/>
    <x v="1"/>
  </r>
  <r>
    <x v="269"/>
    <s v="POL50133"/>
    <d v="2023-07-21T00:00:00"/>
    <n v="214306.63"/>
    <x v="2"/>
    <x v="4"/>
    <x v="0"/>
    <n v="35"/>
    <x v="2"/>
    <x v="3"/>
    <x v="1"/>
    <s v="High"/>
    <x v="0"/>
  </r>
  <r>
    <x v="270"/>
    <s v="POL53855"/>
    <d v="2023-04-23T00:00:00"/>
    <n v="259951.89"/>
    <x v="1"/>
    <x v="0"/>
    <x v="1"/>
    <n v="23"/>
    <x v="9"/>
    <x v="3"/>
    <x v="2"/>
    <s v="High"/>
    <x v="1"/>
  </r>
  <r>
    <x v="271"/>
    <s v="POL51507"/>
    <d v="2023-03-22T00:00:00"/>
    <n v="487715.92"/>
    <x v="1"/>
    <x v="2"/>
    <x v="1"/>
    <n v="17"/>
    <x v="5"/>
    <x v="3"/>
    <x v="3"/>
    <s v="High"/>
    <x v="1"/>
  </r>
  <r>
    <x v="272"/>
    <s v="POL52199"/>
    <d v="2024-06-15T00:00:00"/>
    <n v="230524.49"/>
    <x v="0"/>
    <x v="1"/>
    <x v="1"/>
    <n v="25"/>
    <x v="3"/>
    <x v="2"/>
    <x v="2"/>
    <s v="High"/>
    <x v="1"/>
  </r>
  <r>
    <x v="273"/>
    <s v="POL53733"/>
    <d v="2023-04-28T00:00:00"/>
    <n v="286394.42"/>
    <x v="0"/>
    <x v="0"/>
    <x v="0"/>
    <n v="6"/>
    <x v="9"/>
    <x v="3"/>
    <x v="2"/>
    <s v="High"/>
    <x v="1"/>
  </r>
  <r>
    <x v="274"/>
    <s v="POL52421"/>
    <d v="2023-05-16T00:00:00"/>
    <n v="64769.78"/>
    <x v="2"/>
    <x v="1"/>
    <x v="0"/>
    <n v="31"/>
    <x v="6"/>
    <x v="3"/>
    <x v="2"/>
    <s v="Low"/>
    <x v="0"/>
  </r>
  <r>
    <x v="275"/>
    <s v="POL51376"/>
    <d v="2022-04-18T00:00:00"/>
    <n v="275437.57"/>
    <x v="0"/>
    <x v="3"/>
    <x v="0"/>
    <n v="36"/>
    <x v="9"/>
    <x v="0"/>
    <x v="2"/>
    <s v="High"/>
    <x v="0"/>
  </r>
  <r>
    <x v="276"/>
    <s v="POL53247"/>
    <d v="2024-09-10T00:00:00"/>
    <n v="166040.29999999999"/>
    <x v="1"/>
    <x v="2"/>
    <x v="0"/>
    <n v="41"/>
    <x v="7"/>
    <x v="2"/>
    <x v="1"/>
    <s v="Medium"/>
    <x v="0"/>
  </r>
  <r>
    <x v="277"/>
    <s v="POL53155"/>
    <d v="2024-04-22T00:00:00"/>
    <n v="437404.65"/>
    <x v="0"/>
    <x v="1"/>
    <x v="0"/>
    <n v="42"/>
    <x v="9"/>
    <x v="2"/>
    <x v="2"/>
    <s v="High"/>
    <x v="0"/>
  </r>
  <r>
    <x v="278"/>
    <s v="POL50002"/>
    <d v="2023-05-20T00:00:00"/>
    <n v="64495.51"/>
    <x v="2"/>
    <x v="3"/>
    <x v="1"/>
    <n v="59"/>
    <x v="6"/>
    <x v="3"/>
    <x v="2"/>
    <s v="Low"/>
    <x v="0"/>
  </r>
  <r>
    <x v="279"/>
    <s v="POL50937"/>
    <d v="2024-07-05T00:00:00"/>
    <n v="159976.81"/>
    <x v="1"/>
    <x v="2"/>
    <x v="0"/>
    <n v="45"/>
    <x v="2"/>
    <x v="2"/>
    <x v="1"/>
    <s v="Medium"/>
    <x v="0"/>
  </r>
  <r>
    <x v="280"/>
    <s v="POL52106"/>
    <d v="2021-10-22T00:00:00"/>
    <n v="488883.26"/>
    <x v="2"/>
    <x v="4"/>
    <x v="1"/>
    <n v="19"/>
    <x v="0"/>
    <x v="1"/>
    <x v="0"/>
    <s v="High"/>
    <x v="1"/>
  </r>
  <r>
    <x v="281"/>
    <s v="POL53065"/>
    <d v="2024-09-02T00:00:00"/>
    <n v="491896.05"/>
    <x v="0"/>
    <x v="0"/>
    <x v="0"/>
    <n v="33"/>
    <x v="7"/>
    <x v="2"/>
    <x v="1"/>
    <s v="High"/>
    <x v="0"/>
  </r>
  <r>
    <x v="282"/>
    <s v="POL50274"/>
    <d v="2023-11-27T00:00:00"/>
    <n v="22432.49"/>
    <x v="0"/>
    <x v="2"/>
    <x v="1"/>
    <n v="40"/>
    <x v="11"/>
    <x v="3"/>
    <x v="0"/>
    <s v="Low"/>
    <x v="0"/>
  </r>
  <r>
    <x v="283"/>
    <s v="POL50325"/>
    <d v="2024-08-13T00:00:00"/>
    <n v="17803.16"/>
    <x v="1"/>
    <x v="1"/>
    <x v="1"/>
    <n v="20"/>
    <x v="4"/>
    <x v="2"/>
    <x v="1"/>
    <s v="Low"/>
    <x v="1"/>
  </r>
  <r>
    <x v="284"/>
    <s v="POL50660"/>
    <d v="2022-11-17T00:00:00"/>
    <n v="407382.82"/>
    <x v="1"/>
    <x v="2"/>
    <x v="1"/>
    <n v="32"/>
    <x v="11"/>
    <x v="0"/>
    <x v="0"/>
    <s v="High"/>
    <x v="0"/>
  </r>
  <r>
    <x v="285"/>
    <s v="POL52518"/>
    <d v="2025-05-17T00:00:00"/>
    <n v="107164.3"/>
    <x v="2"/>
    <x v="1"/>
    <x v="0"/>
    <n v="26"/>
    <x v="6"/>
    <x v="4"/>
    <x v="2"/>
    <s v="Medium"/>
    <x v="1"/>
  </r>
  <r>
    <x v="286"/>
    <s v="POL51871"/>
    <d v="2021-10-16T00:00:00"/>
    <n v="29211.48"/>
    <x v="1"/>
    <x v="0"/>
    <x v="1"/>
    <n v="46"/>
    <x v="0"/>
    <x v="1"/>
    <x v="0"/>
    <s v="Low"/>
    <x v="0"/>
  </r>
  <r>
    <x v="287"/>
    <s v="POL51606"/>
    <d v="2024-05-17T00:00:00"/>
    <n v="369357.38"/>
    <x v="1"/>
    <x v="2"/>
    <x v="1"/>
    <n v="33"/>
    <x v="6"/>
    <x v="2"/>
    <x v="2"/>
    <s v="High"/>
    <x v="0"/>
  </r>
  <r>
    <x v="288"/>
    <s v="POL52303"/>
    <d v="2024-06-13T00:00:00"/>
    <n v="95048.42"/>
    <x v="2"/>
    <x v="1"/>
    <x v="1"/>
    <n v="10"/>
    <x v="3"/>
    <x v="2"/>
    <x v="2"/>
    <s v="Low"/>
    <x v="1"/>
  </r>
  <r>
    <x v="289"/>
    <s v="POL50726"/>
    <d v="2023-03-16T00:00:00"/>
    <n v="151458.75"/>
    <x v="1"/>
    <x v="4"/>
    <x v="0"/>
    <n v="16"/>
    <x v="5"/>
    <x v="3"/>
    <x v="3"/>
    <s v="Medium"/>
    <x v="1"/>
  </r>
  <r>
    <x v="290"/>
    <s v="POL52927"/>
    <d v="2022-10-31T00:00:00"/>
    <n v="151572.29999999999"/>
    <x v="2"/>
    <x v="2"/>
    <x v="0"/>
    <n v="30"/>
    <x v="0"/>
    <x v="0"/>
    <x v="0"/>
    <s v="Medium"/>
    <x v="1"/>
  </r>
  <r>
    <x v="291"/>
    <s v="POL51988"/>
    <d v="2021-09-08T00:00:00"/>
    <n v="474181.65"/>
    <x v="0"/>
    <x v="1"/>
    <x v="0"/>
    <n v="25"/>
    <x v="7"/>
    <x v="1"/>
    <x v="1"/>
    <s v="High"/>
    <x v="1"/>
  </r>
  <r>
    <x v="292"/>
    <s v="POL50211"/>
    <d v="2024-11-04T00:00:00"/>
    <n v="293703.52"/>
    <x v="2"/>
    <x v="0"/>
    <x v="1"/>
    <n v="57"/>
    <x v="11"/>
    <x v="2"/>
    <x v="0"/>
    <s v="High"/>
    <x v="0"/>
  </r>
  <r>
    <x v="293"/>
    <s v="POL53244"/>
    <d v="2024-02-21T00:00:00"/>
    <n v="408849.07"/>
    <x v="0"/>
    <x v="3"/>
    <x v="0"/>
    <n v="12"/>
    <x v="10"/>
    <x v="2"/>
    <x v="3"/>
    <s v="High"/>
    <x v="1"/>
  </r>
  <r>
    <x v="294"/>
    <s v="POL51283"/>
    <d v="2021-03-28T00:00:00"/>
    <n v="250142.3"/>
    <x v="2"/>
    <x v="1"/>
    <x v="1"/>
    <n v="14"/>
    <x v="5"/>
    <x v="1"/>
    <x v="3"/>
    <s v="High"/>
    <x v="1"/>
  </r>
  <r>
    <x v="295"/>
    <s v="POL51322"/>
    <d v="2024-11-14T00:00:00"/>
    <n v="282708.86"/>
    <x v="2"/>
    <x v="0"/>
    <x v="0"/>
    <n v="46"/>
    <x v="11"/>
    <x v="2"/>
    <x v="0"/>
    <s v="High"/>
    <x v="0"/>
  </r>
  <r>
    <x v="296"/>
    <s v="POL50104"/>
    <d v="2024-09-19T00:00:00"/>
    <n v="201816.86"/>
    <x v="0"/>
    <x v="0"/>
    <x v="0"/>
    <n v="27"/>
    <x v="7"/>
    <x v="2"/>
    <x v="1"/>
    <s v="High"/>
    <x v="1"/>
  </r>
  <r>
    <x v="297"/>
    <s v="POL52272"/>
    <d v="2021-01-13T00:00:00"/>
    <n v="44155.64"/>
    <x v="2"/>
    <x v="4"/>
    <x v="0"/>
    <n v="28"/>
    <x v="8"/>
    <x v="1"/>
    <x v="3"/>
    <s v="Low"/>
    <x v="1"/>
  </r>
  <r>
    <x v="298"/>
    <s v="POL51043"/>
    <d v="2024-02-01T00:00:00"/>
    <n v="199113.05"/>
    <x v="1"/>
    <x v="3"/>
    <x v="0"/>
    <n v="22"/>
    <x v="10"/>
    <x v="2"/>
    <x v="3"/>
    <s v="Medium"/>
    <x v="1"/>
  </r>
  <r>
    <x v="299"/>
    <s v="POL50709"/>
    <d v="2023-12-24T00:00:00"/>
    <n v="10748.7"/>
    <x v="1"/>
    <x v="4"/>
    <x v="1"/>
    <n v="22"/>
    <x v="1"/>
    <x v="3"/>
    <x v="0"/>
    <s v="Low"/>
    <x v="1"/>
  </r>
  <r>
    <x v="300"/>
    <s v="POL52587"/>
    <d v="2024-07-05T00:00:00"/>
    <n v="463674.78"/>
    <x v="1"/>
    <x v="0"/>
    <x v="1"/>
    <n v="28"/>
    <x v="2"/>
    <x v="2"/>
    <x v="1"/>
    <s v="High"/>
    <x v="1"/>
  </r>
  <r>
    <x v="301"/>
    <s v="POL50698"/>
    <d v="2021-09-18T00:00:00"/>
    <n v="424771.72"/>
    <x v="1"/>
    <x v="4"/>
    <x v="0"/>
    <n v="50"/>
    <x v="7"/>
    <x v="1"/>
    <x v="1"/>
    <s v="High"/>
    <x v="0"/>
  </r>
  <r>
    <x v="302"/>
    <s v="POL51996"/>
    <d v="2024-07-06T00:00:00"/>
    <n v="245478.71"/>
    <x v="1"/>
    <x v="2"/>
    <x v="0"/>
    <n v="17"/>
    <x v="2"/>
    <x v="2"/>
    <x v="1"/>
    <s v="High"/>
    <x v="1"/>
  </r>
  <r>
    <x v="303"/>
    <s v="POL51104"/>
    <d v="2023-11-01T00:00:00"/>
    <n v="239060.02"/>
    <x v="0"/>
    <x v="2"/>
    <x v="1"/>
    <n v="48"/>
    <x v="11"/>
    <x v="3"/>
    <x v="0"/>
    <s v="High"/>
    <x v="0"/>
  </r>
  <r>
    <x v="304"/>
    <s v="POL52281"/>
    <d v="2024-02-07T00:00:00"/>
    <n v="46582.93"/>
    <x v="0"/>
    <x v="3"/>
    <x v="0"/>
    <n v="37"/>
    <x v="10"/>
    <x v="2"/>
    <x v="3"/>
    <s v="Low"/>
    <x v="0"/>
  </r>
  <r>
    <x v="305"/>
    <s v="POL50860"/>
    <d v="2022-12-13T00:00:00"/>
    <n v="140450.99"/>
    <x v="0"/>
    <x v="3"/>
    <x v="0"/>
    <n v="39"/>
    <x v="1"/>
    <x v="0"/>
    <x v="0"/>
    <s v="Medium"/>
    <x v="0"/>
  </r>
  <r>
    <x v="306"/>
    <s v="POL50104"/>
    <d v="2024-08-04T00:00:00"/>
    <n v="470528.37"/>
    <x v="0"/>
    <x v="3"/>
    <x v="0"/>
    <n v="32"/>
    <x v="4"/>
    <x v="2"/>
    <x v="1"/>
    <s v="High"/>
    <x v="0"/>
  </r>
  <r>
    <x v="307"/>
    <s v="POL51558"/>
    <d v="2021-12-09T00:00:00"/>
    <n v="335500.18"/>
    <x v="1"/>
    <x v="0"/>
    <x v="1"/>
    <n v="44"/>
    <x v="1"/>
    <x v="1"/>
    <x v="0"/>
    <s v="High"/>
    <x v="0"/>
  </r>
  <r>
    <x v="308"/>
    <s v="POL50095"/>
    <d v="2023-07-27T00:00:00"/>
    <n v="453829.56"/>
    <x v="0"/>
    <x v="0"/>
    <x v="0"/>
    <n v="51"/>
    <x v="2"/>
    <x v="3"/>
    <x v="1"/>
    <s v="High"/>
    <x v="0"/>
  </r>
  <r>
    <x v="309"/>
    <s v="POL53345"/>
    <d v="2024-01-04T00:00:00"/>
    <n v="122461.9"/>
    <x v="0"/>
    <x v="4"/>
    <x v="1"/>
    <n v="7"/>
    <x v="8"/>
    <x v="2"/>
    <x v="3"/>
    <s v="Medium"/>
    <x v="1"/>
  </r>
  <r>
    <x v="310"/>
    <s v="POL53840"/>
    <d v="2023-08-19T00:00:00"/>
    <n v="295693.17"/>
    <x v="2"/>
    <x v="2"/>
    <x v="0"/>
    <n v="29"/>
    <x v="4"/>
    <x v="3"/>
    <x v="1"/>
    <s v="High"/>
    <x v="1"/>
  </r>
  <r>
    <x v="311"/>
    <s v="POL53927"/>
    <d v="2024-07-19T00:00:00"/>
    <n v="151964.19"/>
    <x v="1"/>
    <x v="3"/>
    <x v="1"/>
    <n v="39"/>
    <x v="2"/>
    <x v="2"/>
    <x v="1"/>
    <s v="Medium"/>
    <x v="0"/>
  </r>
  <r>
    <x v="312"/>
    <s v="POL51824"/>
    <d v="2024-06-13T00:00:00"/>
    <n v="402535.06"/>
    <x v="2"/>
    <x v="0"/>
    <x v="0"/>
    <n v="9"/>
    <x v="3"/>
    <x v="2"/>
    <x v="2"/>
    <s v="High"/>
    <x v="1"/>
  </r>
  <r>
    <x v="313"/>
    <s v="POL52102"/>
    <d v="2024-02-14T00:00:00"/>
    <n v="190503.64"/>
    <x v="2"/>
    <x v="2"/>
    <x v="0"/>
    <n v="40"/>
    <x v="10"/>
    <x v="2"/>
    <x v="3"/>
    <s v="Medium"/>
    <x v="0"/>
  </r>
  <r>
    <x v="314"/>
    <s v="POL53454"/>
    <d v="2023-05-21T00:00:00"/>
    <n v="345592.82"/>
    <x v="1"/>
    <x v="0"/>
    <x v="1"/>
    <n v="29"/>
    <x v="6"/>
    <x v="3"/>
    <x v="2"/>
    <s v="High"/>
    <x v="1"/>
  </r>
  <r>
    <x v="315"/>
    <s v="POL50645"/>
    <d v="2023-06-27T00:00:00"/>
    <n v="61637.25"/>
    <x v="2"/>
    <x v="3"/>
    <x v="1"/>
    <n v="42"/>
    <x v="3"/>
    <x v="3"/>
    <x v="2"/>
    <s v="Low"/>
    <x v="0"/>
  </r>
  <r>
    <x v="316"/>
    <s v="POL53256"/>
    <d v="2022-07-03T00:00:00"/>
    <n v="372045.44"/>
    <x v="0"/>
    <x v="3"/>
    <x v="1"/>
    <n v="39"/>
    <x v="2"/>
    <x v="0"/>
    <x v="1"/>
    <s v="High"/>
    <x v="0"/>
  </r>
  <r>
    <x v="317"/>
    <s v="POL51938"/>
    <d v="2023-04-29T00:00:00"/>
    <n v="208271.16"/>
    <x v="1"/>
    <x v="1"/>
    <x v="0"/>
    <n v="29"/>
    <x v="9"/>
    <x v="3"/>
    <x v="2"/>
    <s v="High"/>
    <x v="1"/>
  </r>
  <r>
    <x v="318"/>
    <s v="POL52256"/>
    <d v="2022-12-15T00:00:00"/>
    <n v="354897.64"/>
    <x v="1"/>
    <x v="1"/>
    <x v="1"/>
    <n v="47"/>
    <x v="1"/>
    <x v="0"/>
    <x v="0"/>
    <s v="High"/>
    <x v="0"/>
  </r>
  <r>
    <x v="319"/>
    <s v="POL53065"/>
    <d v="2024-10-05T00:00:00"/>
    <n v="76140.63"/>
    <x v="1"/>
    <x v="0"/>
    <x v="1"/>
    <n v="18"/>
    <x v="0"/>
    <x v="2"/>
    <x v="0"/>
    <s v="Low"/>
    <x v="1"/>
  </r>
  <r>
    <x v="320"/>
    <s v="POL50475"/>
    <d v="2022-01-24T00:00:00"/>
    <n v="371289.11"/>
    <x v="0"/>
    <x v="3"/>
    <x v="0"/>
    <n v="57"/>
    <x v="8"/>
    <x v="0"/>
    <x v="3"/>
    <s v="High"/>
    <x v="0"/>
  </r>
  <r>
    <x v="321"/>
    <s v="POL51601"/>
    <d v="2025-04-15T00:00:00"/>
    <n v="164222.81"/>
    <x v="2"/>
    <x v="0"/>
    <x v="1"/>
    <n v="34"/>
    <x v="9"/>
    <x v="4"/>
    <x v="2"/>
    <s v="Medium"/>
    <x v="0"/>
  </r>
  <r>
    <x v="322"/>
    <s v="POL51109"/>
    <d v="2023-05-07T00:00:00"/>
    <n v="398322"/>
    <x v="0"/>
    <x v="0"/>
    <x v="0"/>
    <n v="58"/>
    <x v="6"/>
    <x v="3"/>
    <x v="2"/>
    <s v="High"/>
    <x v="0"/>
  </r>
  <r>
    <x v="323"/>
    <s v="POL53104"/>
    <d v="2023-04-16T00:00:00"/>
    <n v="61320.62"/>
    <x v="0"/>
    <x v="2"/>
    <x v="1"/>
    <n v="44"/>
    <x v="9"/>
    <x v="3"/>
    <x v="2"/>
    <s v="Low"/>
    <x v="0"/>
  </r>
  <r>
    <x v="324"/>
    <s v="POL50336"/>
    <d v="2023-06-17T00:00:00"/>
    <n v="345929.62"/>
    <x v="1"/>
    <x v="3"/>
    <x v="1"/>
    <n v="12"/>
    <x v="3"/>
    <x v="3"/>
    <x v="2"/>
    <s v="High"/>
    <x v="1"/>
  </r>
  <r>
    <x v="325"/>
    <s v="POL53542"/>
    <d v="2022-10-19T00:00:00"/>
    <n v="310183.83"/>
    <x v="0"/>
    <x v="4"/>
    <x v="1"/>
    <n v="48"/>
    <x v="0"/>
    <x v="0"/>
    <x v="0"/>
    <s v="High"/>
    <x v="0"/>
  </r>
  <r>
    <x v="326"/>
    <s v="POL50189"/>
    <d v="2023-11-14T00:00:00"/>
    <n v="409652.99"/>
    <x v="0"/>
    <x v="3"/>
    <x v="1"/>
    <n v="59"/>
    <x v="11"/>
    <x v="3"/>
    <x v="0"/>
    <s v="High"/>
    <x v="0"/>
  </r>
  <r>
    <x v="327"/>
    <s v="POL52396"/>
    <d v="2022-03-27T00:00:00"/>
    <n v="260675.02"/>
    <x v="1"/>
    <x v="3"/>
    <x v="1"/>
    <n v="20"/>
    <x v="5"/>
    <x v="0"/>
    <x v="3"/>
    <s v="High"/>
    <x v="1"/>
  </r>
  <r>
    <x v="328"/>
    <s v="POL51565"/>
    <d v="2021-07-05T00:00:00"/>
    <n v="252516.55"/>
    <x v="2"/>
    <x v="1"/>
    <x v="0"/>
    <n v="31"/>
    <x v="2"/>
    <x v="1"/>
    <x v="1"/>
    <s v="High"/>
    <x v="0"/>
  </r>
  <r>
    <x v="329"/>
    <s v="POL51662"/>
    <d v="2024-02-24T00:00:00"/>
    <n v="288512.78999999998"/>
    <x v="2"/>
    <x v="0"/>
    <x v="0"/>
    <n v="10"/>
    <x v="10"/>
    <x v="2"/>
    <x v="3"/>
    <s v="High"/>
    <x v="1"/>
  </r>
  <r>
    <x v="330"/>
    <s v="POL52624"/>
    <d v="2024-03-17T00:00:00"/>
    <n v="309774.02"/>
    <x v="1"/>
    <x v="0"/>
    <x v="0"/>
    <n v="8"/>
    <x v="5"/>
    <x v="2"/>
    <x v="3"/>
    <s v="High"/>
    <x v="1"/>
  </r>
  <r>
    <x v="331"/>
    <s v="POL51547"/>
    <d v="2024-09-17T00:00:00"/>
    <n v="324348.58"/>
    <x v="0"/>
    <x v="1"/>
    <x v="1"/>
    <n v="31"/>
    <x v="7"/>
    <x v="2"/>
    <x v="1"/>
    <s v="High"/>
    <x v="0"/>
  </r>
  <r>
    <x v="332"/>
    <s v="POL53494"/>
    <d v="2021-11-03T00:00:00"/>
    <n v="125802.81"/>
    <x v="2"/>
    <x v="4"/>
    <x v="0"/>
    <n v="5"/>
    <x v="11"/>
    <x v="1"/>
    <x v="0"/>
    <s v="Medium"/>
    <x v="1"/>
  </r>
  <r>
    <x v="333"/>
    <s v="POL50514"/>
    <d v="2024-01-15T00:00:00"/>
    <n v="383293.96"/>
    <x v="0"/>
    <x v="3"/>
    <x v="0"/>
    <n v="47"/>
    <x v="8"/>
    <x v="2"/>
    <x v="3"/>
    <s v="High"/>
    <x v="0"/>
  </r>
  <r>
    <x v="334"/>
    <s v="POL50035"/>
    <d v="2022-01-12T00:00:00"/>
    <n v="238127.82"/>
    <x v="0"/>
    <x v="3"/>
    <x v="1"/>
    <n v="18"/>
    <x v="8"/>
    <x v="0"/>
    <x v="3"/>
    <s v="High"/>
    <x v="1"/>
  </r>
  <r>
    <x v="335"/>
    <s v="POL50411"/>
    <d v="2021-03-27T00:00:00"/>
    <n v="362798.82"/>
    <x v="0"/>
    <x v="1"/>
    <x v="1"/>
    <n v="53"/>
    <x v="5"/>
    <x v="1"/>
    <x v="3"/>
    <s v="High"/>
    <x v="0"/>
  </r>
  <r>
    <x v="336"/>
    <s v="POL52366"/>
    <d v="2024-05-27T00:00:00"/>
    <n v="59022.83"/>
    <x v="1"/>
    <x v="4"/>
    <x v="1"/>
    <n v="46"/>
    <x v="6"/>
    <x v="2"/>
    <x v="2"/>
    <s v="Low"/>
    <x v="0"/>
  </r>
  <r>
    <x v="337"/>
    <s v="POL53318"/>
    <d v="2025-02-11T00:00:00"/>
    <n v="50727.56"/>
    <x v="1"/>
    <x v="0"/>
    <x v="0"/>
    <n v="24"/>
    <x v="10"/>
    <x v="4"/>
    <x v="3"/>
    <s v="Low"/>
    <x v="1"/>
  </r>
  <r>
    <x v="338"/>
    <s v="POL53066"/>
    <d v="2022-07-09T00:00:00"/>
    <n v="441455.45"/>
    <x v="0"/>
    <x v="3"/>
    <x v="0"/>
    <n v="28"/>
    <x v="2"/>
    <x v="0"/>
    <x v="1"/>
    <s v="High"/>
    <x v="1"/>
  </r>
  <r>
    <x v="339"/>
    <s v="POL51191"/>
    <d v="2024-09-14T00:00:00"/>
    <n v="381091.48"/>
    <x v="1"/>
    <x v="2"/>
    <x v="1"/>
    <n v="27"/>
    <x v="7"/>
    <x v="2"/>
    <x v="1"/>
    <s v="High"/>
    <x v="1"/>
  </r>
  <r>
    <x v="340"/>
    <s v="POL53741"/>
    <d v="2022-10-02T00:00:00"/>
    <n v="237731.86"/>
    <x v="2"/>
    <x v="0"/>
    <x v="0"/>
    <n v="13"/>
    <x v="0"/>
    <x v="0"/>
    <x v="0"/>
    <s v="High"/>
    <x v="1"/>
  </r>
  <r>
    <x v="341"/>
    <s v="POL53923"/>
    <d v="2024-12-13T00:00:00"/>
    <n v="422720.39"/>
    <x v="1"/>
    <x v="4"/>
    <x v="0"/>
    <n v="48"/>
    <x v="1"/>
    <x v="2"/>
    <x v="0"/>
    <s v="High"/>
    <x v="0"/>
  </r>
  <r>
    <x v="342"/>
    <s v="POL53717"/>
    <d v="2023-05-01T00:00:00"/>
    <n v="491666.16"/>
    <x v="2"/>
    <x v="0"/>
    <x v="1"/>
    <n v="42"/>
    <x v="6"/>
    <x v="3"/>
    <x v="2"/>
    <s v="High"/>
    <x v="0"/>
  </r>
  <r>
    <x v="343"/>
    <s v="POL53760"/>
    <d v="2021-11-18T00:00:00"/>
    <n v="372154.55"/>
    <x v="0"/>
    <x v="2"/>
    <x v="1"/>
    <n v="26"/>
    <x v="11"/>
    <x v="1"/>
    <x v="0"/>
    <s v="High"/>
    <x v="1"/>
  </r>
  <r>
    <x v="344"/>
    <s v="POL50332"/>
    <d v="2024-05-31T00:00:00"/>
    <n v="128668.89"/>
    <x v="0"/>
    <x v="1"/>
    <x v="1"/>
    <n v="16"/>
    <x v="6"/>
    <x v="2"/>
    <x v="2"/>
    <s v="Medium"/>
    <x v="1"/>
  </r>
  <r>
    <x v="345"/>
    <s v="POL52946"/>
    <d v="2024-04-30T00:00:00"/>
    <n v="112055.12"/>
    <x v="1"/>
    <x v="0"/>
    <x v="0"/>
    <n v="52"/>
    <x v="9"/>
    <x v="2"/>
    <x v="2"/>
    <s v="Medium"/>
    <x v="0"/>
  </r>
  <r>
    <x v="346"/>
    <s v="POL50996"/>
    <d v="2024-08-28T00:00:00"/>
    <n v="123096.32000000001"/>
    <x v="0"/>
    <x v="3"/>
    <x v="1"/>
    <n v="53"/>
    <x v="4"/>
    <x v="2"/>
    <x v="1"/>
    <s v="Medium"/>
    <x v="0"/>
  </r>
  <r>
    <x v="347"/>
    <s v="POL50828"/>
    <d v="2024-11-26T00:00:00"/>
    <n v="187074.71"/>
    <x v="0"/>
    <x v="4"/>
    <x v="0"/>
    <n v="7"/>
    <x v="11"/>
    <x v="2"/>
    <x v="0"/>
    <s v="Medium"/>
    <x v="1"/>
  </r>
  <r>
    <x v="348"/>
    <s v="POL53706"/>
    <d v="2024-11-29T00:00:00"/>
    <n v="460933.82"/>
    <x v="0"/>
    <x v="4"/>
    <x v="0"/>
    <n v="32"/>
    <x v="11"/>
    <x v="2"/>
    <x v="0"/>
    <s v="High"/>
    <x v="0"/>
  </r>
  <r>
    <x v="349"/>
    <s v="POL50388"/>
    <d v="2022-04-06T00:00:00"/>
    <n v="409627.62"/>
    <x v="0"/>
    <x v="4"/>
    <x v="1"/>
    <n v="41"/>
    <x v="9"/>
    <x v="0"/>
    <x v="2"/>
    <s v="High"/>
    <x v="0"/>
  </r>
  <r>
    <x v="350"/>
    <s v="POL53740"/>
    <d v="2023-02-06T00:00:00"/>
    <n v="87555.19"/>
    <x v="0"/>
    <x v="3"/>
    <x v="1"/>
    <n v="31"/>
    <x v="10"/>
    <x v="3"/>
    <x v="3"/>
    <s v="Low"/>
    <x v="0"/>
  </r>
  <r>
    <x v="351"/>
    <s v="POL50210"/>
    <d v="2024-05-18T00:00:00"/>
    <n v="91520.639999999999"/>
    <x v="0"/>
    <x v="0"/>
    <x v="0"/>
    <n v="13"/>
    <x v="6"/>
    <x v="2"/>
    <x v="2"/>
    <s v="Low"/>
    <x v="1"/>
  </r>
  <r>
    <x v="352"/>
    <s v="POL51992"/>
    <d v="2024-12-20T00:00:00"/>
    <n v="440418.6"/>
    <x v="0"/>
    <x v="0"/>
    <x v="1"/>
    <n v="8"/>
    <x v="1"/>
    <x v="2"/>
    <x v="0"/>
    <s v="High"/>
    <x v="1"/>
  </r>
  <r>
    <x v="353"/>
    <s v="POL50813"/>
    <d v="2023-06-04T00:00:00"/>
    <n v="336445.04"/>
    <x v="2"/>
    <x v="1"/>
    <x v="1"/>
    <n v="15"/>
    <x v="3"/>
    <x v="3"/>
    <x v="2"/>
    <s v="High"/>
    <x v="1"/>
  </r>
  <r>
    <x v="354"/>
    <s v="POL51041"/>
    <d v="2024-08-30T00:00:00"/>
    <n v="98554.05"/>
    <x v="2"/>
    <x v="4"/>
    <x v="0"/>
    <n v="22"/>
    <x v="4"/>
    <x v="2"/>
    <x v="1"/>
    <s v="Low"/>
    <x v="1"/>
  </r>
  <r>
    <x v="355"/>
    <s v="POL53990"/>
    <d v="2023-02-16T00:00:00"/>
    <n v="128223.46"/>
    <x v="0"/>
    <x v="2"/>
    <x v="0"/>
    <n v="42"/>
    <x v="10"/>
    <x v="3"/>
    <x v="3"/>
    <s v="Medium"/>
    <x v="0"/>
  </r>
  <r>
    <x v="356"/>
    <s v="POL53724"/>
    <d v="2024-08-27T00:00:00"/>
    <n v="143477.29999999999"/>
    <x v="0"/>
    <x v="0"/>
    <x v="1"/>
    <n v="45"/>
    <x v="4"/>
    <x v="2"/>
    <x v="1"/>
    <s v="Medium"/>
    <x v="0"/>
  </r>
  <r>
    <x v="357"/>
    <s v="POL52510"/>
    <d v="2023-10-08T00:00:00"/>
    <n v="33015.050000000003"/>
    <x v="1"/>
    <x v="3"/>
    <x v="1"/>
    <n v="35"/>
    <x v="0"/>
    <x v="3"/>
    <x v="0"/>
    <s v="Low"/>
    <x v="0"/>
  </r>
  <r>
    <x v="358"/>
    <s v="POL53749"/>
    <d v="2022-10-13T00:00:00"/>
    <n v="13690.15"/>
    <x v="1"/>
    <x v="4"/>
    <x v="1"/>
    <n v="18"/>
    <x v="0"/>
    <x v="0"/>
    <x v="0"/>
    <s v="Low"/>
    <x v="1"/>
  </r>
  <r>
    <x v="359"/>
    <s v="POL52071"/>
    <d v="2023-12-15T00:00:00"/>
    <n v="46957.15"/>
    <x v="2"/>
    <x v="0"/>
    <x v="1"/>
    <n v="25"/>
    <x v="1"/>
    <x v="3"/>
    <x v="0"/>
    <s v="Low"/>
    <x v="1"/>
  </r>
  <r>
    <x v="360"/>
    <s v="POL50658"/>
    <d v="2024-04-27T00:00:00"/>
    <n v="10149.32"/>
    <x v="0"/>
    <x v="1"/>
    <x v="1"/>
    <n v="11"/>
    <x v="9"/>
    <x v="2"/>
    <x v="2"/>
    <s v="Low"/>
    <x v="1"/>
  </r>
  <r>
    <x v="361"/>
    <s v="POL50170"/>
    <d v="2022-10-11T00:00:00"/>
    <n v="11207.66"/>
    <x v="2"/>
    <x v="3"/>
    <x v="0"/>
    <n v="5"/>
    <x v="0"/>
    <x v="0"/>
    <x v="0"/>
    <s v="Low"/>
    <x v="1"/>
  </r>
  <r>
    <x v="362"/>
    <s v="POL53288"/>
    <d v="2024-05-09T00:00:00"/>
    <n v="324749.94"/>
    <x v="0"/>
    <x v="3"/>
    <x v="1"/>
    <n v="48"/>
    <x v="6"/>
    <x v="2"/>
    <x v="2"/>
    <s v="High"/>
    <x v="0"/>
  </r>
  <r>
    <x v="363"/>
    <s v="POL52672"/>
    <d v="2022-09-28T00:00:00"/>
    <n v="284541.81"/>
    <x v="2"/>
    <x v="1"/>
    <x v="1"/>
    <n v="3"/>
    <x v="7"/>
    <x v="0"/>
    <x v="1"/>
    <s v="High"/>
    <x v="1"/>
  </r>
  <r>
    <x v="364"/>
    <s v="POL53335"/>
    <d v="2021-10-05T00:00:00"/>
    <n v="422592.4"/>
    <x v="0"/>
    <x v="3"/>
    <x v="0"/>
    <n v="51"/>
    <x v="0"/>
    <x v="1"/>
    <x v="0"/>
    <s v="High"/>
    <x v="0"/>
  </r>
  <r>
    <x v="365"/>
    <s v="POL52295"/>
    <d v="2023-08-29T00:00:00"/>
    <n v="218857.44"/>
    <x v="1"/>
    <x v="2"/>
    <x v="1"/>
    <n v="56"/>
    <x v="4"/>
    <x v="3"/>
    <x v="1"/>
    <s v="High"/>
    <x v="0"/>
  </r>
  <r>
    <x v="366"/>
    <s v="POL50540"/>
    <d v="2024-08-24T00:00:00"/>
    <n v="454521"/>
    <x v="2"/>
    <x v="4"/>
    <x v="0"/>
    <n v="43"/>
    <x v="4"/>
    <x v="2"/>
    <x v="1"/>
    <s v="High"/>
    <x v="0"/>
  </r>
  <r>
    <x v="367"/>
    <s v="POL50838"/>
    <d v="2024-03-04T00:00:00"/>
    <n v="478942.04"/>
    <x v="1"/>
    <x v="1"/>
    <x v="1"/>
    <n v="50"/>
    <x v="5"/>
    <x v="2"/>
    <x v="3"/>
    <s v="High"/>
    <x v="0"/>
  </r>
  <r>
    <x v="368"/>
    <s v="POL53090"/>
    <d v="2024-09-09T00:00:00"/>
    <n v="31159.05"/>
    <x v="2"/>
    <x v="3"/>
    <x v="0"/>
    <n v="11"/>
    <x v="7"/>
    <x v="2"/>
    <x v="1"/>
    <s v="Low"/>
    <x v="1"/>
  </r>
  <r>
    <x v="369"/>
    <s v="POL50830"/>
    <d v="2022-12-27T00:00:00"/>
    <n v="348822.23"/>
    <x v="0"/>
    <x v="2"/>
    <x v="0"/>
    <n v="35"/>
    <x v="1"/>
    <x v="0"/>
    <x v="0"/>
    <s v="High"/>
    <x v="0"/>
  </r>
  <r>
    <x v="370"/>
    <s v="POL50203"/>
    <d v="2024-11-05T00:00:00"/>
    <n v="41176.01"/>
    <x v="2"/>
    <x v="0"/>
    <x v="0"/>
    <n v="58"/>
    <x v="11"/>
    <x v="2"/>
    <x v="0"/>
    <s v="Low"/>
    <x v="0"/>
  </r>
  <r>
    <x v="371"/>
    <s v="POL51155"/>
    <d v="2020-11-20T00:00:00"/>
    <n v="344850.77"/>
    <x v="1"/>
    <x v="0"/>
    <x v="0"/>
    <n v="58"/>
    <x v="11"/>
    <x v="5"/>
    <x v="0"/>
    <s v="High"/>
    <x v="0"/>
  </r>
  <r>
    <x v="372"/>
    <s v="POL53502"/>
    <d v="2022-05-05T00:00:00"/>
    <n v="274916.26"/>
    <x v="0"/>
    <x v="3"/>
    <x v="0"/>
    <n v="49"/>
    <x v="6"/>
    <x v="0"/>
    <x v="2"/>
    <s v="High"/>
    <x v="0"/>
  </r>
  <r>
    <x v="373"/>
    <s v="POL50643"/>
    <d v="2023-03-14T00:00:00"/>
    <n v="305318.71000000002"/>
    <x v="1"/>
    <x v="4"/>
    <x v="0"/>
    <n v="12"/>
    <x v="5"/>
    <x v="3"/>
    <x v="3"/>
    <s v="High"/>
    <x v="1"/>
  </r>
  <r>
    <x v="374"/>
    <s v="POL53146"/>
    <d v="2023-05-22T00:00:00"/>
    <n v="173395.14"/>
    <x v="0"/>
    <x v="3"/>
    <x v="1"/>
    <n v="5"/>
    <x v="6"/>
    <x v="3"/>
    <x v="2"/>
    <s v="Medium"/>
    <x v="1"/>
  </r>
  <r>
    <x v="375"/>
    <s v="POL52579"/>
    <d v="2024-03-30T00:00:00"/>
    <n v="454027.59"/>
    <x v="1"/>
    <x v="0"/>
    <x v="0"/>
    <n v="19"/>
    <x v="5"/>
    <x v="2"/>
    <x v="3"/>
    <s v="High"/>
    <x v="1"/>
  </r>
  <r>
    <x v="376"/>
    <s v="POL50221"/>
    <d v="2023-05-09T00:00:00"/>
    <n v="425834.29"/>
    <x v="1"/>
    <x v="1"/>
    <x v="0"/>
    <n v="44"/>
    <x v="6"/>
    <x v="3"/>
    <x v="2"/>
    <s v="High"/>
    <x v="0"/>
  </r>
  <r>
    <x v="377"/>
    <s v="POL51371"/>
    <d v="2023-05-18T00:00:00"/>
    <n v="394241.52"/>
    <x v="2"/>
    <x v="4"/>
    <x v="1"/>
    <n v="58"/>
    <x v="6"/>
    <x v="3"/>
    <x v="2"/>
    <s v="High"/>
    <x v="0"/>
  </r>
  <r>
    <x v="378"/>
    <s v="POL50095"/>
    <d v="2023-08-14T00:00:00"/>
    <n v="312296.73"/>
    <x v="1"/>
    <x v="4"/>
    <x v="1"/>
    <n v="33"/>
    <x v="4"/>
    <x v="3"/>
    <x v="1"/>
    <s v="High"/>
    <x v="0"/>
  </r>
  <r>
    <x v="379"/>
    <s v="POL51191"/>
    <d v="2023-08-08T00:00:00"/>
    <n v="14155.31"/>
    <x v="1"/>
    <x v="2"/>
    <x v="0"/>
    <n v="55"/>
    <x v="4"/>
    <x v="3"/>
    <x v="1"/>
    <s v="Low"/>
    <x v="0"/>
  </r>
  <r>
    <x v="380"/>
    <s v="POL50231"/>
    <d v="2024-09-03T00:00:00"/>
    <n v="76100.73"/>
    <x v="1"/>
    <x v="2"/>
    <x v="0"/>
    <n v="33"/>
    <x v="7"/>
    <x v="2"/>
    <x v="1"/>
    <s v="Low"/>
    <x v="0"/>
  </r>
  <r>
    <x v="381"/>
    <s v="POL53654"/>
    <d v="2023-10-19T00:00:00"/>
    <n v="488183.98"/>
    <x v="2"/>
    <x v="4"/>
    <x v="1"/>
    <n v="19"/>
    <x v="0"/>
    <x v="3"/>
    <x v="0"/>
    <s v="High"/>
    <x v="1"/>
  </r>
  <r>
    <x v="382"/>
    <s v="POL53213"/>
    <d v="2024-06-19T00:00:00"/>
    <n v="402924.1"/>
    <x v="0"/>
    <x v="4"/>
    <x v="0"/>
    <n v="31"/>
    <x v="3"/>
    <x v="2"/>
    <x v="2"/>
    <s v="High"/>
    <x v="0"/>
  </r>
  <r>
    <x v="383"/>
    <s v="POL51645"/>
    <d v="2023-07-28T00:00:00"/>
    <n v="283843.20000000001"/>
    <x v="0"/>
    <x v="1"/>
    <x v="0"/>
    <n v="46"/>
    <x v="2"/>
    <x v="3"/>
    <x v="1"/>
    <s v="High"/>
    <x v="0"/>
  </r>
  <r>
    <x v="384"/>
    <s v="POL52362"/>
    <d v="2024-09-20T00:00:00"/>
    <n v="86631.74"/>
    <x v="0"/>
    <x v="0"/>
    <x v="0"/>
    <n v="42"/>
    <x v="7"/>
    <x v="2"/>
    <x v="1"/>
    <s v="Low"/>
    <x v="0"/>
  </r>
  <r>
    <x v="385"/>
    <s v="POL51180"/>
    <d v="2021-07-28T00:00:00"/>
    <n v="343108.68"/>
    <x v="2"/>
    <x v="3"/>
    <x v="0"/>
    <n v="59"/>
    <x v="2"/>
    <x v="1"/>
    <x v="1"/>
    <s v="High"/>
    <x v="0"/>
  </r>
  <r>
    <x v="386"/>
    <s v="POL53920"/>
    <d v="2024-05-25T00:00:00"/>
    <n v="235657.28"/>
    <x v="1"/>
    <x v="3"/>
    <x v="1"/>
    <n v="10"/>
    <x v="6"/>
    <x v="2"/>
    <x v="2"/>
    <s v="High"/>
    <x v="1"/>
  </r>
  <r>
    <x v="387"/>
    <s v="POL51274"/>
    <d v="2023-12-16T00:00:00"/>
    <n v="434969.59"/>
    <x v="0"/>
    <x v="4"/>
    <x v="0"/>
    <n v="49"/>
    <x v="1"/>
    <x v="3"/>
    <x v="0"/>
    <s v="High"/>
    <x v="0"/>
  </r>
  <r>
    <x v="388"/>
    <s v="POL50861"/>
    <d v="2024-06-15T00:00:00"/>
    <n v="448471.85"/>
    <x v="2"/>
    <x v="1"/>
    <x v="1"/>
    <n v="8"/>
    <x v="3"/>
    <x v="2"/>
    <x v="2"/>
    <s v="High"/>
    <x v="1"/>
  </r>
  <r>
    <x v="389"/>
    <s v="POL50643"/>
    <d v="2023-10-25T00:00:00"/>
    <n v="152745.71"/>
    <x v="1"/>
    <x v="3"/>
    <x v="0"/>
    <n v="59"/>
    <x v="0"/>
    <x v="3"/>
    <x v="0"/>
    <s v="Medium"/>
    <x v="0"/>
  </r>
  <r>
    <x v="390"/>
    <s v="POL53694"/>
    <d v="2021-12-14T00:00:00"/>
    <n v="326726.24"/>
    <x v="0"/>
    <x v="1"/>
    <x v="1"/>
    <n v="45"/>
    <x v="1"/>
    <x v="1"/>
    <x v="0"/>
    <s v="High"/>
    <x v="0"/>
  </r>
  <r>
    <x v="391"/>
    <s v="POL53068"/>
    <d v="2022-08-04T00:00:00"/>
    <n v="82619.67"/>
    <x v="1"/>
    <x v="0"/>
    <x v="0"/>
    <n v="48"/>
    <x v="4"/>
    <x v="0"/>
    <x v="1"/>
    <s v="Low"/>
    <x v="0"/>
  </r>
  <r>
    <x v="392"/>
    <s v="POL52808"/>
    <d v="2024-06-25T00:00:00"/>
    <n v="457294.86"/>
    <x v="1"/>
    <x v="1"/>
    <x v="1"/>
    <n v="43"/>
    <x v="3"/>
    <x v="2"/>
    <x v="2"/>
    <s v="High"/>
    <x v="0"/>
  </r>
  <r>
    <x v="393"/>
    <s v="POL50026"/>
    <d v="2023-01-22T00:00:00"/>
    <n v="429303.17"/>
    <x v="2"/>
    <x v="1"/>
    <x v="0"/>
    <n v="55"/>
    <x v="8"/>
    <x v="3"/>
    <x v="3"/>
    <s v="High"/>
    <x v="0"/>
  </r>
  <r>
    <x v="394"/>
    <s v="POL51839"/>
    <d v="2021-07-14T00:00:00"/>
    <n v="268811.09999999998"/>
    <x v="1"/>
    <x v="0"/>
    <x v="0"/>
    <n v="8"/>
    <x v="2"/>
    <x v="1"/>
    <x v="1"/>
    <s v="High"/>
    <x v="1"/>
  </r>
  <r>
    <x v="395"/>
    <s v="POL52415"/>
    <d v="2023-08-10T00:00:00"/>
    <n v="107906.6"/>
    <x v="0"/>
    <x v="1"/>
    <x v="0"/>
    <n v="13"/>
    <x v="4"/>
    <x v="3"/>
    <x v="1"/>
    <s v="Medium"/>
    <x v="1"/>
  </r>
  <r>
    <x v="396"/>
    <s v="POL52308"/>
    <d v="2022-07-01T00:00:00"/>
    <n v="73842.8"/>
    <x v="1"/>
    <x v="2"/>
    <x v="1"/>
    <n v="41"/>
    <x v="2"/>
    <x v="0"/>
    <x v="1"/>
    <s v="Low"/>
    <x v="0"/>
  </r>
  <r>
    <x v="397"/>
    <s v="POL53678"/>
    <d v="2024-09-26T00:00:00"/>
    <n v="168188.43"/>
    <x v="2"/>
    <x v="1"/>
    <x v="0"/>
    <n v="5"/>
    <x v="7"/>
    <x v="2"/>
    <x v="1"/>
    <s v="Medium"/>
    <x v="1"/>
  </r>
  <r>
    <x v="398"/>
    <s v="POL52944"/>
    <d v="2021-01-15T00:00:00"/>
    <n v="418126.19"/>
    <x v="1"/>
    <x v="2"/>
    <x v="1"/>
    <n v="8"/>
    <x v="8"/>
    <x v="1"/>
    <x v="3"/>
    <s v="High"/>
    <x v="1"/>
  </r>
  <r>
    <x v="399"/>
    <s v="POL52306"/>
    <d v="2024-02-14T00:00:00"/>
    <n v="369971.69"/>
    <x v="0"/>
    <x v="4"/>
    <x v="1"/>
    <n v="20"/>
    <x v="10"/>
    <x v="2"/>
    <x v="3"/>
    <s v="High"/>
    <x v="1"/>
  </r>
  <r>
    <x v="400"/>
    <s v="POL52987"/>
    <d v="2023-08-26T00:00:00"/>
    <n v="273625.53000000003"/>
    <x v="2"/>
    <x v="2"/>
    <x v="0"/>
    <n v="6"/>
    <x v="4"/>
    <x v="3"/>
    <x v="1"/>
    <s v="High"/>
    <x v="1"/>
  </r>
  <r>
    <x v="401"/>
    <s v="POL51803"/>
    <d v="2022-03-01T00:00:00"/>
    <n v="209834.07"/>
    <x v="2"/>
    <x v="2"/>
    <x v="0"/>
    <n v="11"/>
    <x v="5"/>
    <x v="0"/>
    <x v="3"/>
    <s v="High"/>
    <x v="1"/>
  </r>
  <r>
    <x v="402"/>
    <s v="POL51179"/>
    <d v="2024-12-17T00:00:00"/>
    <n v="370261.95"/>
    <x v="2"/>
    <x v="1"/>
    <x v="1"/>
    <n v="29"/>
    <x v="1"/>
    <x v="2"/>
    <x v="0"/>
    <s v="High"/>
    <x v="1"/>
  </r>
  <r>
    <x v="403"/>
    <s v="POL51458"/>
    <d v="2021-08-15T00:00:00"/>
    <n v="189336.57"/>
    <x v="1"/>
    <x v="2"/>
    <x v="1"/>
    <n v="38"/>
    <x v="4"/>
    <x v="1"/>
    <x v="1"/>
    <s v="Medium"/>
    <x v="0"/>
  </r>
  <r>
    <x v="404"/>
    <s v="POL52386"/>
    <d v="2022-12-30T00:00:00"/>
    <n v="324147.59000000003"/>
    <x v="0"/>
    <x v="1"/>
    <x v="0"/>
    <n v="57"/>
    <x v="1"/>
    <x v="0"/>
    <x v="0"/>
    <s v="High"/>
    <x v="0"/>
  </r>
  <r>
    <x v="405"/>
    <s v="POL53270"/>
    <d v="2023-10-31T00:00:00"/>
    <n v="406856.5"/>
    <x v="0"/>
    <x v="4"/>
    <x v="0"/>
    <n v="23"/>
    <x v="0"/>
    <x v="3"/>
    <x v="0"/>
    <s v="High"/>
    <x v="1"/>
  </r>
  <r>
    <x v="406"/>
    <s v="POL50711"/>
    <d v="2023-11-16T00:00:00"/>
    <n v="462707.64"/>
    <x v="0"/>
    <x v="1"/>
    <x v="0"/>
    <n v="37"/>
    <x v="11"/>
    <x v="3"/>
    <x v="0"/>
    <s v="High"/>
    <x v="0"/>
  </r>
  <r>
    <x v="407"/>
    <s v="POL51928"/>
    <d v="2024-08-25T00:00:00"/>
    <n v="94124.21"/>
    <x v="1"/>
    <x v="3"/>
    <x v="1"/>
    <n v="55"/>
    <x v="4"/>
    <x v="2"/>
    <x v="1"/>
    <s v="Low"/>
    <x v="0"/>
  </r>
  <r>
    <x v="408"/>
    <s v="POL50135"/>
    <d v="2023-08-03T00:00:00"/>
    <n v="262521.26"/>
    <x v="0"/>
    <x v="4"/>
    <x v="0"/>
    <n v="18"/>
    <x v="4"/>
    <x v="3"/>
    <x v="1"/>
    <s v="High"/>
    <x v="1"/>
  </r>
  <r>
    <x v="409"/>
    <s v="POL50176"/>
    <d v="2024-06-07T00:00:00"/>
    <n v="212519.8"/>
    <x v="0"/>
    <x v="2"/>
    <x v="0"/>
    <n v="53"/>
    <x v="3"/>
    <x v="2"/>
    <x v="2"/>
    <s v="High"/>
    <x v="0"/>
  </r>
  <r>
    <x v="410"/>
    <s v="POL51121"/>
    <d v="2024-01-05T00:00:00"/>
    <n v="34936.050000000003"/>
    <x v="0"/>
    <x v="1"/>
    <x v="1"/>
    <n v="6"/>
    <x v="8"/>
    <x v="2"/>
    <x v="3"/>
    <s v="Low"/>
    <x v="1"/>
  </r>
  <r>
    <x v="411"/>
    <s v="POL50076"/>
    <d v="2023-06-12T00:00:00"/>
    <n v="145347.51999999999"/>
    <x v="2"/>
    <x v="3"/>
    <x v="0"/>
    <n v="46"/>
    <x v="3"/>
    <x v="3"/>
    <x v="2"/>
    <s v="Medium"/>
    <x v="0"/>
  </r>
  <r>
    <x v="412"/>
    <s v="POL52722"/>
    <d v="2025-03-12T00:00:00"/>
    <n v="277762.19"/>
    <x v="1"/>
    <x v="3"/>
    <x v="1"/>
    <n v="40"/>
    <x v="5"/>
    <x v="4"/>
    <x v="3"/>
    <s v="High"/>
    <x v="0"/>
  </r>
  <r>
    <x v="413"/>
    <s v="POL51735"/>
    <d v="2024-11-02T00:00:00"/>
    <n v="300843.15999999997"/>
    <x v="0"/>
    <x v="2"/>
    <x v="0"/>
    <n v="39"/>
    <x v="11"/>
    <x v="2"/>
    <x v="0"/>
    <s v="High"/>
    <x v="0"/>
  </r>
  <r>
    <x v="414"/>
    <s v="POL52341"/>
    <d v="2024-03-30T00:00:00"/>
    <n v="309943.75"/>
    <x v="2"/>
    <x v="1"/>
    <x v="1"/>
    <n v="55"/>
    <x v="5"/>
    <x v="2"/>
    <x v="3"/>
    <s v="High"/>
    <x v="0"/>
  </r>
  <r>
    <x v="415"/>
    <s v="POL53012"/>
    <d v="2023-11-07T00:00:00"/>
    <n v="164012.60999999999"/>
    <x v="2"/>
    <x v="0"/>
    <x v="1"/>
    <n v="36"/>
    <x v="11"/>
    <x v="3"/>
    <x v="0"/>
    <s v="Medium"/>
    <x v="0"/>
  </r>
  <r>
    <x v="416"/>
    <s v="POL51534"/>
    <d v="2023-06-11T00:00:00"/>
    <n v="338026.94"/>
    <x v="0"/>
    <x v="0"/>
    <x v="1"/>
    <n v="26"/>
    <x v="3"/>
    <x v="3"/>
    <x v="2"/>
    <s v="High"/>
    <x v="1"/>
  </r>
  <r>
    <x v="417"/>
    <s v="POL53614"/>
    <d v="2023-12-27T00:00:00"/>
    <n v="372008.28"/>
    <x v="2"/>
    <x v="0"/>
    <x v="1"/>
    <n v="3"/>
    <x v="1"/>
    <x v="3"/>
    <x v="0"/>
    <s v="High"/>
    <x v="1"/>
  </r>
  <r>
    <x v="418"/>
    <s v="POL52587"/>
    <d v="2024-02-23T00:00:00"/>
    <n v="162644.79"/>
    <x v="1"/>
    <x v="1"/>
    <x v="1"/>
    <n v="21"/>
    <x v="10"/>
    <x v="2"/>
    <x v="3"/>
    <s v="Medium"/>
    <x v="1"/>
  </r>
  <r>
    <x v="419"/>
    <s v="POL50803"/>
    <d v="2023-11-09T00:00:00"/>
    <n v="201720.36"/>
    <x v="1"/>
    <x v="0"/>
    <x v="1"/>
    <n v="10"/>
    <x v="11"/>
    <x v="3"/>
    <x v="0"/>
    <s v="High"/>
    <x v="1"/>
  </r>
  <r>
    <x v="420"/>
    <s v="POL50196"/>
    <d v="2024-06-01T00:00:00"/>
    <n v="125216.18"/>
    <x v="2"/>
    <x v="4"/>
    <x v="0"/>
    <n v="57"/>
    <x v="3"/>
    <x v="2"/>
    <x v="2"/>
    <s v="Medium"/>
    <x v="0"/>
  </r>
  <r>
    <x v="421"/>
    <s v="POL52230"/>
    <d v="2022-04-19T00:00:00"/>
    <n v="365567.23"/>
    <x v="1"/>
    <x v="3"/>
    <x v="1"/>
    <n v="50"/>
    <x v="9"/>
    <x v="0"/>
    <x v="2"/>
    <s v="High"/>
    <x v="0"/>
  </r>
  <r>
    <x v="422"/>
    <s v="POL53220"/>
    <d v="2024-04-30T00:00:00"/>
    <n v="467636.33"/>
    <x v="0"/>
    <x v="3"/>
    <x v="0"/>
    <n v="37"/>
    <x v="9"/>
    <x v="2"/>
    <x v="2"/>
    <s v="High"/>
    <x v="0"/>
  </r>
  <r>
    <x v="423"/>
    <s v="POL50002"/>
    <d v="2023-11-21T00:00:00"/>
    <n v="320418.61"/>
    <x v="2"/>
    <x v="2"/>
    <x v="1"/>
    <n v="11"/>
    <x v="11"/>
    <x v="3"/>
    <x v="0"/>
    <s v="High"/>
    <x v="1"/>
  </r>
  <r>
    <x v="424"/>
    <s v="POL50573"/>
    <d v="2024-01-09T00:00:00"/>
    <n v="127801.51"/>
    <x v="0"/>
    <x v="0"/>
    <x v="1"/>
    <n v="29"/>
    <x v="8"/>
    <x v="2"/>
    <x v="3"/>
    <s v="Medium"/>
    <x v="1"/>
  </r>
  <r>
    <x v="425"/>
    <s v="POL51572"/>
    <d v="2022-12-26T00:00:00"/>
    <n v="224710.94"/>
    <x v="1"/>
    <x v="2"/>
    <x v="1"/>
    <n v="50"/>
    <x v="1"/>
    <x v="0"/>
    <x v="0"/>
    <s v="High"/>
    <x v="0"/>
  </r>
  <r>
    <x v="426"/>
    <s v="POL52193"/>
    <d v="2024-03-28T00:00:00"/>
    <n v="21169.35"/>
    <x v="2"/>
    <x v="2"/>
    <x v="1"/>
    <n v="21"/>
    <x v="5"/>
    <x v="2"/>
    <x v="3"/>
    <s v="Low"/>
    <x v="1"/>
  </r>
  <r>
    <x v="427"/>
    <s v="POL52130"/>
    <d v="2023-05-13T00:00:00"/>
    <n v="221909.33"/>
    <x v="1"/>
    <x v="1"/>
    <x v="1"/>
    <n v="17"/>
    <x v="6"/>
    <x v="3"/>
    <x v="2"/>
    <s v="High"/>
    <x v="1"/>
  </r>
  <r>
    <x v="428"/>
    <s v="POL50988"/>
    <d v="2024-05-06T00:00:00"/>
    <n v="431066.28"/>
    <x v="1"/>
    <x v="4"/>
    <x v="0"/>
    <n v="56"/>
    <x v="6"/>
    <x v="2"/>
    <x v="2"/>
    <s v="High"/>
    <x v="0"/>
  </r>
  <r>
    <x v="429"/>
    <s v="POL51606"/>
    <d v="2024-08-31T00:00:00"/>
    <n v="148753.84"/>
    <x v="0"/>
    <x v="2"/>
    <x v="1"/>
    <n v="37"/>
    <x v="4"/>
    <x v="2"/>
    <x v="1"/>
    <s v="Medium"/>
    <x v="0"/>
  </r>
  <r>
    <x v="430"/>
    <s v="POL50351"/>
    <d v="2023-10-18T00:00:00"/>
    <n v="172658.33"/>
    <x v="0"/>
    <x v="4"/>
    <x v="0"/>
    <n v="43"/>
    <x v="0"/>
    <x v="3"/>
    <x v="0"/>
    <s v="Medium"/>
    <x v="0"/>
  </r>
  <r>
    <x v="431"/>
    <s v="POL51610"/>
    <d v="2022-02-20T00:00:00"/>
    <n v="376116.12"/>
    <x v="2"/>
    <x v="0"/>
    <x v="0"/>
    <n v="59"/>
    <x v="10"/>
    <x v="0"/>
    <x v="3"/>
    <s v="High"/>
    <x v="0"/>
  </r>
  <r>
    <x v="432"/>
    <s v="POL53340"/>
    <d v="2023-04-02T00:00:00"/>
    <n v="37420.370000000003"/>
    <x v="1"/>
    <x v="3"/>
    <x v="0"/>
    <n v="33"/>
    <x v="9"/>
    <x v="3"/>
    <x v="2"/>
    <s v="Low"/>
    <x v="0"/>
  </r>
  <r>
    <x v="433"/>
    <s v="POL51726"/>
    <d v="2024-05-12T00:00:00"/>
    <n v="331992.01"/>
    <x v="1"/>
    <x v="4"/>
    <x v="1"/>
    <n v="13"/>
    <x v="6"/>
    <x v="2"/>
    <x v="2"/>
    <s v="High"/>
    <x v="1"/>
  </r>
  <r>
    <x v="434"/>
    <s v="POL53748"/>
    <d v="2023-10-31T00:00:00"/>
    <n v="344870.58"/>
    <x v="0"/>
    <x v="3"/>
    <x v="0"/>
    <n v="30"/>
    <x v="0"/>
    <x v="3"/>
    <x v="0"/>
    <s v="High"/>
    <x v="1"/>
  </r>
  <r>
    <x v="435"/>
    <s v="POL51555"/>
    <d v="2023-01-22T00:00:00"/>
    <n v="113707.01"/>
    <x v="2"/>
    <x v="3"/>
    <x v="1"/>
    <n v="10"/>
    <x v="8"/>
    <x v="3"/>
    <x v="3"/>
    <s v="Medium"/>
    <x v="1"/>
  </r>
  <r>
    <x v="436"/>
    <s v="POL53206"/>
    <d v="2024-11-12T00:00:00"/>
    <n v="166035.16"/>
    <x v="0"/>
    <x v="2"/>
    <x v="1"/>
    <n v="23"/>
    <x v="11"/>
    <x v="2"/>
    <x v="0"/>
    <s v="Medium"/>
    <x v="1"/>
  </r>
  <r>
    <x v="437"/>
    <s v="POL50247"/>
    <d v="2022-05-26T00:00:00"/>
    <n v="221865.29"/>
    <x v="0"/>
    <x v="4"/>
    <x v="0"/>
    <n v="17"/>
    <x v="6"/>
    <x v="0"/>
    <x v="2"/>
    <s v="High"/>
    <x v="1"/>
  </r>
  <r>
    <x v="438"/>
    <s v="POL50689"/>
    <d v="2024-12-16T00:00:00"/>
    <n v="10932.6"/>
    <x v="1"/>
    <x v="0"/>
    <x v="1"/>
    <n v="13"/>
    <x v="1"/>
    <x v="2"/>
    <x v="0"/>
    <s v="Low"/>
    <x v="1"/>
  </r>
  <r>
    <x v="439"/>
    <s v="POL53244"/>
    <d v="2024-04-03T00:00:00"/>
    <n v="163783.67000000001"/>
    <x v="2"/>
    <x v="0"/>
    <x v="1"/>
    <n v="49"/>
    <x v="9"/>
    <x v="2"/>
    <x v="2"/>
    <s v="Medium"/>
    <x v="0"/>
  </r>
  <r>
    <x v="440"/>
    <s v="POL50376"/>
    <d v="2022-05-31T00:00:00"/>
    <n v="300508.34999999998"/>
    <x v="2"/>
    <x v="4"/>
    <x v="0"/>
    <n v="6"/>
    <x v="6"/>
    <x v="0"/>
    <x v="2"/>
    <s v="High"/>
    <x v="1"/>
  </r>
  <r>
    <x v="441"/>
    <s v="POL53323"/>
    <d v="2024-09-17T00:00:00"/>
    <n v="83804.12"/>
    <x v="0"/>
    <x v="3"/>
    <x v="1"/>
    <n v="24"/>
    <x v="7"/>
    <x v="2"/>
    <x v="1"/>
    <s v="Low"/>
    <x v="1"/>
  </r>
  <r>
    <x v="442"/>
    <s v="POL51162"/>
    <d v="2024-05-31T00:00:00"/>
    <n v="87672.34"/>
    <x v="1"/>
    <x v="2"/>
    <x v="0"/>
    <n v="49"/>
    <x v="6"/>
    <x v="2"/>
    <x v="2"/>
    <s v="Low"/>
    <x v="0"/>
  </r>
  <r>
    <x v="443"/>
    <s v="POL52371"/>
    <d v="2021-03-21T00:00:00"/>
    <n v="146433.04"/>
    <x v="1"/>
    <x v="2"/>
    <x v="0"/>
    <n v="48"/>
    <x v="5"/>
    <x v="1"/>
    <x v="3"/>
    <s v="Medium"/>
    <x v="0"/>
  </r>
  <r>
    <x v="444"/>
    <s v="POL53779"/>
    <d v="2024-04-01T00:00:00"/>
    <n v="180720.22"/>
    <x v="1"/>
    <x v="2"/>
    <x v="0"/>
    <n v="17"/>
    <x v="9"/>
    <x v="2"/>
    <x v="2"/>
    <s v="Medium"/>
    <x v="1"/>
  </r>
  <r>
    <x v="445"/>
    <s v="POL50833"/>
    <d v="2023-11-09T00:00:00"/>
    <n v="56896.47"/>
    <x v="0"/>
    <x v="3"/>
    <x v="1"/>
    <n v="34"/>
    <x v="11"/>
    <x v="3"/>
    <x v="0"/>
    <s v="Low"/>
    <x v="0"/>
  </r>
  <r>
    <x v="446"/>
    <s v="POL52689"/>
    <d v="2022-11-21T00:00:00"/>
    <n v="23407.58"/>
    <x v="1"/>
    <x v="2"/>
    <x v="1"/>
    <n v="41"/>
    <x v="11"/>
    <x v="0"/>
    <x v="0"/>
    <s v="Low"/>
    <x v="0"/>
  </r>
  <r>
    <x v="447"/>
    <s v="POL51733"/>
    <d v="2022-12-03T00:00:00"/>
    <n v="239765.02"/>
    <x v="2"/>
    <x v="4"/>
    <x v="0"/>
    <n v="34"/>
    <x v="1"/>
    <x v="0"/>
    <x v="0"/>
    <s v="High"/>
    <x v="0"/>
  </r>
  <r>
    <x v="448"/>
    <s v="POL52675"/>
    <d v="2020-08-31T00:00:00"/>
    <n v="202606.89"/>
    <x v="0"/>
    <x v="1"/>
    <x v="0"/>
    <n v="10"/>
    <x v="4"/>
    <x v="5"/>
    <x v="1"/>
    <s v="High"/>
    <x v="1"/>
  </r>
  <r>
    <x v="449"/>
    <s v="POL53644"/>
    <d v="2023-12-18T00:00:00"/>
    <n v="330329"/>
    <x v="0"/>
    <x v="4"/>
    <x v="1"/>
    <n v="20"/>
    <x v="1"/>
    <x v="3"/>
    <x v="0"/>
    <s v="High"/>
    <x v="1"/>
  </r>
  <r>
    <x v="450"/>
    <s v="POL53878"/>
    <d v="2024-02-02T00:00:00"/>
    <n v="117975.78"/>
    <x v="0"/>
    <x v="0"/>
    <x v="0"/>
    <n v="5"/>
    <x v="10"/>
    <x v="2"/>
    <x v="3"/>
    <s v="Medium"/>
    <x v="1"/>
  </r>
  <r>
    <x v="451"/>
    <s v="POL52366"/>
    <d v="2024-12-03T00:00:00"/>
    <n v="193112.95"/>
    <x v="2"/>
    <x v="2"/>
    <x v="1"/>
    <n v="37"/>
    <x v="1"/>
    <x v="2"/>
    <x v="0"/>
    <s v="Medium"/>
    <x v="0"/>
  </r>
  <r>
    <x v="452"/>
    <s v="POL50911"/>
    <d v="2021-07-28T00:00:00"/>
    <n v="349052.49"/>
    <x v="1"/>
    <x v="2"/>
    <x v="1"/>
    <n v="12"/>
    <x v="2"/>
    <x v="1"/>
    <x v="1"/>
    <s v="High"/>
    <x v="1"/>
  </r>
  <r>
    <x v="453"/>
    <s v="POL51387"/>
    <d v="2024-02-23T00:00:00"/>
    <n v="159391.39000000001"/>
    <x v="1"/>
    <x v="4"/>
    <x v="1"/>
    <n v="16"/>
    <x v="10"/>
    <x v="2"/>
    <x v="3"/>
    <s v="Medium"/>
    <x v="1"/>
  </r>
  <r>
    <x v="454"/>
    <s v="POL50115"/>
    <d v="2024-08-24T00:00:00"/>
    <n v="227512.88"/>
    <x v="1"/>
    <x v="1"/>
    <x v="1"/>
    <n v="32"/>
    <x v="4"/>
    <x v="2"/>
    <x v="1"/>
    <s v="High"/>
    <x v="0"/>
  </r>
  <r>
    <x v="455"/>
    <s v="POL52303"/>
    <d v="2024-09-09T00:00:00"/>
    <n v="420024.83"/>
    <x v="1"/>
    <x v="0"/>
    <x v="0"/>
    <n v="20"/>
    <x v="7"/>
    <x v="2"/>
    <x v="1"/>
    <s v="High"/>
    <x v="1"/>
  </r>
  <r>
    <x v="456"/>
    <s v="POL52613"/>
    <d v="2023-09-15T00:00:00"/>
    <n v="198734.6"/>
    <x v="2"/>
    <x v="4"/>
    <x v="0"/>
    <n v="36"/>
    <x v="7"/>
    <x v="3"/>
    <x v="1"/>
    <s v="Medium"/>
    <x v="0"/>
  </r>
  <r>
    <x v="457"/>
    <s v="POL51648"/>
    <d v="2022-09-10T00:00:00"/>
    <n v="356754.34"/>
    <x v="0"/>
    <x v="0"/>
    <x v="1"/>
    <n v="12"/>
    <x v="7"/>
    <x v="0"/>
    <x v="1"/>
    <s v="High"/>
    <x v="1"/>
  </r>
  <r>
    <x v="458"/>
    <s v="POL51288"/>
    <d v="2021-05-09T00:00:00"/>
    <n v="322114.33"/>
    <x v="1"/>
    <x v="0"/>
    <x v="1"/>
    <n v="55"/>
    <x v="6"/>
    <x v="1"/>
    <x v="2"/>
    <s v="High"/>
    <x v="0"/>
  </r>
  <r>
    <x v="459"/>
    <s v="POL52632"/>
    <d v="2023-12-17T00:00:00"/>
    <n v="424462.62"/>
    <x v="0"/>
    <x v="2"/>
    <x v="1"/>
    <n v="19"/>
    <x v="1"/>
    <x v="3"/>
    <x v="0"/>
    <s v="High"/>
    <x v="1"/>
  </r>
  <r>
    <x v="460"/>
    <s v="POL50319"/>
    <d v="2025-01-30T00:00:00"/>
    <n v="405168.54"/>
    <x v="1"/>
    <x v="2"/>
    <x v="1"/>
    <n v="46"/>
    <x v="8"/>
    <x v="4"/>
    <x v="3"/>
    <s v="High"/>
    <x v="0"/>
  </r>
  <r>
    <x v="461"/>
    <s v="POL51817"/>
    <d v="2021-11-25T00:00:00"/>
    <n v="338905.93"/>
    <x v="2"/>
    <x v="2"/>
    <x v="0"/>
    <n v="41"/>
    <x v="11"/>
    <x v="1"/>
    <x v="0"/>
    <s v="High"/>
    <x v="0"/>
  </r>
  <r>
    <x v="462"/>
    <s v="POL50758"/>
    <d v="2024-05-05T00:00:00"/>
    <n v="272532.37"/>
    <x v="0"/>
    <x v="3"/>
    <x v="1"/>
    <n v="7"/>
    <x v="6"/>
    <x v="2"/>
    <x v="2"/>
    <s v="High"/>
    <x v="1"/>
  </r>
  <r>
    <x v="463"/>
    <s v="POL52761"/>
    <d v="2024-07-15T00:00:00"/>
    <n v="498300.64"/>
    <x v="0"/>
    <x v="3"/>
    <x v="1"/>
    <n v="55"/>
    <x v="2"/>
    <x v="2"/>
    <x v="1"/>
    <s v="High"/>
    <x v="0"/>
  </r>
  <r>
    <x v="464"/>
    <s v="POL50431"/>
    <d v="2021-08-09T00:00:00"/>
    <n v="281424.3"/>
    <x v="2"/>
    <x v="1"/>
    <x v="1"/>
    <n v="23"/>
    <x v="4"/>
    <x v="1"/>
    <x v="1"/>
    <s v="High"/>
    <x v="1"/>
  </r>
  <r>
    <x v="465"/>
    <s v="POL51718"/>
    <d v="2023-11-27T00:00:00"/>
    <n v="266023.8"/>
    <x v="0"/>
    <x v="4"/>
    <x v="1"/>
    <n v="2"/>
    <x v="11"/>
    <x v="3"/>
    <x v="0"/>
    <s v="High"/>
    <x v="1"/>
  </r>
  <r>
    <x v="466"/>
    <s v="POL53198"/>
    <d v="2024-09-09T00:00:00"/>
    <n v="225055.43"/>
    <x v="2"/>
    <x v="1"/>
    <x v="0"/>
    <n v="45"/>
    <x v="7"/>
    <x v="2"/>
    <x v="1"/>
    <s v="High"/>
    <x v="0"/>
  </r>
  <r>
    <x v="467"/>
    <s v="POL53218"/>
    <d v="2023-09-14T00:00:00"/>
    <n v="222780.57"/>
    <x v="2"/>
    <x v="3"/>
    <x v="0"/>
    <n v="59"/>
    <x v="7"/>
    <x v="3"/>
    <x v="1"/>
    <s v="High"/>
    <x v="0"/>
  </r>
  <r>
    <x v="468"/>
    <s v="POL53007"/>
    <d v="2025-05-16T00:00:00"/>
    <n v="149582.53"/>
    <x v="2"/>
    <x v="2"/>
    <x v="1"/>
    <n v="26"/>
    <x v="6"/>
    <x v="4"/>
    <x v="2"/>
    <s v="Medium"/>
    <x v="1"/>
  </r>
  <r>
    <x v="469"/>
    <s v="POL52119"/>
    <d v="2022-07-19T00:00:00"/>
    <n v="194450.26"/>
    <x v="0"/>
    <x v="2"/>
    <x v="0"/>
    <n v="27"/>
    <x v="2"/>
    <x v="0"/>
    <x v="1"/>
    <s v="Medium"/>
    <x v="1"/>
  </r>
  <r>
    <x v="470"/>
    <s v="POL53355"/>
    <d v="2022-12-19T00:00:00"/>
    <n v="321314.21999999997"/>
    <x v="0"/>
    <x v="0"/>
    <x v="1"/>
    <n v="49"/>
    <x v="1"/>
    <x v="0"/>
    <x v="0"/>
    <s v="High"/>
    <x v="0"/>
  </r>
  <r>
    <x v="471"/>
    <s v="POL51669"/>
    <d v="2025-04-26T00:00:00"/>
    <n v="244325.81"/>
    <x v="1"/>
    <x v="1"/>
    <x v="1"/>
    <n v="42"/>
    <x v="9"/>
    <x v="4"/>
    <x v="2"/>
    <s v="High"/>
    <x v="0"/>
  </r>
  <r>
    <x v="472"/>
    <s v="POL53544"/>
    <d v="2024-05-14T00:00:00"/>
    <n v="230908.41"/>
    <x v="1"/>
    <x v="3"/>
    <x v="1"/>
    <n v="8"/>
    <x v="6"/>
    <x v="2"/>
    <x v="2"/>
    <s v="High"/>
    <x v="1"/>
  </r>
  <r>
    <x v="473"/>
    <s v="POL52843"/>
    <d v="2023-05-12T00:00:00"/>
    <n v="488209.13"/>
    <x v="1"/>
    <x v="2"/>
    <x v="0"/>
    <n v="33"/>
    <x v="6"/>
    <x v="3"/>
    <x v="2"/>
    <s v="High"/>
    <x v="0"/>
  </r>
  <r>
    <x v="474"/>
    <s v="POL51947"/>
    <d v="2022-12-28T00:00:00"/>
    <n v="366449.98"/>
    <x v="1"/>
    <x v="3"/>
    <x v="0"/>
    <n v="57"/>
    <x v="1"/>
    <x v="0"/>
    <x v="0"/>
    <s v="High"/>
    <x v="0"/>
  </r>
  <r>
    <x v="475"/>
    <s v="POL50015"/>
    <d v="2022-07-30T00:00:00"/>
    <n v="257100.2"/>
    <x v="0"/>
    <x v="2"/>
    <x v="1"/>
    <n v="34"/>
    <x v="2"/>
    <x v="0"/>
    <x v="1"/>
    <s v="High"/>
    <x v="0"/>
  </r>
  <r>
    <x v="476"/>
    <s v="POL52462"/>
    <d v="2023-02-05T00:00:00"/>
    <n v="325890.34999999998"/>
    <x v="1"/>
    <x v="0"/>
    <x v="0"/>
    <n v="23"/>
    <x v="10"/>
    <x v="3"/>
    <x v="3"/>
    <s v="High"/>
    <x v="1"/>
  </r>
  <r>
    <x v="477"/>
    <s v="POL52070"/>
    <d v="2024-08-12T00:00:00"/>
    <n v="294479.63"/>
    <x v="2"/>
    <x v="4"/>
    <x v="0"/>
    <n v="19"/>
    <x v="4"/>
    <x v="2"/>
    <x v="1"/>
    <s v="High"/>
    <x v="1"/>
  </r>
  <r>
    <x v="478"/>
    <s v="POL50749"/>
    <d v="2024-08-21T00:00:00"/>
    <n v="310501.14"/>
    <x v="0"/>
    <x v="3"/>
    <x v="0"/>
    <n v="56"/>
    <x v="4"/>
    <x v="2"/>
    <x v="1"/>
    <s v="High"/>
    <x v="0"/>
  </r>
  <r>
    <x v="479"/>
    <s v="POL52340"/>
    <d v="2024-11-16T00:00:00"/>
    <n v="122785.85"/>
    <x v="2"/>
    <x v="4"/>
    <x v="1"/>
    <n v="48"/>
    <x v="11"/>
    <x v="2"/>
    <x v="0"/>
    <s v="Medium"/>
    <x v="0"/>
  </r>
  <r>
    <x v="480"/>
    <s v="POL52539"/>
    <d v="2023-07-20T00:00:00"/>
    <n v="417467.5"/>
    <x v="1"/>
    <x v="1"/>
    <x v="1"/>
    <n v="14"/>
    <x v="2"/>
    <x v="3"/>
    <x v="1"/>
    <s v="High"/>
    <x v="1"/>
  </r>
  <r>
    <x v="481"/>
    <s v="POL53325"/>
    <d v="2021-06-03T00:00:00"/>
    <n v="159970.03"/>
    <x v="0"/>
    <x v="4"/>
    <x v="1"/>
    <n v="25"/>
    <x v="3"/>
    <x v="1"/>
    <x v="2"/>
    <s v="Medium"/>
    <x v="1"/>
  </r>
  <r>
    <x v="482"/>
    <s v="POL50035"/>
    <d v="2023-01-24T00:00:00"/>
    <n v="450546.83"/>
    <x v="2"/>
    <x v="1"/>
    <x v="0"/>
    <n v="13"/>
    <x v="8"/>
    <x v="3"/>
    <x v="3"/>
    <s v="High"/>
    <x v="1"/>
  </r>
  <r>
    <x v="483"/>
    <s v="POL52256"/>
    <d v="2023-09-15T00:00:00"/>
    <n v="370505.72"/>
    <x v="1"/>
    <x v="4"/>
    <x v="1"/>
    <n v="55"/>
    <x v="7"/>
    <x v="3"/>
    <x v="1"/>
    <s v="High"/>
    <x v="0"/>
  </r>
  <r>
    <x v="484"/>
    <s v="POL52577"/>
    <d v="2023-10-09T00:00:00"/>
    <n v="198530.28"/>
    <x v="2"/>
    <x v="3"/>
    <x v="0"/>
    <n v="45"/>
    <x v="0"/>
    <x v="3"/>
    <x v="0"/>
    <s v="Medium"/>
    <x v="0"/>
  </r>
  <r>
    <x v="485"/>
    <s v="POL53399"/>
    <d v="2022-10-23T00:00:00"/>
    <n v="28716.84"/>
    <x v="0"/>
    <x v="2"/>
    <x v="1"/>
    <n v="30"/>
    <x v="0"/>
    <x v="0"/>
    <x v="0"/>
    <s v="Low"/>
    <x v="1"/>
  </r>
  <r>
    <x v="486"/>
    <s v="POL52763"/>
    <d v="2023-12-21T00:00:00"/>
    <n v="361724.47"/>
    <x v="0"/>
    <x v="4"/>
    <x v="0"/>
    <n v="41"/>
    <x v="1"/>
    <x v="3"/>
    <x v="0"/>
    <s v="High"/>
    <x v="0"/>
  </r>
  <r>
    <x v="487"/>
    <s v="POL51087"/>
    <d v="2024-08-30T00:00:00"/>
    <n v="179389.36"/>
    <x v="0"/>
    <x v="2"/>
    <x v="0"/>
    <n v="58"/>
    <x v="4"/>
    <x v="2"/>
    <x v="1"/>
    <s v="Medium"/>
    <x v="0"/>
  </r>
  <r>
    <x v="488"/>
    <s v="POL50559"/>
    <d v="2023-09-24T00:00:00"/>
    <n v="344623.51"/>
    <x v="1"/>
    <x v="4"/>
    <x v="1"/>
    <n v="41"/>
    <x v="7"/>
    <x v="3"/>
    <x v="1"/>
    <s v="High"/>
    <x v="0"/>
  </r>
  <r>
    <x v="489"/>
    <s v="POL51288"/>
    <d v="2021-06-04T00:00:00"/>
    <n v="172986.71"/>
    <x v="0"/>
    <x v="3"/>
    <x v="1"/>
    <n v="13"/>
    <x v="3"/>
    <x v="1"/>
    <x v="2"/>
    <s v="Medium"/>
    <x v="1"/>
  </r>
  <r>
    <x v="490"/>
    <s v="POL50030"/>
    <d v="2024-05-30T00:00:00"/>
    <n v="262074.65"/>
    <x v="2"/>
    <x v="1"/>
    <x v="0"/>
    <n v="57"/>
    <x v="6"/>
    <x v="2"/>
    <x v="2"/>
    <s v="High"/>
    <x v="0"/>
  </r>
  <r>
    <x v="491"/>
    <s v="POL50577"/>
    <d v="2023-10-07T00:00:00"/>
    <n v="364108.04"/>
    <x v="1"/>
    <x v="1"/>
    <x v="0"/>
    <n v="55"/>
    <x v="0"/>
    <x v="3"/>
    <x v="0"/>
    <s v="High"/>
    <x v="0"/>
  </r>
  <r>
    <x v="492"/>
    <s v="POL53133"/>
    <d v="2022-04-22T00:00:00"/>
    <n v="296239.96999999997"/>
    <x v="2"/>
    <x v="1"/>
    <x v="1"/>
    <n v="17"/>
    <x v="9"/>
    <x v="0"/>
    <x v="2"/>
    <s v="High"/>
    <x v="1"/>
  </r>
  <r>
    <x v="493"/>
    <s v="POL51381"/>
    <d v="2024-03-09T00:00:00"/>
    <n v="277517.75"/>
    <x v="2"/>
    <x v="2"/>
    <x v="0"/>
    <n v="30"/>
    <x v="5"/>
    <x v="2"/>
    <x v="3"/>
    <s v="High"/>
    <x v="1"/>
  </r>
  <r>
    <x v="494"/>
    <s v="POL53771"/>
    <d v="2024-08-14T00:00:00"/>
    <n v="416127.32"/>
    <x v="2"/>
    <x v="4"/>
    <x v="1"/>
    <n v="9"/>
    <x v="4"/>
    <x v="2"/>
    <x v="1"/>
    <s v="High"/>
    <x v="1"/>
  </r>
  <r>
    <x v="495"/>
    <s v="POL53670"/>
    <d v="2023-05-23T00:00:00"/>
    <n v="70717.429999999993"/>
    <x v="2"/>
    <x v="1"/>
    <x v="0"/>
    <n v="36"/>
    <x v="6"/>
    <x v="3"/>
    <x v="2"/>
    <s v="Low"/>
    <x v="0"/>
  </r>
  <r>
    <x v="496"/>
    <s v="POL50758"/>
    <d v="2024-05-12T00:00:00"/>
    <n v="157411.14000000001"/>
    <x v="2"/>
    <x v="0"/>
    <x v="1"/>
    <n v="34"/>
    <x v="6"/>
    <x v="2"/>
    <x v="2"/>
    <s v="Medium"/>
    <x v="0"/>
  </r>
  <r>
    <x v="497"/>
    <s v="POL50028"/>
    <d v="2023-12-25T00:00:00"/>
    <n v="81805.240000000005"/>
    <x v="0"/>
    <x v="1"/>
    <x v="0"/>
    <n v="51"/>
    <x v="1"/>
    <x v="3"/>
    <x v="0"/>
    <s v="Low"/>
    <x v="0"/>
  </r>
  <r>
    <x v="498"/>
    <s v="POL51499"/>
    <d v="2023-01-25T00:00:00"/>
    <n v="444333.16"/>
    <x v="2"/>
    <x v="4"/>
    <x v="1"/>
    <n v="45"/>
    <x v="8"/>
    <x v="3"/>
    <x v="3"/>
    <s v="High"/>
    <x v="0"/>
  </r>
  <r>
    <x v="499"/>
    <s v="POL52610"/>
    <d v="2023-07-16T00:00:00"/>
    <n v="55442.14"/>
    <x v="1"/>
    <x v="3"/>
    <x v="0"/>
    <n v="9"/>
    <x v="2"/>
    <x v="3"/>
    <x v="1"/>
    <s v="Low"/>
    <x v="1"/>
  </r>
  <r>
    <x v="500"/>
    <s v="POL51221"/>
    <d v="2022-09-29T00:00:00"/>
    <n v="299995.48"/>
    <x v="0"/>
    <x v="1"/>
    <x v="1"/>
    <n v="17"/>
    <x v="7"/>
    <x v="0"/>
    <x v="1"/>
    <s v="High"/>
    <x v="1"/>
  </r>
  <r>
    <x v="501"/>
    <s v="POL51246"/>
    <d v="2024-01-19T00:00:00"/>
    <n v="201994.59"/>
    <x v="2"/>
    <x v="2"/>
    <x v="0"/>
    <n v="7"/>
    <x v="8"/>
    <x v="2"/>
    <x v="3"/>
    <s v="High"/>
    <x v="1"/>
  </r>
  <r>
    <x v="502"/>
    <s v="POL50628"/>
    <d v="2023-09-16T00:00:00"/>
    <n v="355245.86"/>
    <x v="0"/>
    <x v="0"/>
    <x v="0"/>
    <n v="30"/>
    <x v="7"/>
    <x v="3"/>
    <x v="1"/>
    <s v="High"/>
    <x v="1"/>
  </r>
  <r>
    <x v="503"/>
    <s v="POL50467"/>
    <d v="2023-08-07T00:00:00"/>
    <n v="282997.68"/>
    <x v="2"/>
    <x v="0"/>
    <x v="0"/>
    <n v="26"/>
    <x v="4"/>
    <x v="3"/>
    <x v="1"/>
    <s v="High"/>
    <x v="1"/>
  </r>
  <r>
    <x v="504"/>
    <s v="POL50312"/>
    <d v="2022-08-13T00:00:00"/>
    <n v="485091.49"/>
    <x v="2"/>
    <x v="1"/>
    <x v="0"/>
    <n v="22"/>
    <x v="4"/>
    <x v="0"/>
    <x v="1"/>
    <s v="High"/>
    <x v="1"/>
  </r>
  <r>
    <x v="505"/>
    <s v="POL51423"/>
    <d v="2024-04-18T00:00:00"/>
    <n v="303358.15999999997"/>
    <x v="2"/>
    <x v="3"/>
    <x v="1"/>
    <n v="22"/>
    <x v="9"/>
    <x v="2"/>
    <x v="2"/>
    <s v="High"/>
    <x v="1"/>
  </r>
  <r>
    <x v="506"/>
    <s v="POL50480"/>
    <d v="2022-11-15T00:00:00"/>
    <n v="380640.57"/>
    <x v="2"/>
    <x v="3"/>
    <x v="0"/>
    <n v="17"/>
    <x v="11"/>
    <x v="0"/>
    <x v="0"/>
    <s v="High"/>
    <x v="1"/>
  </r>
  <r>
    <x v="507"/>
    <s v="POL52790"/>
    <d v="2024-04-11T00:00:00"/>
    <n v="227762.46"/>
    <x v="1"/>
    <x v="1"/>
    <x v="0"/>
    <n v="6"/>
    <x v="9"/>
    <x v="2"/>
    <x v="2"/>
    <s v="High"/>
    <x v="1"/>
  </r>
  <r>
    <x v="508"/>
    <s v="POL51704"/>
    <d v="2023-12-01T00:00:00"/>
    <n v="200731.28"/>
    <x v="2"/>
    <x v="3"/>
    <x v="1"/>
    <n v="53"/>
    <x v="1"/>
    <x v="3"/>
    <x v="0"/>
    <s v="High"/>
    <x v="0"/>
  </r>
  <r>
    <x v="509"/>
    <s v="POL50957"/>
    <d v="2025-02-15T00:00:00"/>
    <n v="324185.73"/>
    <x v="2"/>
    <x v="1"/>
    <x v="1"/>
    <n v="55"/>
    <x v="10"/>
    <x v="4"/>
    <x v="3"/>
    <s v="High"/>
    <x v="0"/>
  </r>
  <r>
    <x v="510"/>
    <s v="POL51518"/>
    <d v="2023-06-10T00:00:00"/>
    <n v="158699.26999999999"/>
    <x v="0"/>
    <x v="2"/>
    <x v="1"/>
    <n v="57"/>
    <x v="3"/>
    <x v="3"/>
    <x v="2"/>
    <s v="Medium"/>
    <x v="0"/>
  </r>
  <r>
    <x v="511"/>
    <s v="POL51396"/>
    <d v="2024-05-12T00:00:00"/>
    <n v="76565.179999999993"/>
    <x v="0"/>
    <x v="0"/>
    <x v="1"/>
    <n v="47"/>
    <x v="6"/>
    <x v="2"/>
    <x v="2"/>
    <s v="Low"/>
    <x v="0"/>
  </r>
  <r>
    <x v="512"/>
    <s v="POL51439"/>
    <d v="2022-04-02T00:00:00"/>
    <n v="453802.02"/>
    <x v="1"/>
    <x v="3"/>
    <x v="1"/>
    <n v="57"/>
    <x v="9"/>
    <x v="0"/>
    <x v="2"/>
    <s v="High"/>
    <x v="0"/>
  </r>
  <r>
    <x v="513"/>
    <s v="POL50145"/>
    <d v="2024-05-01T00:00:00"/>
    <n v="375570.91"/>
    <x v="1"/>
    <x v="3"/>
    <x v="0"/>
    <n v="48"/>
    <x v="6"/>
    <x v="2"/>
    <x v="2"/>
    <s v="High"/>
    <x v="0"/>
  </r>
  <r>
    <x v="514"/>
    <s v="POL53999"/>
    <d v="2023-11-12T00:00:00"/>
    <n v="248647.27"/>
    <x v="2"/>
    <x v="0"/>
    <x v="0"/>
    <n v="39"/>
    <x v="11"/>
    <x v="3"/>
    <x v="0"/>
    <s v="High"/>
    <x v="0"/>
  </r>
  <r>
    <x v="515"/>
    <s v="POL50390"/>
    <d v="2023-10-31T00:00:00"/>
    <n v="386485.86"/>
    <x v="0"/>
    <x v="2"/>
    <x v="1"/>
    <n v="45"/>
    <x v="0"/>
    <x v="3"/>
    <x v="0"/>
    <s v="High"/>
    <x v="0"/>
  </r>
  <r>
    <x v="516"/>
    <s v="POL52561"/>
    <d v="2021-11-21T00:00:00"/>
    <n v="288249.2"/>
    <x v="2"/>
    <x v="0"/>
    <x v="0"/>
    <n v="23"/>
    <x v="11"/>
    <x v="1"/>
    <x v="0"/>
    <s v="High"/>
    <x v="1"/>
  </r>
  <r>
    <x v="517"/>
    <s v="POL53603"/>
    <d v="2024-06-13T00:00:00"/>
    <n v="95884.86"/>
    <x v="1"/>
    <x v="2"/>
    <x v="1"/>
    <n v="37"/>
    <x v="3"/>
    <x v="2"/>
    <x v="2"/>
    <s v="Low"/>
    <x v="0"/>
  </r>
  <r>
    <x v="518"/>
    <s v="POL50505"/>
    <d v="2024-07-20T00:00:00"/>
    <n v="345927.84"/>
    <x v="1"/>
    <x v="0"/>
    <x v="1"/>
    <n v="22"/>
    <x v="2"/>
    <x v="2"/>
    <x v="1"/>
    <s v="High"/>
    <x v="1"/>
  </r>
  <r>
    <x v="519"/>
    <s v="POL53164"/>
    <d v="2022-01-18T00:00:00"/>
    <n v="92715.24"/>
    <x v="0"/>
    <x v="3"/>
    <x v="0"/>
    <n v="27"/>
    <x v="8"/>
    <x v="0"/>
    <x v="3"/>
    <s v="Low"/>
    <x v="1"/>
  </r>
  <r>
    <x v="520"/>
    <s v="POL52126"/>
    <d v="2024-02-17T00:00:00"/>
    <n v="77635.23"/>
    <x v="2"/>
    <x v="1"/>
    <x v="1"/>
    <n v="56"/>
    <x v="10"/>
    <x v="2"/>
    <x v="3"/>
    <s v="Low"/>
    <x v="0"/>
  </r>
  <r>
    <x v="521"/>
    <s v="POL50826"/>
    <d v="2022-03-06T00:00:00"/>
    <n v="57395.91"/>
    <x v="0"/>
    <x v="4"/>
    <x v="1"/>
    <n v="34"/>
    <x v="5"/>
    <x v="0"/>
    <x v="3"/>
    <s v="Low"/>
    <x v="0"/>
  </r>
  <r>
    <x v="522"/>
    <s v="POL51589"/>
    <d v="2023-02-04T00:00:00"/>
    <n v="255378.53"/>
    <x v="2"/>
    <x v="0"/>
    <x v="1"/>
    <n v="48"/>
    <x v="10"/>
    <x v="3"/>
    <x v="3"/>
    <s v="High"/>
    <x v="0"/>
  </r>
  <r>
    <x v="523"/>
    <s v="POL53260"/>
    <d v="2024-08-14T00:00:00"/>
    <n v="229336.47"/>
    <x v="2"/>
    <x v="3"/>
    <x v="0"/>
    <n v="10"/>
    <x v="4"/>
    <x v="2"/>
    <x v="1"/>
    <s v="High"/>
    <x v="1"/>
  </r>
  <r>
    <x v="524"/>
    <s v="POL51760"/>
    <d v="2021-11-29T00:00:00"/>
    <n v="345408.81"/>
    <x v="0"/>
    <x v="2"/>
    <x v="0"/>
    <n v="26"/>
    <x v="11"/>
    <x v="1"/>
    <x v="0"/>
    <s v="High"/>
    <x v="1"/>
  </r>
  <r>
    <x v="525"/>
    <s v="POL53587"/>
    <d v="2025-01-01T00:00:00"/>
    <n v="194566.56"/>
    <x v="1"/>
    <x v="0"/>
    <x v="1"/>
    <n v="13"/>
    <x v="8"/>
    <x v="4"/>
    <x v="3"/>
    <s v="Medium"/>
    <x v="1"/>
  </r>
  <r>
    <x v="526"/>
    <s v="POL50970"/>
    <d v="2024-07-01T00:00:00"/>
    <n v="149212.17000000001"/>
    <x v="2"/>
    <x v="0"/>
    <x v="1"/>
    <n v="8"/>
    <x v="2"/>
    <x v="2"/>
    <x v="1"/>
    <s v="Medium"/>
    <x v="1"/>
  </r>
  <r>
    <x v="527"/>
    <s v="POL52140"/>
    <d v="2023-02-02T00:00:00"/>
    <n v="37037.919999999998"/>
    <x v="0"/>
    <x v="4"/>
    <x v="1"/>
    <n v="37"/>
    <x v="10"/>
    <x v="3"/>
    <x v="3"/>
    <s v="Low"/>
    <x v="0"/>
  </r>
  <r>
    <x v="528"/>
    <s v="POL50030"/>
    <d v="2024-08-28T00:00:00"/>
    <n v="427693.35"/>
    <x v="2"/>
    <x v="0"/>
    <x v="1"/>
    <n v="41"/>
    <x v="4"/>
    <x v="2"/>
    <x v="1"/>
    <s v="High"/>
    <x v="0"/>
  </r>
  <r>
    <x v="529"/>
    <s v="POL50513"/>
    <d v="2021-11-17T00:00:00"/>
    <n v="366615.7"/>
    <x v="1"/>
    <x v="4"/>
    <x v="1"/>
    <n v="33"/>
    <x v="11"/>
    <x v="1"/>
    <x v="0"/>
    <s v="High"/>
    <x v="0"/>
  </r>
  <r>
    <x v="530"/>
    <s v="POL50574"/>
    <d v="2022-12-22T00:00:00"/>
    <n v="445978.51"/>
    <x v="1"/>
    <x v="0"/>
    <x v="0"/>
    <n v="14"/>
    <x v="1"/>
    <x v="0"/>
    <x v="0"/>
    <s v="High"/>
    <x v="1"/>
  </r>
  <r>
    <x v="531"/>
    <s v="POL52212"/>
    <d v="2024-06-23T00:00:00"/>
    <n v="61252.959999999999"/>
    <x v="2"/>
    <x v="4"/>
    <x v="0"/>
    <n v="29"/>
    <x v="3"/>
    <x v="2"/>
    <x v="2"/>
    <s v="Low"/>
    <x v="1"/>
  </r>
  <r>
    <x v="532"/>
    <s v="POL52519"/>
    <d v="2023-06-15T00:00:00"/>
    <n v="225031.14"/>
    <x v="2"/>
    <x v="0"/>
    <x v="1"/>
    <n v="42"/>
    <x v="3"/>
    <x v="3"/>
    <x v="2"/>
    <s v="High"/>
    <x v="0"/>
  </r>
  <r>
    <x v="533"/>
    <s v="POL53307"/>
    <d v="2024-12-17T00:00:00"/>
    <n v="87135.09"/>
    <x v="1"/>
    <x v="2"/>
    <x v="0"/>
    <n v="8"/>
    <x v="1"/>
    <x v="2"/>
    <x v="0"/>
    <s v="Low"/>
    <x v="1"/>
  </r>
  <r>
    <x v="534"/>
    <s v="POL51321"/>
    <d v="2025-02-10T00:00:00"/>
    <n v="227648.58"/>
    <x v="1"/>
    <x v="3"/>
    <x v="0"/>
    <n v="40"/>
    <x v="10"/>
    <x v="4"/>
    <x v="3"/>
    <s v="High"/>
    <x v="0"/>
  </r>
  <r>
    <x v="535"/>
    <s v="POL50390"/>
    <d v="2023-11-10T00:00:00"/>
    <n v="321775.28000000003"/>
    <x v="1"/>
    <x v="0"/>
    <x v="0"/>
    <n v="52"/>
    <x v="11"/>
    <x v="3"/>
    <x v="0"/>
    <s v="High"/>
    <x v="0"/>
  </r>
  <r>
    <x v="536"/>
    <s v="POL51860"/>
    <d v="2021-10-16T00:00:00"/>
    <n v="422064.22"/>
    <x v="0"/>
    <x v="0"/>
    <x v="1"/>
    <n v="44"/>
    <x v="0"/>
    <x v="1"/>
    <x v="0"/>
    <s v="High"/>
    <x v="0"/>
  </r>
  <r>
    <x v="537"/>
    <s v="POL53599"/>
    <d v="2021-07-09T00:00:00"/>
    <n v="55408.21"/>
    <x v="2"/>
    <x v="3"/>
    <x v="1"/>
    <n v="21"/>
    <x v="2"/>
    <x v="1"/>
    <x v="1"/>
    <s v="Low"/>
    <x v="1"/>
  </r>
  <r>
    <x v="538"/>
    <s v="POL50694"/>
    <d v="2024-06-25T00:00:00"/>
    <n v="294679.23"/>
    <x v="2"/>
    <x v="4"/>
    <x v="0"/>
    <n v="55"/>
    <x v="3"/>
    <x v="2"/>
    <x v="2"/>
    <s v="High"/>
    <x v="0"/>
  </r>
  <r>
    <x v="539"/>
    <s v="POL52652"/>
    <d v="2023-12-23T00:00:00"/>
    <n v="43742.02"/>
    <x v="1"/>
    <x v="2"/>
    <x v="0"/>
    <n v="29"/>
    <x v="1"/>
    <x v="3"/>
    <x v="0"/>
    <s v="Low"/>
    <x v="1"/>
  </r>
  <r>
    <x v="540"/>
    <s v="POL51298"/>
    <d v="2023-11-25T00:00:00"/>
    <n v="91705.48"/>
    <x v="1"/>
    <x v="1"/>
    <x v="0"/>
    <n v="24"/>
    <x v="11"/>
    <x v="3"/>
    <x v="0"/>
    <s v="Low"/>
    <x v="1"/>
  </r>
  <r>
    <x v="541"/>
    <s v="POL50765"/>
    <d v="2023-06-22T00:00:00"/>
    <n v="197450.64"/>
    <x v="0"/>
    <x v="1"/>
    <x v="0"/>
    <n v="43"/>
    <x v="3"/>
    <x v="3"/>
    <x v="2"/>
    <s v="Medium"/>
    <x v="0"/>
  </r>
  <r>
    <x v="542"/>
    <s v="POL50783"/>
    <d v="2021-11-10T00:00:00"/>
    <n v="174124.52"/>
    <x v="2"/>
    <x v="3"/>
    <x v="0"/>
    <n v="8"/>
    <x v="11"/>
    <x v="1"/>
    <x v="0"/>
    <s v="Medium"/>
    <x v="1"/>
  </r>
  <r>
    <x v="543"/>
    <s v="POL53611"/>
    <d v="2021-10-24T00:00:00"/>
    <n v="254770.61"/>
    <x v="0"/>
    <x v="1"/>
    <x v="1"/>
    <n v="59"/>
    <x v="0"/>
    <x v="1"/>
    <x v="0"/>
    <s v="High"/>
    <x v="0"/>
  </r>
  <r>
    <x v="544"/>
    <s v="POL52002"/>
    <d v="2023-06-26T00:00:00"/>
    <n v="97671.31"/>
    <x v="2"/>
    <x v="4"/>
    <x v="0"/>
    <n v="53"/>
    <x v="3"/>
    <x v="3"/>
    <x v="2"/>
    <s v="Low"/>
    <x v="0"/>
  </r>
  <r>
    <x v="545"/>
    <s v="POL52843"/>
    <d v="2023-04-04T00:00:00"/>
    <n v="107548.69"/>
    <x v="2"/>
    <x v="4"/>
    <x v="0"/>
    <n v="24"/>
    <x v="9"/>
    <x v="3"/>
    <x v="2"/>
    <s v="Medium"/>
    <x v="1"/>
  </r>
  <r>
    <x v="546"/>
    <s v="POL51038"/>
    <d v="2023-12-20T00:00:00"/>
    <n v="83986.63"/>
    <x v="1"/>
    <x v="1"/>
    <x v="0"/>
    <n v="13"/>
    <x v="1"/>
    <x v="3"/>
    <x v="0"/>
    <s v="Low"/>
    <x v="1"/>
  </r>
  <r>
    <x v="547"/>
    <s v="POL52711"/>
    <d v="2023-09-11T00:00:00"/>
    <n v="178299.48"/>
    <x v="2"/>
    <x v="4"/>
    <x v="0"/>
    <n v="10"/>
    <x v="7"/>
    <x v="3"/>
    <x v="1"/>
    <s v="Medium"/>
    <x v="1"/>
  </r>
  <r>
    <x v="548"/>
    <s v="POL50565"/>
    <d v="2024-05-02T00:00:00"/>
    <n v="416609.91"/>
    <x v="2"/>
    <x v="4"/>
    <x v="1"/>
    <n v="48"/>
    <x v="6"/>
    <x v="2"/>
    <x v="2"/>
    <s v="High"/>
    <x v="0"/>
  </r>
  <r>
    <x v="549"/>
    <s v="POL51145"/>
    <d v="2021-10-18T00:00:00"/>
    <n v="164639.75"/>
    <x v="0"/>
    <x v="3"/>
    <x v="0"/>
    <n v="11"/>
    <x v="0"/>
    <x v="1"/>
    <x v="0"/>
    <s v="Medium"/>
    <x v="1"/>
  </r>
  <r>
    <x v="550"/>
    <s v="POL50343"/>
    <d v="2025-02-02T00:00:00"/>
    <n v="151760.6"/>
    <x v="0"/>
    <x v="1"/>
    <x v="0"/>
    <n v="45"/>
    <x v="10"/>
    <x v="4"/>
    <x v="3"/>
    <s v="Medium"/>
    <x v="0"/>
  </r>
  <r>
    <x v="551"/>
    <s v="POL51542"/>
    <d v="2022-05-31T00:00:00"/>
    <n v="140195.25"/>
    <x v="2"/>
    <x v="3"/>
    <x v="1"/>
    <n v="36"/>
    <x v="6"/>
    <x v="0"/>
    <x v="2"/>
    <s v="Medium"/>
    <x v="0"/>
  </r>
  <r>
    <x v="552"/>
    <s v="POL51172"/>
    <d v="2021-10-08T00:00:00"/>
    <n v="484529.51"/>
    <x v="0"/>
    <x v="0"/>
    <x v="1"/>
    <n v="49"/>
    <x v="0"/>
    <x v="1"/>
    <x v="0"/>
    <s v="High"/>
    <x v="0"/>
  </r>
  <r>
    <x v="553"/>
    <s v="POL51153"/>
    <d v="2024-05-12T00:00:00"/>
    <n v="260330.29"/>
    <x v="0"/>
    <x v="0"/>
    <x v="0"/>
    <n v="38"/>
    <x v="6"/>
    <x v="2"/>
    <x v="2"/>
    <s v="High"/>
    <x v="0"/>
  </r>
  <r>
    <x v="554"/>
    <s v="POL50848"/>
    <d v="2024-02-05T00:00:00"/>
    <n v="353021.91"/>
    <x v="1"/>
    <x v="0"/>
    <x v="0"/>
    <n v="28"/>
    <x v="10"/>
    <x v="2"/>
    <x v="3"/>
    <s v="High"/>
    <x v="1"/>
  </r>
  <r>
    <x v="555"/>
    <s v="POL53466"/>
    <d v="2022-07-20T00:00:00"/>
    <n v="45547.6"/>
    <x v="0"/>
    <x v="0"/>
    <x v="0"/>
    <n v="8"/>
    <x v="2"/>
    <x v="0"/>
    <x v="1"/>
    <s v="Low"/>
    <x v="1"/>
  </r>
  <r>
    <x v="556"/>
    <s v="POL53626"/>
    <d v="2023-11-22T00:00:00"/>
    <n v="29489.54"/>
    <x v="2"/>
    <x v="3"/>
    <x v="0"/>
    <n v="15"/>
    <x v="11"/>
    <x v="3"/>
    <x v="0"/>
    <s v="Low"/>
    <x v="1"/>
  </r>
  <r>
    <x v="557"/>
    <s v="POL53637"/>
    <d v="2024-12-14T00:00:00"/>
    <n v="43967.42"/>
    <x v="1"/>
    <x v="1"/>
    <x v="0"/>
    <n v="55"/>
    <x v="1"/>
    <x v="2"/>
    <x v="0"/>
    <s v="Low"/>
    <x v="0"/>
  </r>
  <r>
    <x v="558"/>
    <s v="POL52434"/>
    <d v="2023-07-23T00:00:00"/>
    <n v="439851.51"/>
    <x v="2"/>
    <x v="2"/>
    <x v="1"/>
    <n v="24"/>
    <x v="2"/>
    <x v="3"/>
    <x v="1"/>
    <s v="High"/>
    <x v="1"/>
  </r>
  <r>
    <x v="559"/>
    <s v="POL51450"/>
    <d v="2024-12-06T00:00:00"/>
    <n v="169069.19"/>
    <x v="2"/>
    <x v="1"/>
    <x v="0"/>
    <n v="29"/>
    <x v="1"/>
    <x v="2"/>
    <x v="0"/>
    <s v="Medium"/>
    <x v="1"/>
  </r>
  <r>
    <x v="560"/>
    <s v="POL51462"/>
    <d v="2024-11-25T00:00:00"/>
    <n v="97798.71"/>
    <x v="1"/>
    <x v="3"/>
    <x v="1"/>
    <n v="29"/>
    <x v="11"/>
    <x v="2"/>
    <x v="0"/>
    <s v="Low"/>
    <x v="1"/>
  </r>
  <r>
    <x v="561"/>
    <s v="POL53841"/>
    <d v="2024-08-29T00:00:00"/>
    <n v="260461.68"/>
    <x v="0"/>
    <x v="4"/>
    <x v="1"/>
    <n v="31"/>
    <x v="4"/>
    <x v="2"/>
    <x v="1"/>
    <s v="High"/>
    <x v="0"/>
  </r>
  <r>
    <x v="562"/>
    <s v="POL50685"/>
    <d v="2024-07-21T00:00:00"/>
    <n v="250870.05"/>
    <x v="1"/>
    <x v="1"/>
    <x v="0"/>
    <n v="2"/>
    <x v="2"/>
    <x v="2"/>
    <x v="1"/>
    <s v="High"/>
    <x v="1"/>
  </r>
  <r>
    <x v="563"/>
    <s v="POL51604"/>
    <d v="2024-12-27T00:00:00"/>
    <n v="15195.21"/>
    <x v="2"/>
    <x v="3"/>
    <x v="1"/>
    <n v="54"/>
    <x v="1"/>
    <x v="2"/>
    <x v="0"/>
    <s v="Low"/>
    <x v="0"/>
  </r>
  <r>
    <x v="564"/>
    <s v="POL52176"/>
    <d v="2023-01-14T00:00:00"/>
    <n v="100676.14"/>
    <x v="2"/>
    <x v="0"/>
    <x v="0"/>
    <n v="23"/>
    <x v="8"/>
    <x v="3"/>
    <x v="3"/>
    <s v="Medium"/>
    <x v="1"/>
  </r>
  <r>
    <x v="565"/>
    <s v="POL52809"/>
    <d v="2024-04-26T00:00:00"/>
    <n v="62949.09"/>
    <x v="2"/>
    <x v="0"/>
    <x v="1"/>
    <n v="45"/>
    <x v="9"/>
    <x v="2"/>
    <x v="2"/>
    <s v="Low"/>
    <x v="0"/>
  </r>
  <r>
    <x v="566"/>
    <s v="POL52427"/>
    <d v="2022-11-07T00:00:00"/>
    <n v="310115.18"/>
    <x v="2"/>
    <x v="0"/>
    <x v="0"/>
    <n v="19"/>
    <x v="11"/>
    <x v="0"/>
    <x v="0"/>
    <s v="High"/>
    <x v="1"/>
  </r>
  <r>
    <x v="567"/>
    <s v="POL50499"/>
    <d v="2023-12-18T00:00:00"/>
    <n v="360929.83"/>
    <x v="1"/>
    <x v="3"/>
    <x v="1"/>
    <n v="12"/>
    <x v="1"/>
    <x v="3"/>
    <x v="0"/>
    <s v="High"/>
    <x v="1"/>
  </r>
  <r>
    <x v="568"/>
    <s v="POL53968"/>
    <d v="2022-04-19T00:00:00"/>
    <n v="441160.03"/>
    <x v="1"/>
    <x v="3"/>
    <x v="1"/>
    <n v="5"/>
    <x v="9"/>
    <x v="0"/>
    <x v="2"/>
    <s v="High"/>
    <x v="1"/>
  </r>
  <r>
    <x v="569"/>
    <s v="POL51585"/>
    <d v="2022-07-09T00:00:00"/>
    <n v="232780.06"/>
    <x v="0"/>
    <x v="2"/>
    <x v="0"/>
    <n v="41"/>
    <x v="2"/>
    <x v="0"/>
    <x v="1"/>
    <s v="High"/>
    <x v="0"/>
  </r>
  <r>
    <x v="570"/>
    <s v="POL50540"/>
    <d v="2024-08-05T00:00:00"/>
    <n v="409378.04"/>
    <x v="2"/>
    <x v="0"/>
    <x v="1"/>
    <n v="2"/>
    <x v="4"/>
    <x v="2"/>
    <x v="1"/>
    <s v="High"/>
    <x v="1"/>
  </r>
  <r>
    <x v="571"/>
    <s v="POL52343"/>
    <d v="2023-12-23T00:00:00"/>
    <n v="450128.24"/>
    <x v="0"/>
    <x v="0"/>
    <x v="0"/>
    <n v="6"/>
    <x v="1"/>
    <x v="3"/>
    <x v="0"/>
    <s v="High"/>
    <x v="1"/>
  </r>
  <r>
    <x v="572"/>
    <s v="POL50836"/>
    <d v="2023-01-29T00:00:00"/>
    <n v="475405.98"/>
    <x v="1"/>
    <x v="0"/>
    <x v="0"/>
    <n v="13"/>
    <x v="8"/>
    <x v="3"/>
    <x v="3"/>
    <s v="High"/>
    <x v="1"/>
  </r>
  <r>
    <x v="573"/>
    <s v="POL53201"/>
    <d v="2022-07-05T00:00:00"/>
    <n v="384696.16"/>
    <x v="2"/>
    <x v="3"/>
    <x v="0"/>
    <n v="45"/>
    <x v="2"/>
    <x v="0"/>
    <x v="1"/>
    <s v="High"/>
    <x v="0"/>
  </r>
  <r>
    <x v="574"/>
    <s v="POL53480"/>
    <d v="2023-05-18T00:00:00"/>
    <n v="126199.29"/>
    <x v="2"/>
    <x v="3"/>
    <x v="1"/>
    <n v="49"/>
    <x v="6"/>
    <x v="3"/>
    <x v="2"/>
    <s v="Medium"/>
    <x v="0"/>
  </r>
  <r>
    <x v="575"/>
    <s v="POL53270"/>
    <d v="2024-01-29T00:00:00"/>
    <n v="338160.11"/>
    <x v="1"/>
    <x v="4"/>
    <x v="1"/>
    <n v="21"/>
    <x v="8"/>
    <x v="2"/>
    <x v="3"/>
    <s v="High"/>
    <x v="1"/>
  </r>
  <r>
    <x v="576"/>
    <s v="POL50750"/>
    <d v="2021-11-22T00:00:00"/>
    <n v="198352.72"/>
    <x v="1"/>
    <x v="4"/>
    <x v="0"/>
    <n v="5"/>
    <x v="11"/>
    <x v="1"/>
    <x v="0"/>
    <s v="Medium"/>
    <x v="1"/>
  </r>
  <r>
    <x v="577"/>
    <s v="POL50635"/>
    <d v="2023-05-04T00:00:00"/>
    <n v="192458.68"/>
    <x v="1"/>
    <x v="4"/>
    <x v="1"/>
    <n v="23"/>
    <x v="6"/>
    <x v="3"/>
    <x v="2"/>
    <s v="Medium"/>
    <x v="1"/>
  </r>
  <r>
    <x v="578"/>
    <s v="POL52588"/>
    <d v="2023-04-10T00:00:00"/>
    <n v="36813.82"/>
    <x v="1"/>
    <x v="0"/>
    <x v="1"/>
    <n v="57"/>
    <x v="9"/>
    <x v="3"/>
    <x v="2"/>
    <s v="Low"/>
    <x v="0"/>
  </r>
  <r>
    <x v="579"/>
    <s v="POL51577"/>
    <d v="2024-08-06T00:00:00"/>
    <n v="193145.06"/>
    <x v="2"/>
    <x v="0"/>
    <x v="0"/>
    <n v="54"/>
    <x v="4"/>
    <x v="2"/>
    <x v="1"/>
    <s v="Medium"/>
    <x v="0"/>
  </r>
  <r>
    <x v="580"/>
    <s v="POL50977"/>
    <d v="2023-02-10T00:00:00"/>
    <n v="39003.769999999997"/>
    <x v="0"/>
    <x v="4"/>
    <x v="0"/>
    <n v="9"/>
    <x v="10"/>
    <x v="3"/>
    <x v="3"/>
    <s v="Low"/>
    <x v="1"/>
  </r>
  <r>
    <x v="581"/>
    <s v="POL51411"/>
    <d v="2025-02-15T00:00:00"/>
    <n v="313416.19"/>
    <x v="1"/>
    <x v="0"/>
    <x v="1"/>
    <n v="19"/>
    <x v="10"/>
    <x v="4"/>
    <x v="3"/>
    <s v="High"/>
    <x v="1"/>
  </r>
  <r>
    <x v="582"/>
    <s v="POL51574"/>
    <d v="2022-05-10T00:00:00"/>
    <n v="404407.15"/>
    <x v="1"/>
    <x v="0"/>
    <x v="1"/>
    <n v="4"/>
    <x v="6"/>
    <x v="0"/>
    <x v="2"/>
    <s v="High"/>
    <x v="1"/>
  </r>
  <r>
    <x v="583"/>
    <s v="POL53309"/>
    <d v="2025-01-23T00:00:00"/>
    <n v="372763.44"/>
    <x v="0"/>
    <x v="2"/>
    <x v="0"/>
    <n v="47"/>
    <x v="8"/>
    <x v="4"/>
    <x v="3"/>
    <s v="High"/>
    <x v="0"/>
  </r>
  <r>
    <x v="584"/>
    <s v="POL53940"/>
    <d v="2024-01-23T00:00:00"/>
    <n v="123261.36"/>
    <x v="2"/>
    <x v="3"/>
    <x v="1"/>
    <n v="55"/>
    <x v="8"/>
    <x v="2"/>
    <x v="3"/>
    <s v="Medium"/>
    <x v="0"/>
  </r>
  <r>
    <x v="585"/>
    <s v="POL53041"/>
    <d v="2024-09-03T00:00:00"/>
    <n v="444705.3"/>
    <x v="0"/>
    <x v="3"/>
    <x v="0"/>
    <n v="11"/>
    <x v="7"/>
    <x v="2"/>
    <x v="1"/>
    <s v="High"/>
    <x v="1"/>
  </r>
  <r>
    <x v="586"/>
    <s v="POL51566"/>
    <d v="2023-05-21T00:00:00"/>
    <n v="401119.97"/>
    <x v="2"/>
    <x v="0"/>
    <x v="0"/>
    <n v="37"/>
    <x v="6"/>
    <x v="3"/>
    <x v="2"/>
    <s v="High"/>
    <x v="0"/>
  </r>
  <r>
    <x v="587"/>
    <s v="POL52561"/>
    <d v="2022-01-21T00:00:00"/>
    <n v="111099.58"/>
    <x v="1"/>
    <x v="4"/>
    <x v="0"/>
    <n v="52"/>
    <x v="8"/>
    <x v="0"/>
    <x v="3"/>
    <s v="Medium"/>
    <x v="0"/>
  </r>
  <r>
    <x v="588"/>
    <s v="POL51010"/>
    <d v="2023-09-11T00:00:00"/>
    <n v="238275.65"/>
    <x v="2"/>
    <x v="4"/>
    <x v="0"/>
    <n v="8"/>
    <x v="7"/>
    <x v="3"/>
    <x v="1"/>
    <s v="High"/>
    <x v="1"/>
  </r>
  <r>
    <x v="589"/>
    <s v="POL53752"/>
    <d v="2023-06-03T00:00:00"/>
    <n v="348858.46"/>
    <x v="0"/>
    <x v="0"/>
    <x v="0"/>
    <n v="58"/>
    <x v="3"/>
    <x v="3"/>
    <x v="2"/>
    <s v="High"/>
    <x v="0"/>
  </r>
  <r>
    <x v="590"/>
    <s v="POL53792"/>
    <d v="2023-05-11T00:00:00"/>
    <n v="181932.73"/>
    <x v="1"/>
    <x v="1"/>
    <x v="0"/>
    <n v="35"/>
    <x v="6"/>
    <x v="3"/>
    <x v="2"/>
    <s v="Medium"/>
    <x v="0"/>
  </r>
  <r>
    <x v="591"/>
    <s v="POL50081"/>
    <d v="2024-03-14T00:00:00"/>
    <n v="352511.39"/>
    <x v="0"/>
    <x v="0"/>
    <x v="0"/>
    <n v="29"/>
    <x v="5"/>
    <x v="2"/>
    <x v="3"/>
    <s v="High"/>
    <x v="1"/>
  </r>
  <r>
    <x v="592"/>
    <s v="POL50325"/>
    <d v="2024-04-06T00:00:00"/>
    <n v="495942.35"/>
    <x v="2"/>
    <x v="0"/>
    <x v="1"/>
    <n v="37"/>
    <x v="9"/>
    <x v="2"/>
    <x v="2"/>
    <s v="High"/>
    <x v="0"/>
  </r>
  <r>
    <x v="593"/>
    <s v="POL50200"/>
    <d v="2024-06-28T00:00:00"/>
    <n v="431774.34"/>
    <x v="1"/>
    <x v="3"/>
    <x v="1"/>
    <n v="11"/>
    <x v="3"/>
    <x v="2"/>
    <x v="2"/>
    <s v="High"/>
    <x v="1"/>
  </r>
  <r>
    <x v="594"/>
    <s v="POL52881"/>
    <d v="2023-10-08T00:00:00"/>
    <n v="388944.5"/>
    <x v="1"/>
    <x v="1"/>
    <x v="1"/>
    <n v="30"/>
    <x v="0"/>
    <x v="3"/>
    <x v="0"/>
    <s v="High"/>
    <x v="1"/>
  </r>
  <r>
    <x v="595"/>
    <s v="POL53705"/>
    <d v="2020-12-13T00:00:00"/>
    <n v="198077.76"/>
    <x v="1"/>
    <x v="3"/>
    <x v="1"/>
    <n v="48"/>
    <x v="1"/>
    <x v="5"/>
    <x v="0"/>
    <s v="Medium"/>
    <x v="0"/>
  </r>
  <r>
    <x v="596"/>
    <s v="POL50872"/>
    <d v="2025-01-18T00:00:00"/>
    <n v="259848.99"/>
    <x v="1"/>
    <x v="3"/>
    <x v="0"/>
    <n v="34"/>
    <x v="8"/>
    <x v="4"/>
    <x v="3"/>
    <s v="High"/>
    <x v="0"/>
  </r>
  <r>
    <x v="597"/>
    <s v="POL53391"/>
    <d v="2022-07-27T00:00:00"/>
    <n v="121182.15"/>
    <x v="2"/>
    <x v="3"/>
    <x v="1"/>
    <n v="31"/>
    <x v="2"/>
    <x v="0"/>
    <x v="1"/>
    <s v="Medium"/>
    <x v="0"/>
  </r>
  <r>
    <x v="598"/>
    <s v="POL51762"/>
    <d v="2023-01-12T00:00:00"/>
    <n v="436990.75"/>
    <x v="1"/>
    <x v="4"/>
    <x v="0"/>
    <n v="10"/>
    <x v="8"/>
    <x v="3"/>
    <x v="3"/>
    <s v="High"/>
    <x v="1"/>
  </r>
  <r>
    <x v="599"/>
    <s v="POL52555"/>
    <d v="2023-10-05T00:00:00"/>
    <n v="405906.8"/>
    <x v="1"/>
    <x v="3"/>
    <x v="0"/>
    <n v="59"/>
    <x v="0"/>
    <x v="3"/>
    <x v="0"/>
    <s v="High"/>
    <x v="0"/>
  </r>
  <r>
    <x v="600"/>
    <s v="POL50996"/>
    <d v="2024-09-14T00:00:00"/>
    <n v="462208.67"/>
    <x v="2"/>
    <x v="0"/>
    <x v="1"/>
    <n v="3"/>
    <x v="7"/>
    <x v="2"/>
    <x v="1"/>
    <s v="High"/>
    <x v="1"/>
  </r>
  <r>
    <x v="601"/>
    <s v="POL51686"/>
    <d v="2023-05-20T00:00:00"/>
    <n v="170320.27"/>
    <x v="0"/>
    <x v="1"/>
    <x v="1"/>
    <n v="50"/>
    <x v="6"/>
    <x v="3"/>
    <x v="2"/>
    <s v="Medium"/>
    <x v="0"/>
  </r>
  <r>
    <x v="602"/>
    <s v="POL52073"/>
    <d v="2024-04-01T00:00:00"/>
    <n v="392599.76"/>
    <x v="2"/>
    <x v="2"/>
    <x v="1"/>
    <n v="29"/>
    <x v="9"/>
    <x v="2"/>
    <x v="2"/>
    <s v="High"/>
    <x v="1"/>
  </r>
  <r>
    <x v="603"/>
    <s v="POL52763"/>
    <d v="2025-01-30T00:00:00"/>
    <n v="401446.41"/>
    <x v="2"/>
    <x v="2"/>
    <x v="0"/>
    <n v="29"/>
    <x v="8"/>
    <x v="4"/>
    <x v="3"/>
    <s v="High"/>
    <x v="1"/>
  </r>
  <r>
    <x v="604"/>
    <s v="POL52179"/>
    <d v="2023-06-18T00:00:00"/>
    <n v="105864.36"/>
    <x v="2"/>
    <x v="0"/>
    <x v="1"/>
    <n v="39"/>
    <x v="3"/>
    <x v="3"/>
    <x v="2"/>
    <s v="Medium"/>
    <x v="0"/>
  </r>
  <r>
    <x v="605"/>
    <s v="POL53886"/>
    <d v="2023-11-22T00:00:00"/>
    <n v="214399.2"/>
    <x v="2"/>
    <x v="2"/>
    <x v="0"/>
    <n v="40"/>
    <x v="11"/>
    <x v="3"/>
    <x v="0"/>
    <s v="High"/>
    <x v="0"/>
  </r>
  <r>
    <x v="606"/>
    <s v="POL51403"/>
    <d v="2024-01-25T00:00:00"/>
    <n v="231364.2"/>
    <x v="1"/>
    <x v="4"/>
    <x v="1"/>
    <n v="27"/>
    <x v="8"/>
    <x v="2"/>
    <x v="3"/>
    <s v="High"/>
    <x v="1"/>
  </r>
  <r>
    <x v="607"/>
    <s v="POL53249"/>
    <d v="2024-05-04T00:00:00"/>
    <n v="43954.91"/>
    <x v="2"/>
    <x v="3"/>
    <x v="0"/>
    <n v="41"/>
    <x v="6"/>
    <x v="2"/>
    <x v="2"/>
    <s v="Low"/>
    <x v="0"/>
  </r>
  <r>
    <x v="608"/>
    <s v="POL53356"/>
    <d v="2021-10-06T00:00:00"/>
    <n v="226307.39"/>
    <x v="2"/>
    <x v="0"/>
    <x v="1"/>
    <n v="35"/>
    <x v="0"/>
    <x v="1"/>
    <x v="0"/>
    <s v="High"/>
    <x v="0"/>
  </r>
  <r>
    <x v="609"/>
    <s v="POL51218"/>
    <d v="2022-04-01T00:00:00"/>
    <n v="294584.23"/>
    <x v="1"/>
    <x v="3"/>
    <x v="1"/>
    <n v="40"/>
    <x v="9"/>
    <x v="0"/>
    <x v="2"/>
    <s v="High"/>
    <x v="0"/>
  </r>
  <r>
    <x v="610"/>
    <s v="POL53908"/>
    <d v="2021-03-26T00:00:00"/>
    <n v="317523.13"/>
    <x v="2"/>
    <x v="3"/>
    <x v="1"/>
    <n v="41"/>
    <x v="5"/>
    <x v="1"/>
    <x v="3"/>
    <s v="High"/>
    <x v="0"/>
  </r>
  <r>
    <x v="611"/>
    <s v="POL50797"/>
    <d v="2024-05-08T00:00:00"/>
    <n v="466912.42"/>
    <x v="1"/>
    <x v="3"/>
    <x v="0"/>
    <n v="9"/>
    <x v="6"/>
    <x v="2"/>
    <x v="2"/>
    <s v="High"/>
    <x v="1"/>
  </r>
  <r>
    <x v="612"/>
    <s v="POL50830"/>
    <d v="2022-08-03T00:00:00"/>
    <n v="100298.08"/>
    <x v="0"/>
    <x v="4"/>
    <x v="0"/>
    <n v="39"/>
    <x v="4"/>
    <x v="0"/>
    <x v="1"/>
    <s v="Medium"/>
    <x v="0"/>
  </r>
  <r>
    <x v="613"/>
    <s v="POL51565"/>
    <d v="2022-03-18T00:00:00"/>
    <n v="95172.6"/>
    <x v="2"/>
    <x v="4"/>
    <x v="1"/>
    <n v="41"/>
    <x v="5"/>
    <x v="0"/>
    <x v="3"/>
    <s v="Low"/>
    <x v="0"/>
  </r>
  <r>
    <x v="614"/>
    <s v="POL52456"/>
    <d v="2024-04-26T00:00:00"/>
    <n v="75085.679999999993"/>
    <x v="0"/>
    <x v="4"/>
    <x v="1"/>
    <n v="16"/>
    <x v="9"/>
    <x v="2"/>
    <x v="2"/>
    <s v="Low"/>
    <x v="1"/>
  </r>
  <r>
    <x v="615"/>
    <s v="POL53869"/>
    <d v="2024-02-06T00:00:00"/>
    <n v="295605.88"/>
    <x v="1"/>
    <x v="0"/>
    <x v="1"/>
    <n v="53"/>
    <x v="10"/>
    <x v="2"/>
    <x v="3"/>
    <s v="High"/>
    <x v="0"/>
  </r>
  <r>
    <x v="616"/>
    <s v="POL50801"/>
    <d v="2024-02-05T00:00:00"/>
    <n v="392667.58"/>
    <x v="1"/>
    <x v="2"/>
    <x v="0"/>
    <n v="54"/>
    <x v="10"/>
    <x v="2"/>
    <x v="3"/>
    <s v="High"/>
    <x v="0"/>
  </r>
  <r>
    <x v="617"/>
    <s v="POL51895"/>
    <d v="2024-03-05T00:00:00"/>
    <n v="484154.11"/>
    <x v="0"/>
    <x v="1"/>
    <x v="0"/>
    <n v="57"/>
    <x v="5"/>
    <x v="2"/>
    <x v="3"/>
    <s v="High"/>
    <x v="0"/>
  </r>
  <r>
    <x v="618"/>
    <s v="POL51710"/>
    <d v="2024-01-24T00:00:00"/>
    <n v="297579.31"/>
    <x v="0"/>
    <x v="0"/>
    <x v="0"/>
    <n v="23"/>
    <x v="8"/>
    <x v="2"/>
    <x v="3"/>
    <s v="High"/>
    <x v="1"/>
  </r>
  <r>
    <x v="619"/>
    <s v="POL51573"/>
    <d v="2024-08-21T00:00:00"/>
    <n v="18945.71"/>
    <x v="2"/>
    <x v="4"/>
    <x v="1"/>
    <n v="29"/>
    <x v="4"/>
    <x v="2"/>
    <x v="1"/>
    <s v="Low"/>
    <x v="1"/>
  </r>
  <r>
    <x v="620"/>
    <s v="POL53671"/>
    <d v="2023-12-09T00:00:00"/>
    <n v="297545.99"/>
    <x v="2"/>
    <x v="4"/>
    <x v="0"/>
    <n v="56"/>
    <x v="1"/>
    <x v="3"/>
    <x v="0"/>
    <s v="High"/>
    <x v="0"/>
  </r>
  <r>
    <x v="621"/>
    <s v="POL50831"/>
    <d v="2022-04-13T00:00:00"/>
    <n v="159646.66"/>
    <x v="0"/>
    <x v="2"/>
    <x v="1"/>
    <n v="13"/>
    <x v="9"/>
    <x v="0"/>
    <x v="2"/>
    <s v="Medium"/>
    <x v="1"/>
  </r>
  <r>
    <x v="622"/>
    <s v="POL50908"/>
    <d v="2023-08-05T00:00:00"/>
    <n v="107215.57"/>
    <x v="1"/>
    <x v="4"/>
    <x v="1"/>
    <n v="38"/>
    <x v="4"/>
    <x v="3"/>
    <x v="1"/>
    <s v="Medium"/>
    <x v="0"/>
  </r>
  <r>
    <x v="623"/>
    <s v="POL50740"/>
    <d v="2024-07-16T00:00:00"/>
    <n v="109793.3"/>
    <x v="1"/>
    <x v="0"/>
    <x v="0"/>
    <n v="25"/>
    <x v="2"/>
    <x v="2"/>
    <x v="1"/>
    <s v="Medium"/>
    <x v="1"/>
  </r>
  <r>
    <x v="624"/>
    <s v="POL51175"/>
    <d v="2024-06-25T00:00:00"/>
    <n v="386387.63"/>
    <x v="0"/>
    <x v="1"/>
    <x v="0"/>
    <n v="51"/>
    <x v="3"/>
    <x v="2"/>
    <x v="2"/>
    <s v="High"/>
    <x v="0"/>
  </r>
  <r>
    <x v="625"/>
    <s v="POL51696"/>
    <d v="2024-08-25T00:00:00"/>
    <n v="270465"/>
    <x v="1"/>
    <x v="4"/>
    <x v="0"/>
    <n v="56"/>
    <x v="4"/>
    <x v="2"/>
    <x v="1"/>
    <s v="High"/>
    <x v="0"/>
  </r>
  <r>
    <x v="626"/>
    <s v="POL51089"/>
    <d v="2025-01-01T00:00:00"/>
    <n v="498748.22"/>
    <x v="2"/>
    <x v="1"/>
    <x v="0"/>
    <n v="50"/>
    <x v="8"/>
    <x v="4"/>
    <x v="3"/>
    <s v="High"/>
    <x v="0"/>
  </r>
  <r>
    <x v="627"/>
    <s v="POL52058"/>
    <d v="2023-05-14T00:00:00"/>
    <n v="167934.13"/>
    <x v="0"/>
    <x v="0"/>
    <x v="1"/>
    <n v="32"/>
    <x v="6"/>
    <x v="3"/>
    <x v="2"/>
    <s v="Medium"/>
    <x v="0"/>
  </r>
  <r>
    <x v="628"/>
    <s v="POL52737"/>
    <d v="2022-11-09T00:00:00"/>
    <n v="44116.87"/>
    <x v="1"/>
    <x v="4"/>
    <x v="0"/>
    <n v="48"/>
    <x v="11"/>
    <x v="0"/>
    <x v="0"/>
    <s v="Low"/>
    <x v="0"/>
  </r>
  <r>
    <x v="629"/>
    <s v="POL50626"/>
    <d v="2023-04-04T00:00:00"/>
    <n v="451820.07"/>
    <x v="0"/>
    <x v="0"/>
    <x v="1"/>
    <n v="52"/>
    <x v="9"/>
    <x v="3"/>
    <x v="2"/>
    <s v="High"/>
    <x v="0"/>
  </r>
  <r>
    <x v="630"/>
    <s v="POL50060"/>
    <d v="2022-06-01T00:00:00"/>
    <n v="277690.40000000002"/>
    <x v="0"/>
    <x v="0"/>
    <x v="0"/>
    <n v="19"/>
    <x v="3"/>
    <x v="0"/>
    <x v="2"/>
    <s v="High"/>
    <x v="1"/>
  </r>
  <r>
    <x v="631"/>
    <s v="POL51216"/>
    <d v="2021-11-20T00:00:00"/>
    <n v="273066.11"/>
    <x v="0"/>
    <x v="2"/>
    <x v="1"/>
    <n v="20"/>
    <x v="11"/>
    <x v="1"/>
    <x v="0"/>
    <s v="High"/>
    <x v="1"/>
  </r>
  <r>
    <x v="632"/>
    <s v="POL51809"/>
    <d v="2022-05-04T00:00:00"/>
    <n v="260048.9"/>
    <x v="1"/>
    <x v="2"/>
    <x v="1"/>
    <n v="35"/>
    <x v="6"/>
    <x v="0"/>
    <x v="2"/>
    <s v="High"/>
    <x v="0"/>
  </r>
  <r>
    <x v="633"/>
    <s v="POL50386"/>
    <d v="2023-05-10T00:00:00"/>
    <n v="220719.21"/>
    <x v="1"/>
    <x v="3"/>
    <x v="1"/>
    <n v="15"/>
    <x v="6"/>
    <x v="3"/>
    <x v="2"/>
    <s v="High"/>
    <x v="1"/>
  </r>
  <r>
    <x v="634"/>
    <s v="POL51660"/>
    <d v="2023-11-16T00:00:00"/>
    <n v="278234.56"/>
    <x v="1"/>
    <x v="4"/>
    <x v="0"/>
    <n v="26"/>
    <x v="11"/>
    <x v="3"/>
    <x v="0"/>
    <s v="High"/>
    <x v="1"/>
  </r>
  <r>
    <x v="635"/>
    <s v="POL53339"/>
    <d v="2023-10-24T00:00:00"/>
    <n v="465176.73"/>
    <x v="1"/>
    <x v="3"/>
    <x v="1"/>
    <n v="14"/>
    <x v="0"/>
    <x v="3"/>
    <x v="0"/>
    <s v="High"/>
    <x v="1"/>
  </r>
  <r>
    <x v="636"/>
    <s v="POL50401"/>
    <d v="2024-07-29T00:00:00"/>
    <n v="203537.55"/>
    <x v="2"/>
    <x v="4"/>
    <x v="0"/>
    <n v="22"/>
    <x v="2"/>
    <x v="2"/>
    <x v="1"/>
    <s v="High"/>
    <x v="1"/>
  </r>
  <r>
    <x v="637"/>
    <s v="POL51792"/>
    <d v="2022-09-15T00:00:00"/>
    <n v="458726.37"/>
    <x v="1"/>
    <x v="2"/>
    <x v="0"/>
    <n v="20"/>
    <x v="7"/>
    <x v="0"/>
    <x v="1"/>
    <s v="High"/>
    <x v="1"/>
  </r>
  <r>
    <x v="638"/>
    <s v="POL50640"/>
    <d v="2023-02-12T00:00:00"/>
    <n v="165337.81"/>
    <x v="0"/>
    <x v="2"/>
    <x v="0"/>
    <n v="28"/>
    <x v="10"/>
    <x v="3"/>
    <x v="3"/>
    <s v="Medium"/>
    <x v="1"/>
  </r>
  <r>
    <x v="639"/>
    <s v="POL52075"/>
    <d v="2023-02-24T00:00:00"/>
    <n v="139371.9"/>
    <x v="2"/>
    <x v="2"/>
    <x v="0"/>
    <n v="16"/>
    <x v="10"/>
    <x v="3"/>
    <x v="3"/>
    <s v="Medium"/>
    <x v="1"/>
  </r>
  <r>
    <x v="640"/>
    <s v="POL51860"/>
    <d v="2021-11-21T00:00:00"/>
    <n v="246388.75"/>
    <x v="1"/>
    <x v="2"/>
    <x v="1"/>
    <n v="53"/>
    <x v="11"/>
    <x v="1"/>
    <x v="0"/>
    <s v="High"/>
    <x v="0"/>
  </r>
  <r>
    <x v="641"/>
    <s v="POL53800"/>
    <d v="2021-12-21T00:00:00"/>
    <n v="434997.73"/>
    <x v="2"/>
    <x v="3"/>
    <x v="1"/>
    <n v="2"/>
    <x v="1"/>
    <x v="1"/>
    <x v="0"/>
    <s v="High"/>
    <x v="1"/>
  </r>
  <r>
    <x v="642"/>
    <s v="POL50704"/>
    <d v="2023-04-16T00:00:00"/>
    <n v="321776.40000000002"/>
    <x v="1"/>
    <x v="2"/>
    <x v="1"/>
    <n v="42"/>
    <x v="9"/>
    <x v="3"/>
    <x v="2"/>
    <s v="High"/>
    <x v="0"/>
  </r>
  <r>
    <x v="643"/>
    <s v="POL50941"/>
    <d v="2022-09-23T00:00:00"/>
    <n v="72444.95"/>
    <x v="1"/>
    <x v="1"/>
    <x v="0"/>
    <n v="2"/>
    <x v="7"/>
    <x v="0"/>
    <x v="1"/>
    <s v="Low"/>
    <x v="1"/>
  </r>
  <r>
    <x v="644"/>
    <s v="POL50140"/>
    <d v="2024-11-28T00:00:00"/>
    <n v="86625.52"/>
    <x v="0"/>
    <x v="3"/>
    <x v="0"/>
    <n v="23"/>
    <x v="11"/>
    <x v="2"/>
    <x v="0"/>
    <s v="Low"/>
    <x v="1"/>
  </r>
  <r>
    <x v="645"/>
    <s v="POL52077"/>
    <d v="2024-05-13T00:00:00"/>
    <n v="268157.78000000003"/>
    <x v="2"/>
    <x v="2"/>
    <x v="1"/>
    <n v="54"/>
    <x v="6"/>
    <x v="2"/>
    <x v="2"/>
    <s v="High"/>
    <x v="0"/>
  </r>
  <r>
    <x v="646"/>
    <s v="POL50219"/>
    <d v="2022-10-03T00:00:00"/>
    <n v="265189.88"/>
    <x v="1"/>
    <x v="2"/>
    <x v="1"/>
    <n v="10"/>
    <x v="0"/>
    <x v="0"/>
    <x v="0"/>
    <s v="High"/>
    <x v="1"/>
  </r>
  <r>
    <x v="647"/>
    <s v="POL53376"/>
    <d v="2023-02-26T00:00:00"/>
    <n v="184914.62"/>
    <x v="0"/>
    <x v="1"/>
    <x v="1"/>
    <n v="54"/>
    <x v="10"/>
    <x v="3"/>
    <x v="3"/>
    <s v="Medium"/>
    <x v="0"/>
  </r>
  <r>
    <x v="648"/>
    <s v="POL50109"/>
    <d v="2023-07-31T00:00:00"/>
    <n v="49825.79"/>
    <x v="1"/>
    <x v="0"/>
    <x v="1"/>
    <n v="20"/>
    <x v="2"/>
    <x v="3"/>
    <x v="1"/>
    <s v="Low"/>
    <x v="1"/>
  </r>
  <r>
    <x v="649"/>
    <s v="POL53486"/>
    <d v="2022-12-08T00:00:00"/>
    <n v="462778.77"/>
    <x v="1"/>
    <x v="0"/>
    <x v="0"/>
    <n v="52"/>
    <x v="1"/>
    <x v="0"/>
    <x v="0"/>
    <s v="High"/>
    <x v="0"/>
  </r>
  <r>
    <x v="650"/>
    <s v="POL50952"/>
    <d v="2022-08-31T00:00:00"/>
    <n v="264121.57"/>
    <x v="2"/>
    <x v="2"/>
    <x v="1"/>
    <n v="5"/>
    <x v="4"/>
    <x v="0"/>
    <x v="1"/>
    <s v="High"/>
    <x v="1"/>
  </r>
  <r>
    <x v="651"/>
    <s v="POL51656"/>
    <d v="2024-03-04T00:00:00"/>
    <n v="447669.65"/>
    <x v="1"/>
    <x v="3"/>
    <x v="0"/>
    <n v="57"/>
    <x v="5"/>
    <x v="2"/>
    <x v="3"/>
    <s v="High"/>
    <x v="0"/>
  </r>
  <r>
    <x v="652"/>
    <s v="POL53855"/>
    <d v="2022-06-28T00:00:00"/>
    <n v="179713.16"/>
    <x v="1"/>
    <x v="1"/>
    <x v="1"/>
    <n v="49"/>
    <x v="3"/>
    <x v="0"/>
    <x v="2"/>
    <s v="Medium"/>
    <x v="0"/>
  </r>
  <r>
    <x v="653"/>
    <s v="POL52070"/>
    <d v="2024-09-07T00:00:00"/>
    <n v="324825.77"/>
    <x v="1"/>
    <x v="4"/>
    <x v="1"/>
    <n v="52"/>
    <x v="7"/>
    <x v="2"/>
    <x v="1"/>
    <s v="High"/>
    <x v="0"/>
  </r>
  <r>
    <x v="654"/>
    <s v="POL51239"/>
    <d v="2021-01-21T00:00:00"/>
    <n v="64301.9"/>
    <x v="1"/>
    <x v="0"/>
    <x v="1"/>
    <n v="49"/>
    <x v="8"/>
    <x v="1"/>
    <x v="3"/>
    <s v="Low"/>
    <x v="0"/>
  </r>
  <r>
    <x v="655"/>
    <s v="POL51356"/>
    <d v="2024-05-05T00:00:00"/>
    <n v="193337.9"/>
    <x v="1"/>
    <x v="4"/>
    <x v="0"/>
    <n v="53"/>
    <x v="6"/>
    <x v="2"/>
    <x v="2"/>
    <s v="Medium"/>
    <x v="0"/>
  </r>
  <r>
    <x v="656"/>
    <s v="POL50635"/>
    <d v="2023-11-02T00:00:00"/>
    <n v="206109.17"/>
    <x v="1"/>
    <x v="0"/>
    <x v="1"/>
    <n v="38"/>
    <x v="11"/>
    <x v="3"/>
    <x v="0"/>
    <s v="High"/>
    <x v="0"/>
  </r>
  <r>
    <x v="657"/>
    <s v="POL51732"/>
    <d v="2022-10-22T00:00:00"/>
    <n v="287410.67"/>
    <x v="0"/>
    <x v="2"/>
    <x v="1"/>
    <n v="57"/>
    <x v="0"/>
    <x v="0"/>
    <x v="0"/>
    <s v="High"/>
    <x v="0"/>
  </r>
  <r>
    <x v="658"/>
    <s v="POL52797"/>
    <d v="2023-11-18T00:00:00"/>
    <n v="167720.25"/>
    <x v="1"/>
    <x v="0"/>
    <x v="1"/>
    <n v="21"/>
    <x v="11"/>
    <x v="3"/>
    <x v="0"/>
    <s v="Medium"/>
    <x v="1"/>
  </r>
  <r>
    <x v="659"/>
    <s v="POL50372"/>
    <d v="2024-05-05T00:00:00"/>
    <n v="386486.86"/>
    <x v="1"/>
    <x v="4"/>
    <x v="0"/>
    <n v="26"/>
    <x v="6"/>
    <x v="2"/>
    <x v="2"/>
    <s v="High"/>
    <x v="1"/>
  </r>
  <r>
    <x v="660"/>
    <s v="POL53753"/>
    <d v="2024-12-19T00:00:00"/>
    <n v="461748.87"/>
    <x v="1"/>
    <x v="4"/>
    <x v="0"/>
    <n v="13"/>
    <x v="1"/>
    <x v="2"/>
    <x v="0"/>
    <s v="High"/>
    <x v="1"/>
  </r>
  <r>
    <x v="661"/>
    <s v="POL50935"/>
    <d v="2024-09-09T00:00:00"/>
    <n v="127506.05"/>
    <x v="0"/>
    <x v="3"/>
    <x v="0"/>
    <n v="8"/>
    <x v="7"/>
    <x v="2"/>
    <x v="1"/>
    <s v="Medium"/>
    <x v="1"/>
  </r>
  <r>
    <x v="662"/>
    <s v="POL51946"/>
    <d v="2023-01-13T00:00:00"/>
    <n v="104690.04"/>
    <x v="2"/>
    <x v="4"/>
    <x v="0"/>
    <n v="3"/>
    <x v="8"/>
    <x v="3"/>
    <x v="3"/>
    <s v="Medium"/>
    <x v="1"/>
  </r>
  <r>
    <x v="663"/>
    <s v="POL51337"/>
    <d v="2022-01-30T00:00:00"/>
    <n v="90820.2"/>
    <x v="2"/>
    <x v="4"/>
    <x v="1"/>
    <n v="36"/>
    <x v="8"/>
    <x v="0"/>
    <x v="3"/>
    <s v="Low"/>
    <x v="0"/>
  </r>
  <r>
    <x v="664"/>
    <s v="POL53605"/>
    <d v="2024-08-16T00:00:00"/>
    <n v="100467.14"/>
    <x v="1"/>
    <x v="0"/>
    <x v="1"/>
    <n v="37"/>
    <x v="4"/>
    <x v="2"/>
    <x v="1"/>
    <s v="Medium"/>
    <x v="0"/>
  </r>
  <r>
    <x v="665"/>
    <s v="POL51950"/>
    <d v="2023-05-08T00:00:00"/>
    <n v="372766.05"/>
    <x v="0"/>
    <x v="3"/>
    <x v="0"/>
    <n v="8"/>
    <x v="6"/>
    <x v="3"/>
    <x v="2"/>
    <s v="High"/>
    <x v="1"/>
  </r>
  <r>
    <x v="666"/>
    <s v="POL53035"/>
    <d v="2023-04-26T00:00:00"/>
    <n v="335982.3"/>
    <x v="0"/>
    <x v="0"/>
    <x v="1"/>
    <n v="30"/>
    <x v="9"/>
    <x v="3"/>
    <x v="2"/>
    <s v="High"/>
    <x v="1"/>
  </r>
  <r>
    <x v="667"/>
    <s v="POL50626"/>
    <d v="2022-11-27T00:00:00"/>
    <n v="329502.63"/>
    <x v="0"/>
    <x v="2"/>
    <x v="0"/>
    <n v="33"/>
    <x v="11"/>
    <x v="0"/>
    <x v="0"/>
    <s v="High"/>
    <x v="0"/>
  </r>
  <r>
    <x v="668"/>
    <s v="POL53167"/>
    <d v="2023-12-16T00:00:00"/>
    <n v="125164.73"/>
    <x v="2"/>
    <x v="2"/>
    <x v="0"/>
    <n v="31"/>
    <x v="1"/>
    <x v="3"/>
    <x v="0"/>
    <s v="Medium"/>
    <x v="0"/>
  </r>
  <r>
    <x v="669"/>
    <s v="POL52761"/>
    <d v="2023-09-10T00:00:00"/>
    <n v="70927.25"/>
    <x v="0"/>
    <x v="1"/>
    <x v="1"/>
    <n v="39"/>
    <x v="7"/>
    <x v="3"/>
    <x v="1"/>
    <s v="Low"/>
    <x v="0"/>
  </r>
  <r>
    <x v="670"/>
    <s v="POL52044"/>
    <d v="2023-08-08T00:00:00"/>
    <n v="69499.59"/>
    <x v="0"/>
    <x v="1"/>
    <x v="0"/>
    <n v="19"/>
    <x v="4"/>
    <x v="3"/>
    <x v="1"/>
    <s v="Low"/>
    <x v="1"/>
  </r>
  <r>
    <x v="671"/>
    <s v="POL51779"/>
    <d v="2023-06-24T00:00:00"/>
    <n v="271541.07"/>
    <x v="0"/>
    <x v="2"/>
    <x v="0"/>
    <n v="50"/>
    <x v="3"/>
    <x v="3"/>
    <x v="2"/>
    <s v="High"/>
    <x v="0"/>
  </r>
  <r>
    <x v="672"/>
    <s v="POL50464"/>
    <d v="2024-04-01T00:00:00"/>
    <n v="418662.56"/>
    <x v="1"/>
    <x v="2"/>
    <x v="1"/>
    <n v="33"/>
    <x v="9"/>
    <x v="2"/>
    <x v="2"/>
    <s v="High"/>
    <x v="0"/>
  </r>
  <r>
    <x v="673"/>
    <s v="POL53003"/>
    <d v="2024-04-11T00:00:00"/>
    <n v="235717.87"/>
    <x v="1"/>
    <x v="3"/>
    <x v="1"/>
    <n v="26"/>
    <x v="9"/>
    <x v="2"/>
    <x v="2"/>
    <s v="High"/>
    <x v="1"/>
  </r>
  <r>
    <x v="674"/>
    <s v="POL52970"/>
    <d v="2024-04-20T00:00:00"/>
    <n v="305888.05"/>
    <x v="0"/>
    <x v="4"/>
    <x v="1"/>
    <n v="36"/>
    <x v="9"/>
    <x v="2"/>
    <x v="2"/>
    <s v="High"/>
    <x v="0"/>
  </r>
  <r>
    <x v="675"/>
    <s v="POL51183"/>
    <d v="2020-11-20T00:00:00"/>
    <n v="418509.83"/>
    <x v="1"/>
    <x v="2"/>
    <x v="1"/>
    <n v="6"/>
    <x v="11"/>
    <x v="5"/>
    <x v="0"/>
    <s v="High"/>
    <x v="1"/>
  </r>
  <r>
    <x v="676"/>
    <s v="POL52469"/>
    <d v="2024-10-17T00:00:00"/>
    <n v="272938.82"/>
    <x v="1"/>
    <x v="4"/>
    <x v="0"/>
    <n v="42"/>
    <x v="0"/>
    <x v="2"/>
    <x v="0"/>
    <s v="High"/>
    <x v="0"/>
  </r>
  <r>
    <x v="677"/>
    <s v="POL50684"/>
    <d v="2023-01-04T00:00:00"/>
    <n v="186002.98"/>
    <x v="0"/>
    <x v="3"/>
    <x v="0"/>
    <n v="3"/>
    <x v="8"/>
    <x v="3"/>
    <x v="3"/>
    <s v="Medium"/>
    <x v="1"/>
  </r>
  <r>
    <x v="678"/>
    <s v="POL53535"/>
    <d v="2022-03-18T00:00:00"/>
    <n v="208190.28"/>
    <x v="2"/>
    <x v="2"/>
    <x v="0"/>
    <n v="40"/>
    <x v="5"/>
    <x v="0"/>
    <x v="3"/>
    <s v="High"/>
    <x v="0"/>
  </r>
  <r>
    <x v="679"/>
    <s v="POL50346"/>
    <d v="2024-07-24T00:00:00"/>
    <n v="280924.12"/>
    <x v="0"/>
    <x v="4"/>
    <x v="1"/>
    <n v="49"/>
    <x v="2"/>
    <x v="2"/>
    <x v="1"/>
    <s v="High"/>
    <x v="0"/>
  </r>
  <r>
    <x v="680"/>
    <s v="POL53987"/>
    <d v="2024-03-19T00:00:00"/>
    <n v="186652.35"/>
    <x v="0"/>
    <x v="4"/>
    <x v="0"/>
    <n v="42"/>
    <x v="5"/>
    <x v="2"/>
    <x v="3"/>
    <s v="Medium"/>
    <x v="0"/>
  </r>
  <r>
    <x v="681"/>
    <s v="POL52584"/>
    <d v="2022-07-28T00:00:00"/>
    <n v="455129.9"/>
    <x v="2"/>
    <x v="1"/>
    <x v="0"/>
    <n v="15"/>
    <x v="2"/>
    <x v="0"/>
    <x v="1"/>
    <s v="High"/>
    <x v="1"/>
  </r>
  <r>
    <x v="682"/>
    <s v="POL53433"/>
    <d v="2023-03-11T00:00:00"/>
    <n v="480528.32"/>
    <x v="1"/>
    <x v="3"/>
    <x v="0"/>
    <n v="57"/>
    <x v="5"/>
    <x v="3"/>
    <x v="3"/>
    <s v="High"/>
    <x v="0"/>
  </r>
  <r>
    <x v="683"/>
    <s v="POL50143"/>
    <d v="2022-11-15T00:00:00"/>
    <n v="383803.62"/>
    <x v="0"/>
    <x v="2"/>
    <x v="1"/>
    <n v="38"/>
    <x v="11"/>
    <x v="0"/>
    <x v="0"/>
    <s v="High"/>
    <x v="0"/>
  </r>
  <r>
    <x v="684"/>
    <s v="POL53486"/>
    <d v="2022-08-10T00:00:00"/>
    <n v="19931.48"/>
    <x v="2"/>
    <x v="3"/>
    <x v="1"/>
    <n v="13"/>
    <x v="4"/>
    <x v="0"/>
    <x v="1"/>
    <s v="Low"/>
    <x v="1"/>
  </r>
  <r>
    <x v="685"/>
    <s v="POL50310"/>
    <d v="2024-02-29T00:00:00"/>
    <n v="142174.96"/>
    <x v="1"/>
    <x v="4"/>
    <x v="1"/>
    <n v="35"/>
    <x v="10"/>
    <x v="2"/>
    <x v="3"/>
    <s v="Medium"/>
    <x v="0"/>
  </r>
  <r>
    <x v="686"/>
    <s v="POL53078"/>
    <d v="2024-01-06T00:00:00"/>
    <n v="280838.71999999997"/>
    <x v="2"/>
    <x v="3"/>
    <x v="1"/>
    <n v="57"/>
    <x v="8"/>
    <x v="2"/>
    <x v="3"/>
    <s v="High"/>
    <x v="0"/>
  </r>
  <r>
    <x v="687"/>
    <s v="POL51865"/>
    <d v="2024-08-10T00:00:00"/>
    <n v="12541.81"/>
    <x v="1"/>
    <x v="4"/>
    <x v="1"/>
    <n v="56"/>
    <x v="4"/>
    <x v="2"/>
    <x v="1"/>
    <s v="Low"/>
    <x v="0"/>
  </r>
  <r>
    <x v="688"/>
    <s v="POL51190"/>
    <d v="2024-10-27T00:00:00"/>
    <n v="411950.16"/>
    <x v="1"/>
    <x v="3"/>
    <x v="0"/>
    <n v="50"/>
    <x v="0"/>
    <x v="2"/>
    <x v="0"/>
    <s v="High"/>
    <x v="0"/>
  </r>
  <r>
    <x v="689"/>
    <s v="POL52094"/>
    <d v="2024-11-02T00:00:00"/>
    <n v="389154.49"/>
    <x v="2"/>
    <x v="0"/>
    <x v="1"/>
    <n v="58"/>
    <x v="11"/>
    <x v="2"/>
    <x v="0"/>
    <s v="High"/>
    <x v="0"/>
  </r>
  <r>
    <x v="690"/>
    <s v="POL52858"/>
    <d v="2023-08-10T00:00:00"/>
    <n v="171953.87"/>
    <x v="2"/>
    <x v="3"/>
    <x v="0"/>
    <n v="41"/>
    <x v="4"/>
    <x v="3"/>
    <x v="1"/>
    <s v="Medium"/>
    <x v="0"/>
  </r>
  <r>
    <x v="691"/>
    <s v="POL50501"/>
    <d v="2023-10-30T00:00:00"/>
    <n v="196452.17"/>
    <x v="1"/>
    <x v="4"/>
    <x v="0"/>
    <n v="46"/>
    <x v="0"/>
    <x v="3"/>
    <x v="0"/>
    <s v="Medium"/>
    <x v="0"/>
  </r>
  <r>
    <x v="692"/>
    <s v="POL53451"/>
    <d v="2022-06-13T00:00:00"/>
    <n v="168316.47"/>
    <x v="1"/>
    <x v="3"/>
    <x v="0"/>
    <n v="10"/>
    <x v="3"/>
    <x v="0"/>
    <x v="2"/>
    <s v="Medium"/>
    <x v="1"/>
  </r>
  <r>
    <x v="693"/>
    <s v="POL51313"/>
    <d v="2025-02-09T00:00:00"/>
    <n v="161065.57"/>
    <x v="0"/>
    <x v="1"/>
    <x v="1"/>
    <n v="38"/>
    <x v="10"/>
    <x v="4"/>
    <x v="3"/>
    <s v="Medium"/>
    <x v="0"/>
  </r>
  <r>
    <x v="694"/>
    <s v="POL53654"/>
    <d v="2023-09-24T00:00:00"/>
    <n v="74811.33"/>
    <x v="1"/>
    <x v="2"/>
    <x v="1"/>
    <n v="26"/>
    <x v="7"/>
    <x v="3"/>
    <x v="1"/>
    <s v="Low"/>
    <x v="1"/>
  </r>
  <r>
    <x v="695"/>
    <s v="POL52170"/>
    <d v="2024-06-25T00:00:00"/>
    <n v="496888.54"/>
    <x v="1"/>
    <x v="3"/>
    <x v="0"/>
    <n v="5"/>
    <x v="3"/>
    <x v="2"/>
    <x v="2"/>
    <s v="High"/>
    <x v="1"/>
  </r>
  <r>
    <x v="696"/>
    <s v="POL51013"/>
    <d v="2021-06-10T00:00:00"/>
    <n v="428682.8"/>
    <x v="0"/>
    <x v="1"/>
    <x v="0"/>
    <n v="40"/>
    <x v="3"/>
    <x v="1"/>
    <x v="2"/>
    <s v="High"/>
    <x v="0"/>
  </r>
  <r>
    <x v="697"/>
    <s v="POL53064"/>
    <d v="2024-06-25T00:00:00"/>
    <n v="55085.35"/>
    <x v="1"/>
    <x v="0"/>
    <x v="1"/>
    <n v="20"/>
    <x v="3"/>
    <x v="2"/>
    <x v="2"/>
    <s v="Low"/>
    <x v="1"/>
  </r>
  <r>
    <x v="698"/>
    <s v="POL53862"/>
    <d v="2024-09-15T00:00:00"/>
    <n v="354577.05"/>
    <x v="2"/>
    <x v="2"/>
    <x v="1"/>
    <n v="40"/>
    <x v="7"/>
    <x v="2"/>
    <x v="1"/>
    <s v="High"/>
    <x v="0"/>
  </r>
  <r>
    <x v="699"/>
    <s v="POL53750"/>
    <d v="2022-09-05T00:00:00"/>
    <n v="110071"/>
    <x v="0"/>
    <x v="1"/>
    <x v="1"/>
    <n v="38"/>
    <x v="7"/>
    <x v="0"/>
    <x v="1"/>
    <s v="Medium"/>
    <x v="0"/>
  </r>
  <r>
    <x v="700"/>
    <s v="POL53520"/>
    <d v="2023-11-03T00:00:00"/>
    <n v="185583.35"/>
    <x v="0"/>
    <x v="2"/>
    <x v="0"/>
    <n v="7"/>
    <x v="11"/>
    <x v="3"/>
    <x v="0"/>
    <s v="Medium"/>
    <x v="1"/>
  </r>
  <r>
    <x v="701"/>
    <s v="POL52764"/>
    <d v="2024-05-31T00:00:00"/>
    <n v="63545.32"/>
    <x v="1"/>
    <x v="3"/>
    <x v="0"/>
    <n v="15"/>
    <x v="6"/>
    <x v="2"/>
    <x v="2"/>
    <s v="Low"/>
    <x v="1"/>
  </r>
  <r>
    <x v="702"/>
    <s v="POL52345"/>
    <d v="2023-08-11T00:00:00"/>
    <n v="130159.55"/>
    <x v="2"/>
    <x v="1"/>
    <x v="1"/>
    <n v="23"/>
    <x v="4"/>
    <x v="3"/>
    <x v="1"/>
    <s v="Medium"/>
    <x v="1"/>
  </r>
  <r>
    <x v="703"/>
    <s v="POL50322"/>
    <d v="2021-08-12T00:00:00"/>
    <n v="393426.65"/>
    <x v="0"/>
    <x v="1"/>
    <x v="0"/>
    <n v="27"/>
    <x v="4"/>
    <x v="1"/>
    <x v="1"/>
    <s v="High"/>
    <x v="1"/>
  </r>
  <r>
    <x v="704"/>
    <s v="POL52635"/>
    <d v="2024-07-09T00:00:00"/>
    <n v="436400.05"/>
    <x v="0"/>
    <x v="1"/>
    <x v="1"/>
    <n v="32"/>
    <x v="2"/>
    <x v="2"/>
    <x v="1"/>
    <s v="High"/>
    <x v="0"/>
  </r>
  <r>
    <x v="705"/>
    <s v="POL51846"/>
    <d v="2023-07-24T00:00:00"/>
    <n v="401019.4"/>
    <x v="2"/>
    <x v="0"/>
    <x v="0"/>
    <n v="58"/>
    <x v="2"/>
    <x v="3"/>
    <x v="1"/>
    <s v="High"/>
    <x v="0"/>
  </r>
  <r>
    <x v="706"/>
    <s v="POL52281"/>
    <d v="2024-05-29T00:00:00"/>
    <n v="77953.06"/>
    <x v="1"/>
    <x v="2"/>
    <x v="0"/>
    <n v="44"/>
    <x v="6"/>
    <x v="2"/>
    <x v="2"/>
    <s v="Low"/>
    <x v="0"/>
  </r>
  <r>
    <x v="707"/>
    <s v="POL52210"/>
    <d v="2024-07-21T00:00:00"/>
    <n v="305904.31"/>
    <x v="1"/>
    <x v="0"/>
    <x v="1"/>
    <n v="17"/>
    <x v="2"/>
    <x v="2"/>
    <x v="1"/>
    <s v="High"/>
    <x v="1"/>
  </r>
  <r>
    <x v="708"/>
    <s v="POL53871"/>
    <d v="2023-09-08T00:00:00"/>
    <n v="44898.27"/>
    <x v="2"/>
    <x v="3"/>
    <x v="1"/>
    <n v="31"/>
    <x v="7"/>
    <x v="3"/>
    <x v="1"/>
    <s v="Low"/>
    <x v="0"/>
  </r>
  <r>
    <x v="709"/>
    <s v="POL51622"/>
    <d v="2022-12-10T00:00:00"/>
    <n v="366115.79"/>
    <x v="2"/>
    <x v="1"/>
    <x v="1"/>
    <n v="11"/>
    <x v="1"/>
    <x v="0"/>
    <x v="0"/>
    <s v="High"/>
    <x v="1"/>
  </r>
  <r>
    <x v="710"/>
    <s v="POL50857"/>
    <d v="2023-12-18T00:00:00"/>
    <n v="132163.89000000001"/>
    <x v="0"/>
    <x v="3"/>
    <x v="0"/>
    <n v="50"/>
    <x v="1"/>
    <x v="3"/>
    <x v="0"/>
    <s v="Medium"/>
    <x v="0"/>
  </r>
  <r>
    <x v="711"/>
    <s v="POL52652"/>
    <d v="2024-04-18T00:00:00"/>
    <n v="469207.73"/>
    <x v="1"/>
    <x v="2"/>
    <x v="0"/>
    <n v="26"/>
    <x v="9"/>
    <x v="2"/>
    <x v="2"/>
    <s v="High"/>
    <x v="1"/>
  </r>
  <r>
    <x v="712"/>
    <s v="POL52161"/>
    <d v="2023-05-19T00:00:00"/>
    <n v="36317.19"/>
    <x v="1"/>
    <x v="0"/>
    <x v="0"/>
    <n v="4"/>
    <x v="6"/>
    <x v="3"/>
    <x v="2"/>
    <s v="Low"/>
    <x v="1"/>
  </r>
  <r>
    <x v="713"/>
    <s v="POL50757"/>
    <d v="2022-02-11T00:00:00"/>
    <n v="425547.97"/>
    <x v="2"/>
    <x v="3"/>
    <x v="0"/>
    <n v="27"/>
    <x v="10"/>
    <x v="0"/>
    <x v="3"/>
    <s v="High"/>
    <x v="1"/>
  </r>
  <r>
    <x v="714"/>
    <s v="POL51351"/>
    <d v="2024-05-25T00:00:00"/>
    <n v="406589.38"/>
    <x v="2"/>
    <x v="2"/>
    <x v="0"/>
    <n v="2"/>
    <x v="6"/>
    <x v="2"/>
    <x v="2"/>
    <s v="High"/>
    <x v="1"/>
  </r>
  <r>
    <x v="715"/>
    <s v="POL52916"/>
    <d v="2024-02-09T00:00:00"/>
    <n v="440196.76"/>
    <x v="1"/>
    <x v="1"/>
    <x v="1"/>
    <n v="14"/>
    <x v="10"/>
    <x v="2"/>
    <x v="3"/>
    <s v="High"/>
    <x v="1"/>
  </r>
  <r>
    <x v="716"/>
    <s v="POL51898"/>
    <d v="2024-03-31T00:00:00"/>
    <n v="147562.70000000001"/>
    <x v="1"/>
    <x v="1"/>
    <x v="1"/>
    <n v="51"/>
    <x v="5"/>
    <x v="2"/>
    <x v="3"/>
    <s v="Medium"/>
    <x v="0"/>
  </r>
  <r>
    <x v="717"/>
    <s v="POL52323"/>
    <d v="2022-09-16T00:00:00"/>
    <n v="450430.04"/>
    <x v="2"/>
    <x v="0"/>
    <x v="0"/>
    <n v="58"/>
    <x v="7"/>
    <x v="0"/>
    <x v="1"/>
    <s v="High"/>
    <x v="0"/>
  </r>
  <r>
    <x v="718"/>
    <s v="POL53592"/>
    <d v="2023-10-29T00:00:00"/>
    <n v="29090.22"/>
    <x v="2"/>
    <x v="0"/>
    <x v="0"/>
    <n v="54"/>
    <x v="0"/>
    <x v="3"/>
    <x v="0"/>
    <s v="Low"/>
    <x v="0"/>
  </r>
  <r>
    <x v="719"/>
    <s v="POL53670"/>
    <d v="2023-03-12T00:00:00"/>
    <n v="217369.4"/>
    <x v="2"/>
    <x v="4"/>
    <x v="1"/>
    <n v="27"/>
    <x v="5"/>
    <x v="3"/>
    <x v="3"/>
    <s v="High"/>
    <x v="1"/>
  </r>
  <r>
    <x v="720"/>
    <s v="POL51827"/>
    <d v="2024-01-09T00:00:00"/>
    <n v="262048.94"/>
    <x v="2"/>
    <x v="3"/>
    <x v="1"/>
    <n v="20"/>
    <x v="8"/>
    <x v="2"/>
    <x v="3"/>
    <s v="High"/>
    <x v="1"/>
  </r>
  <r>
    <x v="721"/>
    <s v="POL53729"/>
    <d v="2024-05-20T00:00:00"/>
    <n v="348694.52"/>
    <x v="1"/>
    <x v="1"/>
    <x v="0"/>
    <n v="58"/>
    <x v="6"/>
    <x v="2"/>
    <x v="2"/>
    <s v="High"/>
    <x v="0"/>
  </r>
  <r>
    <x v="722"/>
    <s v="POL51312"/>
    <d v="2021-02-24T00:00:00"/>
    <n v="205448.64"/>
    <x v="0"/>
    <x v="2"/>
    <x v="1"/>
    <n v="48"/>
    <x v="10"/>
    <x v="1"/>
    <x v="3"/>
    <s v="High"/>
    <x v="0"/>
  </r>
  <r>
    <x v="723"/>
    <s v="POL50495"/>
    <d v="2023-04-30T00:00:00"/>
    <n v="348898.4"/>
    <x v="1"/>
    <x v="4"/>
    <x v="1"/>
    <n v="36"/>
    <x v="9"/>
    <x v="3"/>
    <x v="2"/>
    <s v="High"/>
    <x v="0"/>
  </r>
  <r>
    <x v="724"/>
    <s v="POL50519"/>
    <d v="2024-09-20T00:00:00"/>
    <n v="399628.02"/>
    <x v="0"/>
    <x v="4"/>
    <x v="0"/>
    <n v="9"/>
    <x v="7"/>
    <x v="2"/>
    <x v="1"/>
    <s v="High"/>
    <x v="1"/>
  </r>
  <r>
    <x v="725"/>
    <s v="POL53662"/>
    <d v="2023-08-14T00:00:00"/>
    <n v="494378.45"/>
    <x v="1"/>
    <x v="1"/>
    <x v="0"/>
    <n v="37"/>
    <x v="4"/>
    <x v="3"/>
    <x v="1"/>
    <s v="High"/>
    <x v="0"/>
  </r>
  <r>
    <x v="726"/>
    <s v="POL51292"/>
    <d v="2023-11-15T00:00:00"/>
    <n v="193760.12"/>
    <x v="2"/>
    <x v="1"/>
    <x v="0"/>
    <n v="41"/>
    <x v="11"/>
    <x v="3"/>
    <x v="0"/>
    <s v="Medium"/>
    <x v="0"/>
  </r>
  <r>
    <x v="727"/>
    <s v="POL52024"/>
    <d v="2023-11-28T00:00:00"/>
    <n v="423858.32"/>
    <x v="1"/>
    <x v="3"/>
    <x v="0"/>
    <n v="31"/>
    <x v="11"/>
    <x v="3"/>
    <x v="0"/>
    <s v="High"/>
    <x v="0"/>
  </r>
  <r>
    <x v="728"/>
    <s v="POL51330"/>
    <d v="2023-10-03T00:00:00"/>
    <n v="99421.82"/>
    <x v="2"/>
    <x v="0"/>
    <x v="0"/>
    <n v="35"/>
    <x v="0"/>
    <x v="3"/>
    <x v="0"/>
    <s v="Low"/>
    <x v="0"/>
  </r>
  <r>
    <x v="729"/>
    <s v="POL53061"/>
    <d v="2024-12-21T00:00:00"/>
    <n v="110173.94"/>
    <x v="0"/>
    <x v="3"/>
    <x v="1"/>
    <n v="20"/>
    <x v="1"/>
    <x v="2"/>
    <x v="0"/>
    <s v="Medium"/>
    <x v="1"/>
  </r>
  <r>
    <x v="730"/>
    <s v="POL50493"/>
    <d v="2024-07-29T00:00:00"/>
    <n v="130474.61"/>
    <x v="2"/>
    <x v="0"/>
    <x v="0"/>
    <n v="13"/>
    <x v="2"/>
    <x v="2"/>
    <x v="1"/>
    <s v="Medium"/>
    <x v="1"/>
  </r>
  <r>
    <x v="731"/>
    <s v="POL51169"/>
    <d v="2024-03-11T00:00:00"/>
    <n v="65742.63"/>
    <x v="1"/>
    <x v="2"/>
    <x v="1"/>
    <n v="11"/>
    <x v="5"/>
    <x v="2"/>
    <x v="3"/>
    <s v="Low"/>
    <x v="1"/>
  </r>
  <r>
    <x v="732"/>
    <s v="POL51039"/>
    <d v="2024-06-30T00:00:00"/>
    <n v="413832.5"/>
    <x v="0"/>
    <x v="4"/>
    <x v="1"/>
    <n v="11"/>
    <x v="3"/>
    <x v="2"/>
    <x v="2"/>
    <s v="High"/>
    <x v="1"/>
  </r>
  <r>
    <x v="733"/>
    <s v="POL52849"/>
    <d v="2024-03-20T00:00:00"/>
    <n v="153248.57"/>
    <x v="0"/>
    <x v="3"/>
    <x v="0"/>
    <n v="4"/>
    <x v="5"/>
    <x v="2"/>
    <x v="3"/>
    <s v="Medium"/>
    <x v="1"/>
  </r>
  <r>
    <x v="734"/>
    <s v="POL53314"/>
    <d v="2022-06-30T00:00:00"/>
    <n v="481864.13"/>
    <x v="0"/>
    <x v="0"/>
    <x v="0"/>
    <n v="7"/>
    <x v="3"/>
    <x v="0"/>
    <x v="2"/>
    <s v="High"/>
    <x v="1"/>
  </r>
  <r>
    <x v="735"/>
    <s v="POL52934"/>
    <d v="2023-01-15T00:00:00"/>
    <n v="469357.59"/>
    <x v="0"/>
    <x v="0"/>
    <x v="0"/>
    <n v="37"/>
    <x v="8"/>
    <x v="3"/>
    <x v="3"/>
    <s v="High"/>
    <x v="0"/>
  </r>
  <r>
    <x v="736"/>
    <s v="POL50803"/>
    <d v="2024-03-01T00:00:00"/>
    <n v="243154.64"/>
    <x v="1"/>
    <x v="3"/>
    <x v="1"/>
    <n v="23"/>
    <x v="5"/>
    <x v="2"/>
    <x v="3"/>
    <s v="High"/>
    <x v="1"/>
  </r>
  <r>
    <x v="737"/>
    <s v="POL52707"/>
    <d v="2024-04-14T00:00:00"/>
    <n v="225284.11"/>
    <x v="2"/>
    <x v="3"/>
    <x v="0"/>
    <n v="48"/>
    <x v="9"/>
    <x v="2"/>
    <x v="2"/>
    <s v="High"/>
    <x v="0"/>
  </r>
  <r>
    <x v="738"/>
    <s v="POL53916"/>
    <d v="2024-12-05T00:00:00"/>
    <n v="263549.63"/>
    <x v="0"/>
    <x v="3"/>
    <x v="1"/>
    <n v="44"/>
    <x v="1"/>
    <x v="2"/>
    <x v="0"/>
    <s v="High"/>
    <x v="0"/>
  </r>
  <r>
    <x v="739"/>
    <s v="POL50452"/>
    <d v="2022-04-02T00:00:00"/>
    <n v="376559.38"/>
    <x v="0"/>
    <x v="1"/>
    <x v="1"/>
    <n v="2"/>
    <x v="9"/>
    <x v="0"/>
    <x v="2"/>
    <s v="High"/>
    <x v="1"/>
  </r>
  <r>
    <x v="740"/>
    <s v="POL51917"/>
    <d v="2024-10-07T00:00:00"/>
    <n v="390712.03"/>
    <x v="0"/>
    <x v="0"/>
    <x v="0"/>
    <n v="17"/>
    <x v="0"/>
    <x v="2"/>
    <x v="0"/>
    <s v="High"/>
    <x v="1"/>
  </r>
  <r>
    <x v="741"/>
    <s v="POL53324"/>
    <d v="2023-02-27T00:00:00"/>
    <n v="40417.61"/>
    <x v="2"/>
    <x v="1"/>
    <x v="0"/>
    <n v="42"/>
    <x v="10"/>
    <x v="3"/>
    <x v="3"/>
    <s v="Low"/>
    <x v="0"/>
  </r>
  <r>
    <x v="742"/>
    <s v="POL50648"/>
    <d v="2024-09-24T00:00:00"/>
    <n v="193796.58"/>
    <x v="2"/>
    <x v="4"/>
    <x v="1"/>
    <n v="31"/>
    <x v="7"/>
    <x v="2"/>
    <x v="1"/>
    <s v="Medium"/>
    <x v="0"/>
  </r>
  <r>
    <x v="743"/>
    <s v="POL53563"/>
    <d v="2021-06-29T00:00:00"/>
    <n v="256502.13"/>
    <x v="1"/>
    <x v="2"/>
    <x v="0"/>
    <n v="14"/>
    <x v="3"/>
    <x v="1"/>
    <x v="2"/>
    <s v="High"/>
    <x v="1"/>
  </r>
  <r>
    <x v="744"/>
    <s v="POL52159"/>
    <d v="2024-04-20T00:00:00"/>
    <n v="125624.27"/>
    <x v="0"/>
    <x v="2"/>
    <x v="1"/>
    <n v="20"/>
    <x v="9"/>
    <x v="2"/>
    <x v="2"/>
    <s v="Medium"/>
    <x v="1"/>
  </r>
  <r>
    <x v="745"/>
    <s v="POL52431"/>
    <d v="2023-07-08T00:00:00"/>
    <n v="486764.29"/>
    <x v="1"/>
    <x v="2"/>
    <x v="1"/>
    <n v="55"/>
    <x v="2"/>
    <x v="3"/>
    <x v="1"/>
    <s v="High"/>
    <x v="0"/>
  </r>
  <r>
    <x v="746"/>
    <s v="POL51699"/>
    <d v="2025-03-30T00:00:00"/>
    <n v="247141.28"/>
    <x v="0"/>
    <x v="4"/>
    <x v="1"/>
    <n v="4"/>
    <x v="5"/>
    <x v="4"/>
    <x v="3"/>
    <s v="High"/>
    <x v="1"/>
  </r>
  <r>
    <x v="747"/>
    <s v="POL52245"/>
    <d v="2024-04-06T00:00:00"/>
    <n v="182649.32"/>
    <x v="1"/>
    <x v="2"/>
    <x v="0"/>
    <n v="7"/>
    <x v="9"/>
    <x v="2"/>
    <x v="2"/>
    <s v="Medium"/>
    <x v="1"/>
  </r>
  <r>
    <x v="748"/>
    <s v="POL50429"/>
    <d v="2024-10-17T00:00:00"/>
    <n v="42853.97"/>
    <x v="1"/>
    <x v="2"/>
    <x v="1"/>
    <n v="36"/>
    <x v="0"/>
    <x v="2"/>
    <x v="0"/>
    <s v="Low"/>
    <x v="0"/>
  </r>
  <r>
    <x v="749"/>
    <s v="POL51529"/>
    <d v="2024-06-21T00:00:00"/>
    <n v="12530.66"/>
    <x v="2"/>
    <x v="1"/>
    <x v="0"/>
    <n v="29"/>
    <x v="3"/>
    <x v="2"/>
    <x v="2"/>
    <s v="Low"/>
    <x v="1"/>
  </r>
  <r>
    <x v="750"/>
    <s v="POL51505"/>
    <d v="2023-02-12T00:00:00"/>
    <n v="191717.07"/>
    <x v="2"/>
    <x v="3"/>
    <x v="0"/>
    <n v="59"/>
    <x v="10"/>
    <x v="3"/>
    <x v="3"/>
    <s v="Medium"/>
    <x v="0"/>
  </r>
  <r>
    <x v="751"/>
    <s v="POL51869"/>
    <d v="2023-05-04T00:00:00"/>
    <n v="408524.45"/>
    <x v="1"/>
    <x v="0"/>
    <x v="1"/>
    <n v="13"/>
    <x v="6"/>
    <x v="3"/>
    <x v="2"/>
    <s v="High"/>
    <x v="1"/>
  </r>
  <r>
    <x v="752"/>
    <s v="POL52852"/>
    <d v="2021-10-01T00:00:00"/>
    <n v="44913.73"/>
    <x v="2"/>
    <x v="0"/>
    <x v="0"/>
    <n v="44"/>
    <x v="0"/>
    <x v="1"/>
    <x v="0"/>
    <s v="Low"/>
    <x v="0"/>
  </r>
  <r>
    <x v="753"/>
    <s v="POL52134"/>
    <d v="2024-04-07T00:00:00"/>
    <n v="468760.84"/>
    <x v="1"/>
    <x v="1"/>
    <x v="1"/>
    <n v="8"/>
    <x v="9"/>
    <x v="2"/>
    <x v="2"/>
    <s v="High"/>
    <x v="1"/>
  </r>
  <r>
    <x v="754"/>
    <s v="POL53503"/>
    <d v="2023-10-06T00:00:00"/>
    <n v="150744.21"/>
    <x v="2"/>
    <x v="3"/>
    <x v="0"/>
    <n v="46"/>
    <x v="0"/>
    <x v="3"/>
    <x v="0"/>
    <s v="Medium"/>
    <x v="0"/>
  </r>
  <r>
    <x v="755"/>
    <s v="POL53359"/>
    <d v="2022-06-01T00:00:00"/>
    <n v="332426.77"/>
    <x v="2"/>
    <x v="0"/>
    <x v="0"/>
    <n v="5"/>
    <x v="3"/>
    <x v="0"/>
    <x v="2"/>
    <s v="High"/>
    <x v="1"/>
  </r>
  <r>
    <x v="756"/>
    <s v="POL51770"/>
    <d v="2024-07-09T00:00:00"/>
    <n v="186091.39"/>
    <x v="0"/>
    <x v="3"/>
    <x v="1"/>
    <n v="10"/>
    <x v="2"/>
    <x v="2"/>
    <x v="1"/>
    <s v="Medium"/>
    <x v="1"/>
  </r>
  <r>
    <x v="757"/>
    <s v="POL52477"/>
    <d v="2023-10-11T00:00:00"/>
    <n v="115817.65"/>
    <x v="0"/>
    <x v="3"/>
    <x v="0"/>
    <n v="30"/>
    <x v="0"/>
    <x v="3"/>
    <x v="0"/>
    <s v="Medium"/>
    <x v="1"/>
  </r>
  <r>
    <x v="758"/>
    <s v="POL53133"/>
    <d v="2022-04-24T00:00:00"/>
    <n v="67033.679999999993"/>
    <x v="2"/>
    <x v="4"/>
    <x v="1"/>
    <n v="7"/>
    <x v="9"/>
    <x v="0"/>
    <x v="2"/>
    <s v="Low"/>
    <x v="1"/>
  </r>
  <r>
    <x v="759"/>
    <s v="POL52474"/>
    <d v="2022-04-14T00:00:00"/>
    <n v="65821.77"/>
    <x v="2"/>
    <x v="0"/>
    <x v="0"/>
    <n v="55"/>
    <x v="9"/>
    <x v="0"/>
    <x v="2"/>
    <s v="Low"/>
    <x v="0"/>
  </r>
  <r>
    <x v="760"/>
    <s v="POL52386"/>
    <d v="2023-03-17T00:00:00"/>
    <n v="243083.57"/>
    <x v="1"/>
    <x v="2"/>
    <x v="1"/>
    <n v="26"/>
    <x v="5"/>
    <x v="3"/>
    <x v="3"/>
    <s v="High"/>
    <x v="1"/>
  </r>
  <r>
    <x v="761"/>
    <s v="POL51998"/>
    <d v="2024-02-13T00:00:00"/>
    <n v="309791.28000000003"/>
    <x v="2"/>
    <x v="3"/>
    <x v="0"/>
    <n v="20"/>
    <x v="10"/>
    <x v="2"/>
    <x v="3"/>
    <s v="High"/>
    <x v="1"/>
  </r>
  <r>
    <x v="762"/>
    <s v="POL53985"/>
    <d v="2024-01-11T00:00:00"/>
    <n v="176398.55"/>
    <x v="1"/>
    <x v="4"/>
    <x v="0"/>
    <n v="8"/>
    <x v="8"/>
    <x v="2"/>
    <x v="3"/>
    <s v="Medium"/>
    <x v="1"/>
  </r>
  <r>
    <x v="763"/>
    <s v="POL51926"/>
    <d v="2022-05-06T00:00:00"/>
    <n v="237235.5"/>
    <x v="0"/>
    <x v="0"/>
    <x v="1"/>
    <n v="10"/>
    <x v="6"/>
    <x v="0"/>
    <x v="2"/>
    <s v="High"/>
    <x v="1"/>
  </r>
  <r>
    <x v="764"/>
    <s v="POL52863"/>
    <d v="2024-11-15T00:00:00"/>
    <n v="262269"/>
    <x v="1"/>
    <x v="4"/>
    <x v="1"/>
    <n v="2"/>
    <x v="11"/>
    <x v="2"/>
    <x v="0"/>
    <s v="High"/>
    <x v="1"/>
  </r>
  <r>
    <x v="765"/>
    <s v="POL53374"/>
    <d v="2024-05-30T00:00:00"/>
    <n v="194899.15"/>
    <x v="2"/>
    <x v="1"/>
    <x v="1"/>
    <n v="51"/>
    <x v="6"/>
    <x v="2"/>
    <x v="2"/>
    <s v="Medium"/>
    <x v="0"/>
  </r>
  <r>
    <x v="766"/>
    <s v="POL51175"/>
    <d v="2024-02-18T00:00:00"/>
    <n v="273605.21000000002"/>
    <x v="2"/>
    <x v="4"/>
    <x v="0"/>
    <n v="4"/>
    <x v="10"/>
    <x v="2"/>
    <x v="3"/>
    <s v="High"/>
    <x v="1"/>
  </r>
  <r>
    <x v="767"/>
    <s v="POL53324"/>
    <d v="2023-03-04T00:00:00"/>
    <n v="489325.03"/>
    <x v="2"/>
    <x v="4"/>
    <x v="0"/>
    <n v="10"/>
    <x v="5"/>
    <x v="3"/>
    <x v="3"/>
    <s v="High"/>
    <x v="1"/>
  </r>
  <r>
    <x v="768"/>
    <s v="POL52170"/>
    <d v="2023-07-14T00:00:00"/>
    <n v="172954.94"/>
    <x v="0"/>
    <x v="4"/>
    <x v="1"/>
    <n v="7"/>
    <x v="2"/>
    <x v="3"/>
    <x v="1"/>
    <s v="Medium"/>
    <x v="1"/>
  </r>
  <r>
    <x v="769"/>
    <s v="POL50820"/>
    <d v="2022-06-05T00:00:00"/>
    <n v="420256.17"/>
    <x v="1"/>
    <x v="0"/>
    <x v="0"/>
    <n v="55"/>
    <x v="3"/>
    <x v="0"/>
    <x v="2"/>
    <s v="High"/>
    <x v="0"/>
  </r>
  <r>
    <x v="770"/>
    <s v="POL53642"/>
    <d v="2025-03-11T00:00:00"/>
    <n v="138446.15"/>
    <x v="2"/>
    <x v="1"/>
    <x v="1"/>
    <n v="25"/>
    <x v="5"/>
    <x v="4"/>
    <x v="3"/>
    <s v="Medium"/>
    <x v="1"/>
  </r>
  <r>
    <x v="771"/>
    <s v="POL52024"/>
    <d v="2024-03-30T00:00:00"/>
    <n v="169495.71"/>
    <x v="2"/>
    <x v="1"/>
    <x v="0"/>
    <n v="42"/>
    <x v="5"/>
    <x v="2"/>
    <x v="3"/>
    <s v="Medium"/>
    <x v="0"/>
  </r>
  <r>
    <x v="772"/>
    <s v="POL52750"/>
    <d v="2023-06-25T00:00:00"/>
    <n v="63361.79"/>
    <x v="2"/>
    <x v="3"/>
    <x v="1"/>
    <n v="4"/>
    <x v="3"/>
    <x v="3"/>
    <x v="2"/>
    <s v="Low"/>
    <x v="1"/>
  </r>
  <r>
    <x v="773"/>
    <s v="POL53884"/>
    <d v="2024-06-26T00:00:00"/>
    <n v="123437.93"/>
    <x v="2"/>
    <x v="4"/>
    <x v="0"/>
    <n v="12"/>
    <x v="3"/>
    <x v="2"/>
    <x v="2"/>
    <s v="Medium"/>
    <x v="1"/>
  </r>
  <r>
    <x v="774"/>
    <s v="POL51647"/>
    <d v="2022-05-29T00:00:00"/>
    <n v="167011.25"/>
    <x v="1"/>
    <x v="0"/>
    <x v="1"/>
    <n v="18"/>
    <x v="6"/>
    <x v="0"/>
    <x v="2"/>
    <s v="Medium"/>
    <x v="1"/>
  </r>
  <r>
    <x v="775"/>
    <s v="POL52765"/>
    <d v="2024-01-17T00:00:00"/>
    <n v="43538.74"/>
    <x v="0"/>
    <x v="3"/>
    <x v="0"/>
    <n v="40"/>
    <x v="8"/>
    <x v="2"/>
    <x v="3"/>
    <s v="Low"/>
    <x v="0"/>
  </r>
  <r>
    <x v="776"/>
    <s v="POL52447"/>
    <d v="2023-08-04T00:00:00"/>
    <n v="381073.18"/>
    <x v="2"/>
    <x v="1"/>
    <x v="1"/>
    <n v="16"/>
    <x v="4"/>
    <x v="3"/>
    <x v="1"/>
    <s v="High"/>
    <x v="1"/>
  </r>
  <r>
    <x v="777"/>
    <s v="POL53930"/>
    <d v="2023-09-13T00:00:00"/>
    <n v="212227.11"/>
    <x v="1"/>
    <x v="2"/>
    <x v="0"/>
    <n v="26"/>
    <x v="7"/>
    <x v="3"/>
    <x v="1"/>
    <s v="High"/>
    <x v="1"/>
  </r>
  <r>
    <x v="778"/>
    <s v="POL51779"/>
    <d v="2023-07-11T00:00:00"/>
    <n v="44675.87"/>
    <x v="1"/>
    <x v="2"/>
    <x v="1"/>
    <n v="6"/>
    <x v="2"/>
    <x v="3"/>
    <x v="1"/>
    <s v="Low"/>
    <x v="1"/>
  </r>
  <r>
    <x v="779"/>
    <s v="POL52465"/>
    <d v="2023-08-27T00:00:00"/>
    <n v="496290.6"/>
    <x v="0"/>
    <x v="1"/>
    <x v="0"/>
    <n v="43"/>
    <x v="4"/>
    <x v="3"/>
    <x v="1"/>
    <s v="High"/>
    <x v="0"/>
  </r>
  <r>
    <x v="780"/>
    <s v="POL52689"/>
    <d v="2020-11-24T00:00:00"/>
    <n v="313739.73"/>
    <x v="1"/>
    <x v="0"/>
    <x v="0"/>
    <n v="15"/>
    <x v="11"/>
    <x v="5"/>
    <x v="0"/>
    <s v="High"/>
    <x v="1"/>
  </r>
  <r>
    <x v="781"/>
    <s v="POL51041"/>
    <d v="2025-05-23T00:00:00"/>
    <n v="471771.24"/>
    <x v="1"/>
    <x v="1"/>
    <x v="1"/>
    <n v="18"/>
    <x v="6"/>
    <x v="4"/>
    <x v="2"/>
    <s v="High"/>
    <x v="1"/>
  </r>
  <r>
    <x v="782"/>
    <s v="POL53852"/>
    <d v="2023-07-03T00:00:00"/>
    <n v="121450.89"/>
    <x v="0"/>
    <x v="3"/>
    <x v="1"/>
    <n v="20"/>
    <x v="2"/>
    <x v="3"/>
    <x v="1"/>
    <s v="Medium"/>
    <x v="1"/>
  </r>
  <r>
    <x v="783"/>
    <s v="POL51568"/>
    <d v="2023-12-25T00:00:00"/>
    <n v="301869.28000000003"/>
    <x v="1"/>
    <x v="0"/>
    <x v="0"/>
    <n v="48"/>
    <x v="1"/>
    <x v="3"/>
    <x v="0"/>
    <s v="High"/>
    <x v="0"/>
  </r>
  <r>
    <x v="784"/>
    <s v="POL52306"/>
    <d v="2024-08-24T00:00:00"/>
    <n v="130944.07"/>
    <x v="1"/>
    <x v="0"/>
    <x v="0"/>
    <n v="57"/>
    <x v="4"/>
    <x v="2"/>
    <x v="1"/>
    <s v="Medium"/>
    <x v="0"/>
  </r>
  <r>
    <x v="785"/>
    <s v="POL52246"/>
    <d v="2022-05-01T00:00:00"/>
    <n v="341113.93"/>
    <x v="2"/>
    <x v="2"/>
    <x v="1"/>
    <n v="19"/>
    <x v="6"/>
    <x v="0"/>
    <x v="2"/>
    <s v="High"/>
    <x v="1"/>
  </r>
  <r>
    <x v="786"/>
    <s v="POL53120"/>
    <d v="2023-10-02T00:00:00"/>
    <n v="429163.27"/>
    <x v="2"/>
    <x v="1"/>
    <x v="1"/>
    <n v="14"/>
    <x v="0"/>
    <x v="3"/>
    <x v="0"/>
    <s v="High"/>
    <x v="1"/>
  </r>
  <r>
    <x v="787"/>
    <s v="POL51015"/>
    <d v="2023-06-08T00:00:00"/>
    <n v="191474.47"/>
    <x v="0"/>
    <x v="1"/>
    <x v="0"/>
    <n v="52"/>
    <x v="3"/>
    <x v="3"/>
    <x v="2"/>
    <s v="Medium"/>
    <x v="0"/>
  </r>
  <r>
    <x v="788"/>
    <s v="POL53908"/>
    <d v="2021-02-08T00:00:00"/>
    <n v="157892.15"/>
    <x v="1"/>
    <x v="4"/>
    <x v="0"/>
    <n v="19"/>
    <x v="10"/>
    <x v="1"/>
    <x v="3"/>
    <s v="Medium"/>
    <x v="1"/>
  </r>
  <r>
    <x v="789"/>
    <s v="POL50571"/>
    <d v="2023-11-29T00:00:00"/>
    <n v="311915.96999999997"/>
    <x v="0"/>
    <x v="2"/>
    <x v="1"/>
    <n v="17"/>
    <x v="11"/>
    <x v="3"/>
    <x v="0"/>
    <s v="High"/>
    <x v="1"/>
  </r>
  <r>
    <x v="790"/>
    <s v="POL53284"/>
    <d v="2025-04-01T00:00:00"/>
    <n v="90310.39"/>
    <x v="1"/>
    <x v="1"/>
    <x v="0"/>
    <n v="9"/>
    <x v="9"/>
    <x v="4"/>
    <x v="2"/>
    <s v="Low"/>
    <x v="1"/>
  </r>
  <r>
    <x v="791"/>
    <s v="POL50501"/>
    <d v="2023-07-10T00:00:00"/>
    <n v="175139.82"/>
    <x v="2"/>
    <x v="1"/>
    <x v="1"/>
    <n v="21"/>
    <x v="2"/>
    <x v="3"/>
    <x v="1"/>
    <s v="Medium"/>
    <x v="1"/>
  </r>
  <r>
    <x v="792"/>
    <s v="POL53445"/>
    <d v="2021-10-08T00:00:00"/>
    <n v="127148.72"/>
    <x v="0"/>
    <x v="0"/>
    <x v="0"/>
    <n v="49"/>
    <x v="0"/>
    <x v="1"/>
    <x v="0"/>
    <s v="Medium"/>
    <x v="0"/>
  </r>
  <r>
    <x v="793"/>
    <s v="POL53311"/>
    <d v="2023-08-30T00:00:00"/>
    <n v="88281.36"/>
    <x v="0"/>
    <x v="2"/>
    <x v="1"/>
    <n v="27"/>
    <x v="4"/>
    <x v="3"/>
    <x v="1"/>
    <s v="Low"/>
    <x v="1"/>
  </r>
  <r>
    <x v="794"/>
    <s v="POL50785"/>
    <d v="2024-07-26T00:00:00"/>
    <n v="208136.26"/>
    <x v="0"/>
    <x v="4"/>
    <x v="1"/>
    <n v="7"/>
    <x v="2"/>
    <x v="2"/>
    <x v="1"/>
    <s v="High"/>
    <x v="1"/>
  </r>
  <r>
    <x v="795"/>
    <s v="POL51969"/>
    <d v="2024-01-03T00:00:00"/>
    <n v="116339.84"/>
    <x v="2"/>
    <x v="4"/>
    <x v="1"/>
    <n v="19"/>
    <x v="8"/>
    <x v="2"/>
    <x v="3"/>
    <s v="Medium"/>
    <x v="1"/>
  </r>
  <r>
    <x v="796"/>
    <s v="POL51355"/>
    <d v="2023-09-18T00:00:00"/>
    <n v="438142.83"/>
    <x v="1"/>
    <x v="3"/>
    <x v="0"/>
    <n v="59"/>
    <x v="7"/>
    <x v="3"/>
    <x v="1"/>
    <s v="High"/>
    <x v="0"/>
  </r>
  <r>
    <x v="797"/>
    <s v="POL53970"/>
    <d v="2024-01-05T00:00:00"/>
    <n v="473718.12"/>
    <x v="2"/>
    <x v="1"/>
    <x v="1"/>
    <n v="18"/>
    <x v="8"/>
    <x v="2"/>
    <x v="3"/>
    <s v="High"/>
    <x v="1"/>
  </r>
  <r>
    <x v="798"/>
    <s v="POL52196"/>
    <d v="2022-07-15T00:00:00"/>
    <n v="389335.59"/>
    <x v="1"/>
    <x v="1"/>
    <x v="0"/>
    <n v="21"/>
    <x v="2"/>
    <x v="0"/>
    <x v="1"/>
    <s v="High"/>
    <x v="1"/>
  </r>
  <r>
    <x v="799"/>
    <s v="POL52366"/>
    <d v="2022-05-28T00:00:00"/>
    <n v="412253.84"/>
    <x v="0"/>
    <x v="1"/>
    <x v="1"/>
    <n v="43"/>
    <x v="6"/>
    <x v="0"/>
    <x v="2"/>
    <s v="High"/>
    <x v="0"/>
  </r>
  <r>
    <x v="800"/>
    <s v="POL52986"/>
    <d v="2023-07-14T00:00:00"/>
    <n v="363565.7"/>
    <x v="0"/>
    <x v="4"/>
    <x v="1"/>
    <n v="32"/>
    <x v="2"/>
    <x v="3"/>
    <x v="1"/>
    <s v="High"/>
    <x v="0"/>
  </r>
  <r>
    <x v="801"/>
    <s v="POL53141"/>
    <d v="2023-08-13T00:00:00"/>
    <n v="395240.87"/>
    <x v="2"/>
    <x v="0"/>
    <x v="1"/>
    <n v="17"/>
    <x v="4"/>
    <x v="3"/>
    <x v="1"/>
    <s v="High"/>
    <x v="1"/>
  </r>
  <r>
    <x v="802"/>
    <s v="POL50564"/>
    <d v="2024-05-15T00:00:00"/>
    <n v="190861.2"/>
    <x v="0"/>
    <x v="0"/>
    <x v="1"/>
    <n v="15"/>
    <x v="6"/>
    <x v="2"/>
    <x v="2"/>
    <s v="Medium"/>
    <x v="1"/>
  </r>
  <r>
    <x v="803"/>
    <s v="POL52560"/>
    <d v="2021-07-28T00:00:00"/>
    <n v="104444.39"/>
    <x v="2"/>
    <x v="2"/>
    <x v="1"/>
    <n v="39"/>
    <x v="2"/>
    <x v="1"/>
    <x v="1"/>
    <s v="Medium"/>
    <x v="0"/>
  </r>
  <r>
    <x v="804"/>
    <s v="POL52842"/>
    <d v="2022-02-26T00:00:00"/>
    <n v="290085.44"/>
    <x v="2"/>
    <x v="1"/>
    <x v="1"/>
    <n v="18"/>
    <x v="10"/>
    <x v="0"/>
    <x v="3"/>
    <s v="High"/>
    <x v="1"/>
  </r>
  <r>
    <x v="805"/>
    <s v="POL51719"/>
    <d v="2023-05-12T00:00:00"/>
    <n v="117351.88"/>
    <x v="2"/>
    <x v="3"/>
    <x v="1"/>
    <n v="46"/>
    <x v="6"/>
    <x v="3"/>
    <x v="2"/>
    <s v="Medium"/>
    <x v="0"/>
  </r>
  <r>
    <x v="806"/>
    <s v="POL50074"/>
    <d v="2024-05-09T00:00:00"/>
    <n v="250884.61"/>
    <x v="1"/>
    <x v="0"/>
    <x v="0"/>
    <n v="33"/>
    <x v="6"/>
    <x v="2"/>
    <x v="2"/>
    <s v="High"/>
    <x v="0"/>
  </r>
  <r>
    <x v="807"/>
    <s v="POL51618"/>
    <d v="2022-04-04T00:00:00"/>
    <n v="25197.75"/>
    <x v="0"/>
    <x v="3"/>
    <x v="0"/>
    <n v="7"/>
    <x v="9"/>
    <x v="0"/>
    <x v="2"/>
    <s v="Low"/>
    <x v="1"/>
  </r>
  <r>
    <x v="808"/>
    <s v="POL50433"/>
    <d v="2024-01-04T00:00:00"/>
    <n v="446416.11"/>
    <x v="2"/>
    <x v="2"/>
    <x v="1"/>
    <n v="10"/>
    <x v="8"/>
    <x v="2"/>
    <x v="3"/>
    <s v="High"/>
    <x v="1"/>
  </r>
  <r>
    <x v="809"/>
    <s v="POL53170"/>
    <d v="2022-07-25T00:00:00"/>
    <n v="331135.65000000002"/>
    <x v="1"/>
    <x v="3"/>
    <x v="0"/>
    <n v="41"/>
    <x v="2"/>
    <x v="0"/>
    <x v="1"/>
    <s v="High"/>
    <x v="0"/>
  </r>
  <r>
    <x v="810"/>
    <s v="POL52730"/>
    <d v="2025-01-13T00:00:00"/>
    <n v="121080.34"/>
    <x v="2"/>
    <x v="4"/>
    <x v="0"/>
    <n v="38"/>
    <x v="8"/>
    <x v="4"/>
    <x v="3"/>
    <s v="Medium"/>
    <x v="0"/>
  </r>
  <r>
    <x v="811"/>
    <s v="POL50469"/>
    <d v="2021-12-18T00:00:00"/>
    <n v="434622.32"/>
    <x v="2"/>
    <x v="0"/>
    <x v="0"/>
    <n v="41"/>
    <x v="1"/>
    <x v="1"/>
    <x v="0"/>
    <s v="High"/>
    <x v="0"/>
  </r>
  <r>
    <x v="812"/>
    <s v="POL50864"/>
    <d v="2024-06-18T00:00:00"/>
    <n v="115908.86"/>
    <x v="0"/>
    <x v="1"/>
    <x v="1"/>
    <n v="20"/>
    <x v="3"/>
    <x v="2"/>
    <x v="2"/>
    <s v="Medium"/>
    <x v="1"/>
  </r>
  <r>
    <x v="813"/>
    <s v="POL50831"/>
    <d v="2021-06-03T00:00:00"/>
    <n v="197311.29"/>
    <x v="2"/>
    <x v="2"/>
    <x v="0"/>
    <n v="52"/>
    <x v="3"/>
    <x v="1"/>
    <x v="2"/>
    <s v="Medium"/>
    <x v="0"/>
  </r>
  <r>
    <x v="814"/>
    <s v="POL52171"/>
    <d v="2023-05-14T00:00:00"/>
    <n v="19824.41"/>
    <x v="0"/>
    <x v="1"/>
    <x v="0"/>
    <n v="39"/>
    <x v="6"/>
    <x v="3"/>
    <x v="2"/>
    <s v="Low"/>
    <x v="0"/>
  </r>
  <r>
    <x v="815"/>
    <s v="POL52184"/>
    <d v="2023-11-23T00:00:00"/>
    <n v="183730.28"/>
    <x v="1"/>
    <x v="4"/>
    <x v="0"/>
    <n v="39"/>
    <x v="11"/>
    <x v="3"/>
    <x v="0"/>
    <s v="Medium"/>
    <x v="0"/>
  </r>
  <r>
    <x v="816"/>
    <s v="POL51918"/>
    <d v="2024-08-01T00:00:00"/>
    <n v="461062.52"/>
    <x v="2"/>
    <x v="1"/>
    <x v="0"/>
    <n v="24"/>
    <x v="4"/>
    <x v="2"/>
    <x v="1"/>
    <s v="High"/>
    <x v="1"/>
  </r>
  <r>
    <x v="817"/>
    <s v="POL50210"/>
    <d v="2024-01-24T00:00:00"/>
    <n v="476562.16"/>
    <x v="2"/>
    <x v="4"/>
    <x v="0"/>
    <n v="37"/>
    <x v="8"/>
    <x v="2"/>
    <x v="3"/>
    <s v="High"/>
    <x v="0"/>
  </r>
  <r>
    <x v="818"/>
    <s v="POL53266"/>
    <d v="2024-08-09T00:00:00"/>
    <n v="354780.05"/>
    <x v="2"/>
    <x v="0"/>
    <x v="1"/>
    <n v="18"/>
    <x v="4"/>
    <x v="2"/>
    <x v="1"/>
    <s v="High"/>
    <x v="1"/>
  </r>
  <r>
    <x v="819"/>
    <s v="POL50383"/>
    <d v="2025-02-10T00:00:00"/>
    <n v="46126.62"/>
    <x v="0"/>
    <x v="1"/>
    <x v="0"/>
    <n v="42"/>
    <x v="10"/>
    <x v="4"/>
    <x v="3"/>
    <s v="Low"/>
    <x v="0"/>
  </r>
  <r>
    <x v="820"/>
    <s v="POL50790"/>
    <d v="2024-10-14T00:00:00"/>
    <n v="443095.48"/>
    <x v="0"/>
    <x v="3"/>
    <x v="0"/>
    <n v="13"/>
    <x v="0"/>
    <x v="2"/>
    <x v="0"/>
    <s v="High"/>
    <x v="1"/>
  </r>
  <r>
    <x v="821"/>
    <s v="POL50994"/>
    <d v="2024-01-30T00:00:00"/>
    <n v="441438.75"/>
    <x v="1"/>
    <x v="2"/>
    <x v="0"/>
    <n v="59"/>
    <x v="8"/>
    <x v="2"/>
    <x v="3"/>
    <s v="High"/>
    <x v="0"/>
  </r>
  <r>
    <x v="822"/>
    <s v="POL50431"/>
    <d v="2023-07-24T00:00:00"/>
    <n v="273326.07"/>
    <x v="1"/>
    <x v="1"/>
    <x v="0"/>
    <n v="34"/>
    <x v="2"/>
    <x v="3"/>
    <x v="1"/>
    <s v="High"/>
    <x v="0"/>
  </r>
  <r>
    <x v="823"/>
    <s v="POL52773"/>
    <d v="2024-01-06T00:00:00"/>
    <n v="416492.42"/>
    <x v="2"/>
    <x v="4"/>
    <x v="1"/>
    <n v="11"/>
    <x v="8"/>
    <x v="2"/>
    <x v="3"/>
    <s v="High"/>
    <x v="1"/>
  </r>
  <r>
    <x v="824"/>
    <s v="POL53186"/>
    <d v="2025-04-15T00:00:00"/>
    <n v="478523.21"/>
    <x v="0"/>
    <x v="3"/>
    <x v="0"/>
    <n v="18"/>
    <x v="9"/>
    <x v="4"/>
    <x v="2"/>
    <s v="High"/>
    <x v="1"/>
  </r>
  <r>
    <x v="825"/>
    <s v="POL50936"/>
    <d v="2024-09-03T00:00:00"/>
    <n v="239239.16"/>
    <x v="1"/>
    <x v="1"/>
    <x v="1"/>
    <n v="4"/>
    <x v="7"/>
    <x v="2"/>
    <x v="1"/>
    <s v="High"/>
    <x v="1"/>
  </r>
  <r>
    <x v="826"/>
    <s v="POL51888"/>
    <d v="2023-10-31T00:00:00"/>
    <n v="18905.36"/>
    <x v="0"/>
    <x v="4"/>
    <x v="0"/>
    <n v="10"/>
    <x v="0"/>
    <x v="3"/>
    <x v="0"/>
    <s v="Low"/>
    <x v="1"/>
  </r>
  <r>
    <x v="827"/>
    <s v="POL53544"/>
    <d v="2024-02-11T00:00:00"/>
    <n v="494353.9"/>
    <x v="1"/>
    <x v="0"/>
    <x v="0"/>
    <n v="57"/>
    <x v="10"/>
    <x v="2"/>
    <x v="3"/>
    <s v="High"/>
    <x v="0"/>
  </r>
  <r>
    <x v="828"/>
    <s v="POL50588"/>
    <d v="2024-05-28T00:00:00"/>
    <n v="365637.41"/>
    <x v="2"/>
    <x v="0"/>
    <x v="0"/>
    <n v="29"/>
    <x v="6"/>
    <x v="2"/>
    <x v="2"/>
    <s v="High"/>
    <x v="1"/>
  </r>
  <r>
    <x v="829"/>
    <s v="POL52090"/>
    <d v="2024-04-15T00:00:00"/>
    <n v="135672.17000000001"/>
    <x v="1"/>
    <x v="4"/>
    <x v="0"/>
    <n v="2"/>
    <x v="9"/>
    <x v="2"/>
    <x v="2"/>
    <s v="Medium"/>
    <x v="1"/>
  </r>
  <r>
    <x v="830"/>
    <s v="POL53565"/>
    <d v="2023-11-23T00:00:00"/>
    <n v="30193.75"/>
    <x v="0"/>
    <x v="2"/>
    <x v="0"/>
    <n v="34"/>
    <x v="11"/>
    <x v="3"/>
    <x v="0"/>
    <s v="Low"/>
    <x v="0"/>
  </r>
  <r>
    <x v="831"/>
    <s v="POL53669"/>
    <d v="2023-11-02T00:00:00"/>
    <n v="233732.89"/>
    <x v="1"/>
    <x v="4"/>
    <x v="1"/>
    <n v="46"/>
    <x v="11"/>
    <x v="3"/>
    <x v="0"/>
    <s v="High"/>
    <x v="0"/>
  </r>
  <r>
    <x v="832"/>
    <s v="POL50278"/>
    <d v="2024-06-25T00:00:00"/>
    <n v="46075.199999999997"/>
    <x v="0"/>
    <x v="0"/>
    <x v="0"/>
    <n v="5"/>
    <x v="3"/>
    <x v="2"/>
    <x v="2"/>
    <s v="Low"/>
    <x v="1"/>
  </r>
  <r>
    <x v="833"/>
    <s v="POL53782"/>
    <d v="2023-11-13T00:00:00"/>
    <n v="452201.34"/>
    <x v="1"/>
    <x v="2"/>
    <x v="0"/>
    <n v="39"/>
    <x v="11"/>
    <x v="3"/>
    <x v="0"/>
    <s v="High"/>
    <x v="0"/>
  </r>
  <r>
    <x v="834"/>
    <s v="POL52487"/>
    <d v="2024-06-08T00:00:00"/>
    <n v="270201.88"/>
    <x v="2"/>
    <x v="4"/>
    <x v="0"/>
    <n v="50"/>
    <x v="3"/>
    <x v="2"/>
    <x v="2"/>
    <s v="High"/>
    <x v="0"/>
  </r>
  <r>
    <x v="835"/>
    <s v="POL51173"/>
    <d v="2023-05-29T00:00:00"/>
    <n v="278569.69"/>
    <x v="0"/>
    <x v="1"/>
    <x v="0"/>
    <n v="39"/>
    <x v="6"/>
    <x v="3"/>
    <x v="2"/>
    <s v="High"/>
    <x v="0"/>
  </r>
  <r>
    <x v="836"/>
    <s v="POL52110"/>
    <d v="2023-08-12T00:00:00"/>
    <n v="339899.29"/>
    <x v="0"/>
    <x v="0"/>
    <x v="0"/>
    <n v="56"/>
    <x v="4"/>
    <x v="3"/>
    <x v="1"/>
    <s v="High"/>
    <x v="0"/>
  </r>
  <r>
    <x v="837"/>
    <s v="POL51928"/>
    <d v="2023-12-15T00:00:00"/>
    <n v="183892.44"/>
    <x v="0"/>
    <x v="4"/>
    <x v="0"/>
    <n v="49"/>
    <x v="1"/>
    <x v="3"/>
    <x v="0"/>
    <s v="Medium"/>
    <x v="0"/>
  </r>
  <r>
    <x v="838"/>
    <s v="POL50702"/>
    <d v="2023-05-27T00:00:00"/>
    <n v="208566.61"/>
    <x v="0"/>
    <x v="3"/>
    <x v="1"/>
    <n v="40"/>
    <x v="6"/>
    <x v="3"/>
    <x v="2"/>
    <s v="High"/>
    <x v="0"/>
  </r>
  <r>
    <x v="839"/>
    <s v="POL51008"/>
    <d v="2025-02-10T00:00:00"/>
    <n v="105679.5"/>
    <x v="2"/>
    <x v="0"/>
    <x v="1"/>
    <n v="17"/>
    <x v="10"/>
    <x v="4"/>
    <x v="3"/>
    <s v="Medium"/>
    <x v="1"/>
  </r>
  <r>
    <x v="840"/>
    <s v="POL50249"/>
    <d v="2024-01-29T00:00:00"/>
    <n v="219007.51"/>
    <x v="0"/>
    <x v="3"/>
    <x v="1"/>
    <n v="47"/>
    <x v="8"/>
    <x v="2"/>
    <x v="3"/>
    <s v="High"/>
    <x v="0"/>
  </r>
  <r>
    <x v="841"/>
    <s v="POL52153"/>
    <d v="2021-12-29T00:00:00"/>
    <n v="191311.61"/>
    <x v="0"/>
    <x v="1"/>
    <x v="0"/>
    <n v="11"/>
    <x v="1"/>
    <x v="1"/>
    <x v="0"/>
    <s v="Medium"/>
    <x v="1"/>
  </r>
  <r>
    <x v="842"/>
    <s v="POL52659"/>
    <d v="2023-03-10T00:00:00"/>
    <n v="167642.79"/>
    <x v="2"/>
    <x v="0"/>
    <x v="1"/>
    <n v="25"/>
    <x v="5"/>
    <x v="3"/>
    <x v="3"/>
    <s v="Medium"/>
    <x v="1"/>
  </r>
  <r>
    <x v="843"/>
    <s v="POL50111"/>
    <d v="2024-07-10T00:00:00"/>
    <n v="169887.9"/>
    <x v="0"/>
    <x v="1"/>
    <x v="0"/>
    <n v="41"/>
    <x v="2"/>
    <x v="2"/>
    <x v="1"/>
    <s v="Medium"/>
    <x v="0"/>
  </r>
  <r>
    <x v="844"/>
    <s v="POL51223"/>
    <d v="2024-11-09T00:00:00"/>
    <n v="55533.57"/>
    <x v="2"/>
    <x v="3"/>
    <x v="0"/>
    <n v="56"/>
    <x v="11"/>
    <x v="2"/>
    <x v="0"/>
    <s v="Low"/>
    <x v="0"/>
  </r>
  <r>
    <x v="845"/>
    <s v="POL51351"/>
    <d v="2024-06-24T00:00:00"/>
    <n v="124968.58"/>
    <x v="1"/>
    <x v="4"/>
    <x v="0"/>
    <n v="58"/>
    <x v="3"/>
    <x v="2"/>
    <x v="2"/>
    <s v="Medium"/>
    <x v="0"/>
  </r>
  <r>
    <x v="846"/>
    <s v="POL51149"/>
    <d v="2023-11-02T00:00:00"/>
    <n v="110220.4"/>
    <x v="0"/>
    <x v="2"/>
    <x v="1"/>
    <n v="17"/>
    <x v="11"/>
    <x v="3"/>
    <x v="0"/>
    <s v="Medium"/>
    <x v="1"/>
  </r>
  <r>
    <x v="847"/>
    <s v="POL52332"/>
    <d v="2021-09-06T00:00:00"/>
    <n v="99694.080000000002"/>
    <x v="1"/>
    <x v="0"/>
    <x v="0"/>
    <n v="39"/>
    <x v="7"/>
    <x v="1"/>
    <x v="1"/>
    <s v="Low"/>
    <x v="0"/>
  </r>
  <r>
    <x v="848"/>
    <s v="POL50124"/>
    <d v="2024-01-31T00:00:00"/>
    <n v="200527.17"/>
    <x v="2"/>
    <x v="1"/>
    <x v="0"/>
    <n v="17"/>
    <x v="8"/>
    <x v="2"/>
    <x v="3"/>
    <s v="High"/>
    <x v="1"/>
  </r>
  <r>
    <x v="849"/>
    <s v="POL53206"/>
    <d v="2024-04-20T00:00:00"/>
    <n v="220802.92"/>
    <x v="1"/>
    <x v="3"/>
    <x v="1"/>
    <n v="4"/>
    <x v="9"/>
    <x v="2"/>
    <x v="2"/>
    <s v="High"/>
    <x v="1"/>
  </r>
  <r>
    <x v="850"/>
    <s v="POL53912"/>
    <d v="2023-03-27T00:00:00"/>
    <n v="233659.67"/>
    <x v="1"/>
    <x v="4"/>
    <x v="1"/>
    <n v="36"/>
    <x v="5"/>
    <x v="3"/>
    <x v="3"/>
    <s v="High"/>
    <x v="0"/>
  </r>
  <r>
    <x v="851"/>
    <s v="POL53170"/>
    <d v="2022-07-29T00:00:00"/>
    <n v="153408.16"/>
    <x v="2"/>
    <x v="3"/>
    <x v="0"/>
    <n v="58"/>
    <x v="2"/>
    <x v="0"/>
    <x v="1"/>
    <s v="Medium"/>
    <x v="0"/>
  </r>
  <r>
    <x v="852"/>
    <s v="POL53941"/>
    <d v="2024-04-18T00:00:00"/>
    <n v="285861.71000000002"/>
    <x v="0"/>
    <x v="0"/>
    <x v="0"/>
    <n v="29"/>
    <x v="9"/>
    <x v="2"/>
    <x v="2"/>
    <s v="High"/>
    <x v="1"/>
  </r>
  <r>
    <x v="853"/>
    <s v="POL50001"/>
    <d v="2022-04-09T00:00:00"/>
    <n v="450077.9"/>
    <x v="2"/>
    <x v="3"/>
    <x v="0"/>
    <n v="27"/>
    <x v="9"/>
    <x v="0"/>
    <x v="2"/>
    <s v="High"/>
    <x v="1"/>
  </r>
  <r>
    <x v="854"/>
    <s v="POL51622"/>
    <d v="2022-12-18T00:00:00"/>
    <n v="132591.39000000001"/>
    <x v="0"/>
    <x v="3"/>
    <x v="1"/>
    <n v="48"/>
    <x v="1"/>
    <x v="0"/>
    <x v="0"/>
    <s v="Medium"/>
    <x v="0"/>
  </r>
  <r>
    <x v="855"/>
    <s v="POL52785"/>
    <d v="2024-03-14T00:00:00"/>
    <n v="480640.27"/>
    <x v="1"/>
    <x v="3"/>
    <x v="0"/>
    <n v="59"/>
    <x v="5"/>
    <x v="2"/>
    <x v="3"/>
    <s v="High"/>
    <x v="0"/>
  </r>
  <r>
    <x v="856"/>
    <s v="POL53197"/>
    <d v="2023-12-04T00:00:00"/>
    <n v="113827.07"/>
    <x v="1"/>
    <x v="0"/>
    <x v="1"/>
    <n v="25"/>
    <x v="1"/>
    <x v="3"/>
    <x v="0"/>
    <s v="Medium"/>
    <x v="1"/>
  </r>
  <r>
    <x v="857"/>
    <s v="POL50707"/>
    <d v="2024-03-17T00:00:00"/>
    <n v="188934.89"/>
    <x v="1"/>
    <x v="4"/>
    <x v="0"/>
    <n v="23"/>
    <x v="5"/>
    <x v="2"/>
    <x v="3"/>
    <s v="Medium"/>
    <x v="1"/>
  </r>
  <r>
    <x v="858"/>
    <s v="POL50437"/>
    <d v="2021-11-01T00:00:00"/>
    <n v="141006.24"/>
    <x v="0"/>
    <x v="3"/>
    <x v="0"/>
    <n v="18"/>
    <x v="11"/>
    <x v="1"/>
    <x v="0"/>
    <s v="Medium"/>
    <x v="1"/>
  </r>
  <r>
    <x v="859"/>
    <s v="POL51745"/>
    <d v="2023-02-03T00:00:00"/>
    <n v="326579.23"/>
    <x v="2"/>
    <x v="0"/>
    <x v="0"/>
    <n v="2"/>
    <x v="10"/>
    <x v="3"/>
    <x v="3"/>
    <s v="High"/>
    <x v="1"/>
  </r>
  <r>
    <x v="860"/>
    <s v="POL52056"/>
    <d v="2022-05-22T00:00:00"/>
    <n v="303270.61"/>
    <x v="1"/>
    <x v="0"/>
    <x v="0"/>
    <n v="39"/>
    <x v="6"/>
    <x v="0"/>
    <x v="2"/>
    <s v="High"/>
    <x v="0"/>
  </r>
  <r>
    <x v="861"/>
    <s v="POL50903"/>
    <d v="2024-07-16T00:00:00"/>
    <n v="267527.42"/>
    <x v="1"/>
    <x v="2"/>
    <x v="0"/>
    <n v="50"/>
    <x v="2"/>
    <x v="2"/>
    <x v="1"/>
    <s v="High"/>
    <x v="0"/>
  </r>
  <r>
    <x v="862"/>
    <s v="POL50764"/>
    <d v="2022-11-16T00:00:00"/>
    <n v="10473.36"/>
    <x v="0"/>
    <x v="0"/>
    <x v="1"/>
    <n v="53"/>
    <x v="11"/>
    <x v="0"/>
    <x v="0"/>
    <s v="Low"/>
    <x v="0"/>
  </r>
  <r>
    <x v="863"/>
    <s v="POL51485"/>
    <d v="2022-12-11T00:00:00"/>
    <n v="465418.81"/>
    <x v="0"/>
    <x v="4"/>
    <x v="0"/>
    <n v="15"/>
    <x v="1"/>
    <x v="0"/>
    <x v="0"/>
    <s v="High"/>
    <x v="1"/>
  </r>
  <r>
    <x v="864"/>
    <s v="POL52381"/>
    <d v="2023-09-04T00:00:00"/>
    <n v="467510.34"/>
    <x v="2"/>
    <x v="1"/>
    <x v="0"/>
    <n v="32"/>
    <x v="7"/>
    <x v="3"/>
    <x v="1"/>
    <s v="High"/>
    <x v="0"/>
  </r>
  <r>
    <x v="865"/>
    <s v="POL52866"/>
    <d v="2024-03-31T00:00:00"/>
    <n v="315790.74"/>
    <x v="0"/>
    <x v="1"/>
    <x v="0"/>
    <n v="38"/>
    <x v="5"/>
    <x v="2"/>
    <x v="3"/>
    <s v="High"/>
    <x v="0"/>
  </r>
  <r>
    <x v="866"/>
    <s v="POL52944"/>
    <d v="2021-04-21T00:00:00"/>
    <n v="121358.55"/>
    <x v="1"/>
    <x v="1"/>
    <x v="0"/>
    <n v="49"/>
    <x v="9"/>
    <x v="1"/>
    <x v="2"/>
    <s v="Medium"/>
    <x v="0"/>
  </r>
  <r>
    <x v="867"/>
    <s v="POL50906"/>
    <d v="2022-12-19T00:00:00"/>
    <n v="401912.99"/>
    <x v="0"/>
    <x v="0"/>
    <x v="0"/>
    <n v="19"/>
    <x v="1"/>
    <x v="0"/>
    <x v="0"/>
    <s v="High"/>
    <x v="1"/>
  </r>
  <r>
    <x v="868"/>
    <s v="POL52324"/>
    <d v="2023-10-14T00:00:00"/>
    <n v="186979.35"/>
    <x v="1"/>
    <x v="4"/>
    <x v="0"/>
    <n v="6"/>
    <x v="0"/>
    <x v="3"/>
    <x v="0"/>
    <s v="Medium"/>
    <x v="1"/>
  </r>
  <r>
    <x v="869"/>
    <s v="POL51923"/>
    <d v="2024-09-01T00:00:00"/>
    <n v="301209.59999999998"/>
    <x v="2"/>
    <x v="2"/>
    <x v="0"/>
    <n v="10"/>
    <x v="7"/>
    <x v="2"/>
    <x v="1"/>
    <s v="High"/>
    <x v="1"/>
  </r>
  <r>
    <x v="870"/>
    <s v="POL51240"/>
    <d v="2024-02-20T00:00:00"/>
    <n v="267582.53999999998"/>
    <x v="2"/>
    <x v="4"/>
    <x v="0"/>
    <n v="22"/>
    <x v="10"/>
    <x v="2"/>
    <x v="3"/>
    <s v="High"/>
    <x v="1"/>
  </r>
  <r>
    <x v="871"/>
    <s v="POL53978"/>
    <d v="2024-08-08T00:00:00"/>
    <n v="169464.35"/>
    <x v="0"/>
    <x v="1"/>
    <x v="1"/>
    <n v="6"/>
    <x v="4"/>
    <x v="2"/>
    <x v="1"/>
    <s v="Medium"/>
    <x v="1"/>
  </r>
  <r>
    <x v="872"/>
    <s v="POL51520"/>
    <d v="2024-06-13T00:00:00"/>
    <n v="449358.59"/>
    <x v="0"/>
    <x v="0"/>
    <x v="0"/>
    <n v="22"/>
    <x v="3"/>
    <x v="2"/>
    <x v="2"/>
    <s v="High"/>
    <x v="1"/>
  </r>
  <r>
    <x v="873"/>
    <s v="POL51258"/>
    <d v="2022-12-24T00:00:00"/>
    <n v="289482.56"/>
    <x v="0"/>
    <x v="1"/>
    <x v="0"/>
    <n v="35"/>
    <x v="1"/>
    <x v="0"/>
    <x v="0"/>
    <s v="High"/>
    <x v="0"/>
  </r>
  <r>
    <x v="874"/>
    <s v="POL53840"/>
    <d v="2024-02-27T00:00:00"/>
    <n v="118778.14"/>
    <x v="1"/>
    <x v="4"/>
    <x v="1"/>
    <n v="44"/>
    <x v="10"/>
    <x v="2"/>
    <x v="3"/>
    <s v="Medium"/>
    <x v="0"/>
  </r>
  <r>
    <x v="875"/>
    <s v="POL51809"/>
    <d v="2022-07-12T00:00:00"/>
    <n v="131003.35"/>
    <x v="1"/>
    <x v="1"/>
    <x v="0"/>
    <n v="38"/>
    <x v="2"/>
    <x v="0"/>
    <x v="1"/>
    <s v="Medium"/>
    <x v="0"/>
  </r>
  <r>
    <x v="876"/>
    <s v="POL53478"/>
    <d v="2022-08-04T00:00:00"/>
    <n v="449503.95"/>
    <x v="0"/>
    <x v="1"/>
    <x v="1"/>
    <n v="45"/>
    <x v="4"/>
    <x v="0"/>
    <x v="1"/>
    <s v="High"/>
    <x v="0"/>
  </r>
  <r>
    <x v="877"/>
    <s v="POL52744"/>
    <d v="2024-06-13T00:00:00"/>
    <n v="205377.29"/>
    <x v="1"/>
    <x v="1"/>
    <x v="1"/>
    <n v="32"/>
    <x v="3"/>
    <x v="2"/>
    <x v="2"/>
    <s v="High"/>
    <x v="0"/>
  </r>
  <r>
    <x v="878"/>
    <s v="POL50809"/>
    <d v="2025-03-29T00:00:00"/>
    <n v="363991.44"/>
    <x v="2"/>
    <x v="0"/>
    <x v="1"/>
    <n v="48"/>
    <x v="5"/>
    <x v="4"/>
    <x v="3"/>
    <s v="High"/>
    <x v="0"/>
  </r>
  <r>
    <x v="879"/>
    <s v="POL50168"/>
    <d v="2023-03-11T00:00:00"/>
    <n v="141286.07999999999"/>
    <x v="2"/>
    <x v="0"/>
    <x v="0"/>
    <n v="45"/>
    <x v="5"/>
    <x v="3"/>
    <x v="3"/>
    <s v="Medium"/>
    <x v="0"/>
  </r>
  <r>
    <x v="880"/>
    <s v="POL50788"/>
    <d v="2025-03-11T00:00:00"/>
    <n v="438293.13"/>
    <x v="2"/>
    <x v="4"/>
    <x v="1"/>
    <n v="4"/>
    <x v="5"/>
    <x v="4"/>
    <x v="3"/>
    <s v="High"/>
    <x v="1"/>
  </r>
  <r>
    <x v="881"/>
    <s v="POL52105"/>
    <d v="2022-03-07T00:00:00"/>
    <n v="160249.46"/>
    <x v="0"/>
    <x v="1"/>
    <x v="0"/>
    <n v="13"/>
    <x v="5"/>
    <x v="0"/>
    <x v="3"/>
    <s v="Medium"/>
    <x v="1"/>
  </r>
  <r>
    <x v="882"/>
    <s v="POL51020"/>
    <d v="2024-09-19T00:00:00"/>
    <n v="30001.4"/>
    <x v="0"/>
    <x v="0"/>
    <x v="0"/>
    <n v="22"/>
    <x v="7"/>
    <x v="2"/>
    <x v="1"/>
    <s v="Low"/>
    <x v="1"/>
  </r>
  <r>
    <x v="883"/>
    <s v="POL52230"/>
    <d v="2024-08-16T00:00:00"/>
    <n v="268026.08"/>
    <x v="0"/>
    <x v="1"/>
    <x v="1"/>
    <n v="34"/>
    <x v="4"/>
    <x v="2"/>
    <x v="1"/>
    <s v="High"/>
    <x v="0"/>
  </r>
  <r>
    <x v="884"/>
    <s v="POL52168"/>
    <d v="2025-01-13T00:00:00"/>
    <n v="301755.32"/>
    <x v="2"/>
    <x v="0"/>
    <x v="1"/>
    <n v="54"/>
    <x v="8"/>
    <x v="4"/>
    <x v="3"/>
    <s v="High"/>
    <x v="0"/>
  </r>
  <r>
    <x v="885"/>
    <s v="POL52956"/>
    <d v="2024-02-14T00:00:00"/>
    <n v="289260.89"/>
    <x v="0"/>
    <x v="0"/>
    <x v="1"/>
    <n v="56"/>
    <x v="10"/>
    <x v="2"/>
    <x v="3"/>
    <s v="High"/>
    <x v="0"/>
  </r>
  <r>
    <x v="886"/>
    <s v="POL53569"/>
    <d v="2024-04-17T00:00:00"/>
    <n v="74245.83"/>
    <x v="0"/>
    <x v="1"/>
    <x v="1"/>
    <n v="9"/>
    <x v="9"/>
    <x v="2"/>
    <x v="2"/>
    <s v="Low"/>
    <x v="1"/>
  </r>
  <r>
    <x v="887"/>
    <s v="POL52338"/>
    <d v="2023-03-28T00:00:00"/>
    <n v="450675.9"/>
    <x v="1"/>
    <x v="3"/>
    <x v="1"/>
    <n v="39"/>
    <x v="5"/>
    <x v="3"/>
    <x v="3"/>
    <s v="High"/>
    <x v="0"/>
  </r>
  <r>
    <x v="888"/>
    <s v="POL50059"/>
    <d v="2024-02-29T00:00:00"/>
    <n v="383780.52"/>
    <x v="0"/>
    <x v="2"/>
    <x v="1"/>
    <n v="29"/>
    <x v="10"/>
    <x v="2"/>
    <x v="3"/>
    <s v="High"/>
    <x v="1"/>
  </r>
  <r>
    <x v="889"/>
    <s v="POL52871"/>
    <d v="2024-01-11T00:00:00"/>
    <n v="321808.40999999997"/>
    <x v="0"/>
    <x v="0"/>
    <x v="1"/>
    <n v="31"/>
    <x v="8"/>
    <x v="2"/>
    <x v="3"/>
    <s v="High"/>
    <x v="0"/>
  </r>
  <r>
    <x v="890"/>
    <s v="POL53021"/>
    <d v="2023-02-19T00:00:00"/>
    <n v="340973.85"/>
    <x v="2"/>
    <x v="4"/>
    <x v="1"/>
    <n v="59"/>
    <x v="10"/>
    <x v="3"/>
    <x v="3"/>
    <s v="High"/>
    <x v="0"/>
  </r>
  <r>
    <x v="891"/>
    <s v="POL50164"/>
    <d v="2023-12-20T00:00:00"/>
    <n v="262674.95"/>
    <x v="0"/>
    <x v="2"/>
    <x v="0"/>
    <n v="59"/>
    <x v="1"/>
    <x v="3"/>
    <x v="0"/>
    <s v="High"/>
    <x v="0"/>
  </r>
  <r>
    <x v="892"/>
    <s v="POL52132"/>
    <d v="2023-03-06T00:00:00"/>
    <n v="209903.85"/>
    <x v="1"/>
    <x v="4"/>
    <x v="1"/>
    <n v="25"/>
    <x v="5"/>
    <x v="3"/>
    <x v="3"/>
    <s v="High"/>
    <x v="1"/>
  </r>
  <r>
    <x v="893"/>
    <s v="POL53041"/>
    <d v="2025-04-22T00:00:00"/>
    <n v="327396.53000000003"/>
    <x v="1"/>
    <x v="0"/>
    <x v="0"/>
    <n v="38"/>
    <x v="9"/>
    <x v="4"/>
    <x v="2"/>
    <s v="High"/>
    <x v="0"/>
  </r>
  <r>
    <x v="894"/>
    <s v="POL53549"/>
    <d v="2024-01-11T00:00:00"/>
    <n v="64582.54"/>
    <x v="1"/>
    <x v="2"/>
    <x v="0"/>
    <n v="15"/>
    <x v="8"/>
    <x v="2"/>
    <x v="3"/>
    <s v="Low"/>
    <x v="1"/>
  </r>
  <r>
    <x v="895"/>
    <s v="POL52460"/>
    <d v="2023-05-29T00:00:00"/>
    <n v="393695.15"/>
    <x v="2"/>
    <x v="1"/>
    <x v="0"/>
    <n v="14"/>
    <x v="6"/>
    <x v="3"/>
    <x v="2"/>
    <s v="High"/>
    <x v="1"/>
  </r>
  <r>
    <x v="896"/>
    <s v="POL53806"/>
    <d v="2024-07-01T00:00:00"/>
    <n v="186748.54"/>
    <x v="2"/>
    <x v="0"/>
    <x v="0"/>
    <n v="23"/>
    <x v="2"/>
    <x v="2"/>
    <x v="1"/>
    <s v="Medium"/>
    <x v="1"/>
  </r>
  <r>
    <x v="897"/>
    <s v="POL53718"/>
    <d v="2025-02-14T00:00:00"/>
    <n v="363479.77"/>
    <x v="2"/>
    <x v="1"/>
    <x v="0"/>
    <n v="35"/>
    <x v="10"/>
    <x v="4"/>
    <x v="3"/>
    <s v="High"/>
    <x v="0"/>
  </r>
  <r>
    <x v="898"/>
    <s v="POL52106"/>
    <d v="2023-03-27T00:00:00"/>
    <n v="253270.13"/>
    <x v="1"/>
    <x v="3"/>
    <x v="1"/>
    <n v="13"/>
    <x v="5"/>
    <x v="3"/>
    <x v="3"/>
    <s v="High"/>
    <x v="1"/>
  </r>
  <r>
    <x v="899"/>
    <s v="POL51326"/>
    <d v="2024-01-10T00:00:00"/>
    <n v="292835.25"/>
    <x v="0"/>
    <x v="2"/>
    <x v="1"/>
    <n v="32"/>
    <x v="8"/>
    <x v="2"/>
    <x v="3"/>
    <s v="High"/>
    <x v="0"/>
  </r>
  <r>
    <x v="900"/>
    <s v="POL52912"/>
    <d v="2023-05-02T00:00:00"/>
    <n v="17815.04"/>
    <x v="1"/>
    <x v="4"/>
    <x v="0"/>
    <n v="48"/>
    <x v="6"/>
    <x v="3"/>
    <x v="2"/>
    <s v="Low"/>
    <x v="0"/>
  </r>
  <r>
    <x v="901"/>
    <s v="POL52439"/>
    <d v="2023-02-24T00:00:00"/>
    <n v="452720.43"/>
    <x v="2"/>
    <x v="1"/>
    <x v="1"/>
    <n v="51"/>
    <x v="10"/>
    <x v="3"/>
    <x v="3"/>
    <s v="High"/>
    <x v="0"/>
  </r>
  <r>
    <x v="902"/>
    <s v="POL52667"/>
    <d v="2023-06-25T00:00:00"/>
    <n v="490352.67"/>
    <x v="1"/>
    <x v="3"/>
    <x v="1"/>
    <n v="46"/>
    <x v="3"/>
    <x v="3"/>
    <x v="2"/>
    <s v="High"/>
    <x v="0"/>
  </r>
  <r>
    <x v="903"/>
    <s v="POL52385"/>
    <d v="2024-11-05T00:00:00"/>
    <n v="376466.96"/>
    <x v="0"/>
    <x v="0"/>
    <x v="1"/>
    <n v="20"/>
    <x v="11"/>
    <x v="2"/>
    <x v="0"/>
    <s v="High"/>
    <x v="1"/>
  </r>
  <r>
    <x v="904"/>
    <s v="POL50679"/>
    <d v="2023-02-18T00:00:00"/>
    <n v="434878.95"/>
    <x v="0"/>
    <x v="1"/>
    <x v="1"/>
    <n v="13"/>
    <x v="10"/>
    <x v="3"/>
    <x v="3"/>
    <s v="High"/>
    <x v="1"/>
  </r>
  <r>
    <x v="905"/>
    <s v="POL50886"/>
    <d v="2024-11-29T00:00:00"/>
    <n v="448286.88"/>
    <x v="0"/>
    <x v="4"/>
    <x v="1"/>
    <n v="26"/>
    <x v="11"/>
    <x v="2"/>
    <x v="0"/>
    <s v="High"/>
    <x v="1"/>
  </r>
  <r>
    <x v="906"/>
    <s v="POL53753"/>
    <d v="2024-10-07T00:00:00"/>
    <n v="51162.78"/>
    <x v="0"/>
    <x v="1"/>
    <x v="1"/>
    <n v="20"/>
    <x v="0"/>
    <x v="2"/>
    <x v="0"/>
    <s v="Low"/>
    <x v="1"/>
  </r>
  <r>
    <x v="907"/>
    <s v="POL53560"/>
    <d v="2024-08-13T00:00:00"/>
    <n v="281264.43"/>
    <x v="2"/>
    <x v="2"/>
    <x v="1"/>
    <n v="54"/>
    <x v="4"/>
    <x v="2"/>
    <x v="1"/>
    <s v="High"/>
    <x v="0"/>
  </r>
  <r>
    <x v="908"/>
    <s v="POL50533"/>
    <d v="2024-08-23T00:00:00"/>
    <n v="408506.72"/>
    <x v="2"/>
    <x v="0"/>
    <x v="1"/>
    <n v="36"/>
    <x v="4"/>
    <x v="2"/>
    <x v="1"/>
    <s v="High"/>
    <x v="0"/>
  </r>
  <r>
    <x v="909"/>
    <s v="POL52440"/>
    <d v="2023-01-07T00:00:00"/>
    <n v="467078.24"/>
    <x v="1"/>
    <x v="2"/>
    <x v="1"/>
    <n v="12"/>
    <x v="8"/>
    <x v="3"/>
    <x v="3"/>
    <s v="High"/>
    <x v="1"/>
  </r>
  <r>
    <x v="910"/>
    <s v="POL50984"/>
    <d v="2020-09-03T00:00:00"/>
    <n v="256785.91"/>
    <x v="1"/>
    <x v="1"/>
    <x v="0"/>
    <n v="33"/>
    <x v="7"/>
    <x v="5"/>
    <x v="1"/>
    <s v="High"/>
    <x v="0"/>
  </r>
  <r>
    <x v="911"/>
    <s v="POL50118"/>
    <d v="2021-09-29T00:00:00"/>
    <n v="69511.55"/>
    <x v="1"/>
    <x v="0"/>
    <x v="1"/>
    <n v="17"/>
    <x v="7"/>
    <x v="1"/>
    <x v="1"/>
    <s v="Low"/>
    <x v="1"/>
  </r>
  <r>
    <x v="912"/>
    <s v="POL53044"/>
    <d v="2024-03-31T00:00:00"/>
    <n v="14203.35"/>
    <x v="1"/>
    <x v="1"/>
    <x v="0"/>
    <n v="48"/>
    <x v="5"/>
    <x v="2"/>
    <x v="3"/>
    <s v="Low"/>
    <x v="0"/>
  </r>
  <r>
    <x v="913"/>
    <s v="POL53964"/>
    <d v="2023-03-26T00:00:00"/>
    <n v="70028.34"/>
    <x v="2"/>
    <x v="1"/>
    <x v="1"/>
    <n v="46"/>
    <x v="5"/>
    <x v="3"/>
    <x v="3"/>
    <s v="Low"/>
    <x v="0"/>
  </r>
  <r>
    <x v="914"/>
    <s v="POL51182"/>
    <d v="2022-05-07T00:00:00"/>
    <n v="294902.53999999998"/>
    <x v="0"/>
    <x v="1"/>
    <x v="1"/>
    <n v="47"/>
    <x v="6"/>
    <x v="0"/>
    <x v="2"/>
    <s v="High"/>
    <x v="0"/>
  </r>
  <r>
    <x v="915"/>
    <s v="POL51018"/>
    <d v="2020-10-25T00:00:00"/>
    <n v="442524.66"/>
    <x v="1"/>
    <x v="1"/>
    <x v="0"/>
    <n v="58"/>
    <x v="0"/>
    <x v="5"/>
    <x v="0"/>
    <s v="High"/>
    <x v="0"/>
  </r>
  <r>
    <x v="916"/>
    <s v="POL52558"/>
    <d v="2022-01-30T00:00:00"/>
    <n v="62621.23"/>
    <x v="0"/>
    <x v="4"/>
    <x v="1"/>
    <n v="58"/>
    <x v="8"/>
    <x v="0"/>
    <x v="3"/>
    <s v="Low"/>
    <x v="0"/>
  </r>
  <r>
    <x v="917"/>
    <s v="POL50007"/>
    <d v="2023-03-25T00:00:00"/>
    <n v="33165.300000000003"/>
    <x v="1"/>
    <x v="3"/>
    <x v="0"/>
    <n v="33"/>
    <x v="5"/>
    <x v="3"/>
    <x v="3"/>
    <s v="Low"/>
    <x v="0"/>
  </r>
  <r>
    <x v="918"/>
    <s v="POL51451"/>
    <d v="2022-02-02T00:00:00"/>
    <n v="448583.61"/>
    <x v="0"/>
    <x v="3"/>
    <x v="0"/>
    <n v="37"/>
    <x v="10"/>
    <x v="0"/>
    <x v="3"/>
    <s v="High"/>
    <x v="0"/>
  </r>
  <r>
    <x v="919"/>
    <s v="POL50409"/>
    <d v="2025-04-30T00:00:00"/>
    <n v="145481.57"/>
    <x v="2"/>
    <x v="2"/>
    <x v="1"/>
    <n v="46"/>
    <x v="9"/>
    <x v="4"/>
    <x v="2"/>
    <s v="Medium"/>
    <x v="0"/>
  </r>
  <r>
    <x v="920"/>
    <s v="POL53267"/>
    <d v="2024-03-22T00:00:00"/>
    <n v="186593.2"/>
    <x v="1"/>
    <x v="2"/>
    <x v="1"/>
    <n v="10"/>
    <x v="5"/>
    <x v="2"/>
    <x v="3"/>
    <s v="Medium"/>
    <x v="1"/>
  </r>
  <r>
    <x v="921"/>
    <s v="POL53869"/>
    <d v="2024-05-20T00:00:00"/>
    <n v="427754.36"/>
    <x v="2"/>
    <x v="2"/>
    <x v="0"/>
    <n v="5"/>
    <x v="6"/>
    <x v="2"/>
    <x v="2"/>
    <s v="High"/>
    <x v="1"/>
  </r>
  <r>
    <x v="922"/>
    <s v="POL50111"/>
    <d v="2024-12-19T00:00:00"/>
    <n v="98635.43"/>
    <x v="2"/>
    <x v="2"/>
    <x v="1"/>
    <n v="4"/>
    <x v="1"/>
    <x v="2"/>
    <x v="0"/>
    <s v="Low"/>
    <x v="1"/>
  </r>
  <r>
    <x v="923"/>
    <s v="POL52091"/>
    <d v="2024-10-14T00:00:00"/>
    <n v="173955.71"/>
    <x v="1"/>
    <x v="1"/>
    <x v="0"/>
    <n v="6"/>
    <x v="0"/>
    <x v="2"/>
    <x v="0"/>
    <s v="Medium"/>
    <x v="1"/>
  </r>
  <r>
    <x v="924"/>
    <s v="POL52117"/>
    <d v="2024-01-07T00:00:00"/>
    <n v="102260.26"/>
    <x v="1"/>
    <x v="4"/>
    <x v="1"/>
    <n v="25"/>
    <x v="8"/>
    <x v="2"/>
    <x v="3"/>
    <s v="Medium"/>
    <x v="1"/>
  </r>
  <r>
    <x v="925"/>
    <s v="POL50306"/>
    <d v="2023-09-10T00:00:00"/>
    <n v="219703.71"/>
    <x v="0"/>
    <x v="0"/>
    <x v="1"/>
    <n v="58"/>
    <x v="7"/>
    <x v="3"/>
    <x v="1"/>
    <s v="High"/>
    <x v="0"/>
  </r>
  <r>
    <x v="926"/>
    <s v="POL53771"/>
    <d v="2024-05-04T00:00:00"/>
    <n v="489698.88"/>
    <x v="0"/>
    <x v="0"/>
    <x v="1"/>
    <n v="56"/>
    <x v="6"/>
    <x v="2"/>
    <x v="2"/>
    <s v="High"/>
    <x v="0"/>
  </r>
  <r>
    <x v="927"/>
    <s v="POL53593"/>
    <d v="2023-04-25T00:00:00"/>
    <n v="316779.75"/>
    <x v="1"/>
    <x v="2"/>
    <x v="1"/>
    <n v="26"/>
    <x v="9"/>
    <x v="3"/>
    <x v="2"/>
    <s v="High"/>
    <x v="1"/>
  </r>
  <r>
    <x v="928"/>
    <s v="POL53619"/>
    <d v="2023-08-22T00:00:00"/>
    <n v="281457.71000000002"/>
    <x v="0"/>
    <x v="2"/>
    <x v="0"/>
    <n v="31"/>
    <x v="4"/>
    <x v="3"/>
    <x v="1"/>
    <s v="High"/>
    <x v="0"/>
  </r>
  <r>
    <x v="929"/>
    <s v="POL50188"/>
    <d v="2025-01-20T00:00:00"/>
    <n v="122199.35"/>
    <x v="1"/>
    <x v="3"/>
    <x v="0"/>
    <n v="2"/>
    <x v="8"/>
    <x v="4"/>
    <x v="3"/>
    <s v="Medium"/>
    <x v="1"/>
  </r>
  <r>
    <x v="930"/>
    <s v="POL52279"/>
    <d v="2022-04-21T00:00:00"/>
    <n v="310127.23"/>
    <x v="2"/>
    <x v="2"/>
    <x v="0"/>
    <n v="59"/>
    <x v="9"/>
    <x v="0"/>
    <x v="2"/>
    <s v="High"/>
    <x v="0"/>
  </r>
  <r>
    <x v="931"/>
    <s v="POL52213"/>
    <d v="2022-10-02T00:00:00"/>
    <n v="81678.789999999994"/>
    <x v="0"/>
    <x v="3"/>
    <x v="0"/>
    <n v="30"/>
    <x v="0"/>
    <x v="0"/>
    <x v="0"/>
    <s v="Low"/>
    <x v="1"/>
  </r>
  <r>
    <x v="932"/>
    <s v="POL52242"/>
    <d v="2023-06-14T00:00:00"/>
    <n v="324333.51"/>
    <x v="0"/>
    <x v="4"/>
    <x v="1"/>
    <n v="47"/>
    <x v="3"/>
    <x v="3"/>
    <x v="2"/>
    <s v="High"/>
    <x v="0"/>
  </r>
  <r>
    <x v="933"/>
    <s v="POL50964"/>
    <d v="2024-05-14T00:00:00"/>
    <n v="230398.73"/>
    <x v="0"/>
    <x v="1"/>
    <x v="0"/>
    <n v="24"/>
    <x v="6"/>
    <x v="2"/>
    <x v="2"/>
    <s v="High"/>
    <x v="1"/>
  </r>
  <r>
    <x v="934"/>
    <s v="POL50509"/>
    <d v="2024-01-28T00:00:00"/>
    <n v="25511.98"/>
    <x v="1"/>
    <x v="0"/>
    <x v="1"/>
    <n v="4"/>
    <x v="8"/>
    <x v="2"/>
    <x v="3"/>
    <s v="Low"/>
    <x v="1"/>
  </r>
  <r>
    <x v="935"/>
    <s v="POL52987"/>
    <d v="2023-05-04T00:00:00"/>
    <n v="24262.07"/>
    <x v="1"/>
    <x v="3"/>
    <x v="0"/>
    <n v="30"/>
    <x v="6"/>
    <x v="3"/>
    <x v="2"/>
    <s v="Low"/>
    <x v="1"/>
  </r>
  <r>
    <x v="936"/>
    <s v="POL50471"/>
    <d v="2024-06-10T00:00:00"/>
    <n v="438552.96"/>
    <x v="1"/>
    <x v="3"/>
    <x v="0"/>
    <n v="49"/>
    <x v="3"/>
    <x v="2"/>
    <x v="2"/>
    <s v="High"/>
    <x v="0"/>
  </r>
  <r>
    <x v="937"/>
    <s v="POL51099"/>
    <d v="2024-08-25T00:00:00"/>
    <n v="403571.91"/>
    <x v="0"/>
    <x v="1"/>
    <x v="0"/>
    <n v="30"/>
    <x v="4"/>
    <x v="2"/>
    <x v="1"/>
    <s v="High"/>
    <x v="1"/>
  </r>
  <r>
    <x v="938"/>
    <s v="POL52555"/>
    <d v="2023-10-10T00:00:00"/>
    <n v="222606.71"/>
    <x v="2"/>
    <x v="1"/>
    <x v="0"/>
    <n v="10"/>
    <x v="0"/>
    <x v="3"/>
    <x v="0"/>
    <s v="High"/>
    <x v="1"/>
  </r>
  <r>
    <x v="939"/>
    <s v="POL52730"/>
    <d v="2024-07-16T00:00:00"/>
    <n v="51886.1"/>
    <x v="0"/>
    <x v="0"/>
    <x v="1"/>
    <n v="26"/>
    <x v="2"/>
    <x v="2"/>
    <x v="1"/>
    <s v="Low"/>
    <x v="1"/>
  </r>
  <r>
    <x v="940"/>
    <s v="POL52761"/>
    <d v="2024-08-13T00:00:00"/>
    <n v="444858.46"/>
    <x v="1"/>
    <x v="2"/>
    <x v="1"/>
    <n v="4"/>
    <x v="4"/>
    <x v="2"/>
    <x v="1"/>
    <s v="High"/>
    <x v="1"/>
  </r>
  <r>
    <x v="941"/>
    <s v="POL52108"/>
    <d v="2024-06-04T00:00:00"/>
    <n v="227970.96"/>
    <x v="1"/>
    <x v="1"/>
    <x v="1"/>
    <n v="42"/>
    <x v="3"/>
    <x v="2"/>
    <x v="2"/>
    <s v="High"/>
    <x v="0"/>
  </r>
  <r>
    <x v="942"/>
    <s v="POL50617"/>
    <d v="2024-10-10T00:00:00"/>
    <n v="363971.77"/>
    <x v="0"/>
    <x v="3"/>
    <x v="1"/>
    <n v="43"/>
    <x v="0"/>
    <x v="2"/>
    <x v="0"/>
    <s v="High"/>
    <x v="0"/>
  </r>
  <r>
    <x v="943"/>
    <s v="POL50111"/>
    <d v="2024-08-19T00:00:00"/>
    <n v="392192.18"/>
    <x v="2"/>
    <x v="3"/>
    <x v="1"/>
    <n v="45"/>
    <x v="4"/>
    <x v="2"/>
    <x v="1"/>
    <s v="High"/>
    <x v="0"/>
  </r>
  <r>
    <x v="944"/>
    <s v="POL51303"/>
    <d v="2022-04-20T00:00:00"/>
    <n v="297341.03999999998"/>
    <x v="0"/>
    <x v="3"/>
    <x v="0"/>
    <n v="22"/>
    <x v="9"/>
    <x v="0"/>
    <x v="2"/>
    <s v="High"/>
    <x v="1"/>
  </r>
  <r>
    <x v="945"/>
    <s v="POL53779"/>
    <d v="2024-07-12T00:00:00"/>
    <n v="466075.58"/>
    <x v="1"/>
    <x v="2"/>
    <x v="1"/>
    <n v="35"/>
    <x v="2"/>
    <x v="2"/>
    <x v="1"/>
    <s v="High"/>
    <x v="0"/>
  </r>
  <r>
    <x v="946"/>
    <s v="POL52159"/>
    <d v="2024-01-17T00:00:00"/>
    <n v="30454.61"/>
    <x v="1"/>
    <x v="1"/>
    <x v="0"/>
    <n v="56"/>
    <x v="8"/>
    <x v="2"/>
    <x v="3"/>
    <s v="Low"/>
    <x v="0"/>
  </r>
  <r>
    <x v="947"/>
    <s v="POL50279"/>
    <d v="2021-08-19T00:00:00"/>
    <n v="256231.87"/>
    <x v="1"/>
    <x v="1"/>
    <x v="1"/>
    <n v="9"/>
    <x v="4"/>
    <x v="1"/>
    <x v="1"/>
    <s v="High"/>
    <x v="1"/>
  </r>
  <r>
    <x v="948"/>
    <s v="POL53242"/>
    <d v="2023-06-04T00:00:00"/>
    <n v="363104.83"/>
    <x v="0"/>
    <x v="4"/>
    <x v="0"/>
    <n v="36"/>
    <x v="3"/>
    <x v="3"/>
    <x v="2"/>
    <s v="High"/>
    <x v="0"/>
  </r>
  <r>
    <x v="949"/>
    <s v="POL53585"/>
    <d v="2024-12-10T00:00:00"/>
    <n v="184621.55"/>
    <x v="1"/>
    <x v="4"/>
    <x v="0"/>
    <n v="15"/>
    <x v="1"/>
    <x v="2"/>
    <x v="0"/>
    <s v="Medium"/>
    <x v="1"/>
  </r>
  <r>
    <x v="950"/>
    <s v="POL53616"/>
    <d v="2023-02-14T00:00:00"/>
    <n v="99410.72"/>
    <x v="2"/>
    <x v="1"/>
    <x v="1"/>
    <n v="4"/>
    <x v="10"/>
    <x v="3"/>
    <x v="3"/>
    <s v="Low"/>
    <x v="1"/>
  </r>
  <r>
    <x v="951"/>
    <s v="POL51995"/>
    <d v="2022-07-30T00:00:00"/>
    <n v="164023.38"/>
    <x v="0"/>
    <x v="1"/>
    <x v="0"/>
    <n v="18"/>
    <x v="2"/>
    <x v="0"/>
    <x v="1"/>
    <s v="Medium"/>
    <x v="1"/>
  </r>
  <r>
    <x v="952"/>
    <s v="POL52884"/>
    <d v="2023-06-03T00:00:00"/>
    <n v="65350.77"/>
    <x v="1"/>
    <x v="3"/>
    <x v="0"/>
    <n v="30"/>
    <x v="3"/>
    <x v="3"/>
    <x v="2"/>
    <s v="Low"/>
    <x v="1"/>
  </r>
  <r>
    <x v="953"/>
    <s v="POL50343"/>
    <d v="2024-10-01T00:00:00"/>
    <n v="131376.03"/>
    <x v="0"/>
    <x v="0"/>
    <x v="1"/>
    <n v="55"/>
    <x v="0"/>
    <x v="2"/>
    <x v="0"/>
    <s v="Medium"/>
    <x v="0"/>
  </r>
  <r>
    <x v="954"/>
    <s v="POL51166"/>
    <d v="2025-05-27T00:00:00"/>
    <n v="107879.58"/>
    <x v="0"/>
    <x v="4"/>
    <x v="1"/>
    <n v="2"/>
    <x v="6"/>
    <x v="4"/>
    <x v="2"/>
    <s v="Medium"/>
    <x v="1"/>
  </r>
  <r>
    <x v="955"/>
    <s v="POL51007"/>
    <d v="2023-08-09T00:00:00"/>
    <n v="297394.61"/>
    <x v="1"/>
    <x v="0"/>
    <x v="0"/>
    <n v="23"/>
    <x v="4"/>
    <x v="3"/>
    <x v="1"/>
    <s v="High"/>
    <x v="1"/>
  </r>
  <r>
    <x v="956"/>
    <s v="POL53170"/>
    <d v="2022-04-25T00:00:00"/>
    <n v="55835.12"/>
    <x v="0"/>
    <x v="0"/>
    <x v="0"/>
    <n v="41"/>
    <x v="9"/>
    <x v="0"/>
    <x v="2"/>
    <s v="Low"/>
    <x v="0"/>
  </r>
  <r>
    <x v="957"/>
    <s v="POL50423"/>
    <d v="2023-05-06T00:00:00"/>
    <n v="431221.21"/>
    <x v="0"/>
    <x v="1"/>
    <x v="0"/>
    <n v="10"/>
    <x v="6"/>
    <x v="3"/>
    <x v="2"/>
    <s v="High"/>
    <x v="1"/>
  </r>
  <r>
    <x v="958"/>
    <s v="POL52607"/>
    <d v="2023-12-30T00:00:00"/>
    <n v="217464.11"/>
    <x v="0"/>
    <x v="2"/>
    <x v="1"/>
    <n v="18"/>
    <x v="1"/>
    <x v="3"/>
    <x v="0"/>
    <s v="High"/>
    <x v="1"/>
  </r>
  <r>
    <x v="959"/>
    <s v="POL51008"/>
    <d v="2025-01-15T00:00:00"/>
    <n v="212266.47"/>
    <x v="2"/>
    <x v="3"/>
    <x v="1"/>
    <n v="35"/>
    <x v="8"/>
    <x v="4"/>
    <x v="3"/>
    <s v="High"/>
    <x v="0"/>
  </r>
  <r>
    <x v="960"/>
    <s v="POL51313"/>
    <d v="2025-02-15T00:00:00"/>
    <n v="242528.86"/>
    <x v="1"/>
    <x v="4"/>
    <x v="0"/>
    <n v="28"/>
    <x v="10"/>
    <x v="4"/>
    <x v="3"/>
    <s v="High"/>
    <x v="1"/>
  </r>
  <r>
    <x v="961"/>
    <s v="POL53947"/>
    <d v="2024-04-21T00:00:00"/>
    <n v="388062.71999999997"/>
    <x v="1"/>
    <x v="0"/>
    <x v="0"/>
    <n v="55"/>
    <x v="9"/>
    <x v="2"/>
    <x v="2"/>
    <s v="High"/>
    <x v="0"/>
  </r>
  <r>
    <x v="962"/>
    <s v="POL53489"/>
    <d v="2025-01-29T00:00:00"/>
    <n v="313938.03999999998"/>
    <x v="2"/>
    <x v="4"/>
    <x v="0"/>
    <n v="40"/>
    <x v="8"/>
    <x v="4"/>
    <x v="3"/>
    <s v="High"/>
    <x v="0"/>
  </r>
  <r>
    <x v="963"/>
    <s v="POL50141"/>
    <d v="2022-11-26T00:00:00"/>
    <n v="107608.48"/>
    <x v="2"/>
    <x v="2"/>
    <x v="1"/>
    <n v="41"/>
    <x v="11"/>
    <x v="0"/>
    <x v="0"/>
    <s v="Medium"/>
    <x v="0"/>
  </r>
  <r>
    <x v="964"/>
    <s v="POL50855"/>
    <d v="2024-11-27T00:00:00"/>
    <n v="402575.37"/>
    <x v="0"/>
    <x v="3"/>
    <x v="1"/>
    <n v="54"/>
    <x v="11"/>
    <x v="2"/>
    <x v="0"/>
    <s v="High"/>
    <x v="0"/>
  </r>
  <r>
    <x v="965"/>
    <s v="POL52182"/>
    <d v="2021-12-18T00:00:00"/>
    <n v="65524.7"/>
    <x v="2"/>
    <x v="2"/>
    <x v="1"/>
    <n v="53"/>
    <x v="1"/>
    <x v="1"/>
    <x v="0"/>
    <s v="Low"/>
    <x v="0"/>
  </r>
  <r>
    <x v="966"/>
    <s v="POL52061"/>
    <d v="2024-06-06T00:00:00"/>
    <n v="412472.95"/>
    <x v="1"/>
    <x v="2"/>
    <x v="0"/>
    <n v="43"/>
    <x v="3"/>
    <x v="2"/>
    <x v="2"/>
    <s v="High"/>
    <x v="0"/>
  </r>
  <r>
    <x v="967"/>
    <s v="POL50523"/>
    <d v="2023-03-25T00:00:00"/>
    <n v="449406.42"/>
    <x v="2"/>
    <x v="1"/>
    <x v="1"/>
    <n v="5"/>
    <x v="5"/>
    <x v="3"/>
    <x v="3"/>
    <s v="High"/>
    <x v="1"/>
  </r>
  <r>
    <x v="968"/>
    <s v="POL52043"/>
    <d v="2023-06-09T00:00:00"/>
    <n v="346420.98"/>
    <x v="0"/>
    <x v="4"/>
    <x v="1"/>
    <n v="37"/>
    <x v="3"/>
    <x v="3"/>
    <x v="2"/>
    <s v="High"/>
    <x v="0"/>
  </r>
  <r>
    <x v="969"/>
    <s v="POL53914"/>
    <d v="2023-08-26T00:00:00"/>
    <n v="466486.03"/>
    <x v="0"/>
    <x v="1"/>
    <x v="0"/>
    <n v="32"/>
    <x v="4"/>
    <x v="3"/>
    <x v="1"/>
    <s v="High"/>
    <x v="0"/>
  </r>
  <r>
    <x v="970"/>
    <s v="POL51729"/>
    <d v="2022-11-12T00:00:00"/>
    <n v="335943.48"/>
    <x v="2"/>
    <x v="4"/>
    <x v="0"/>
    <n v="58"/>
    <x v="11"/>
    <x v="0"/>
    <x v="0"/>
    <s v="High"/>
    <x v="0"/>
  </r>
  <r>
    <x v="971"/>
    <s v="POL52767"/>
    <d v="2024-07-31T00:00:00"/>
    <n v="117533.23"/>
    <x v="0"/>
    <x v="0"/>
    <x v="1"/>
    <n v="8"/>
    <x v="2"/>
    <x v="2"/>
    <x v="1"/>
    <s v="Medium"/>
    <x v="1"/>
  </r>
  <r>
    <x v="972"/>
    <s v="POL51884"/>
    <d v="2023-12-21T00:00:00"/>
    <n v="238958.37"/>
    <x v="2"/>
    <x v="0"/>
    <x v="0"/>
    <n v="4"/>
    <x v="1"/>
    <x v="3"/>
    <x v="0"/>
    <s v="High"/>
    <x v="1"/>
  </r>
  <r>
    <x v="973"/>
    <s v="POL51649"/>
    <d v="2021-09-11T00:00:00"/>
    <n v="70974.990000000005"/>
    <x v="1"/>
    <x v="4"/>
    <x v="1"/>
    <n v="45"/>
    <x v="7"/>
    <x v="1"/>
    <x v="1"/>
    <s v="Low"/>
    <x v="0"/>
  </r>
  <r>
    <x v="974"/>
    <s v="POL50261"/>
    <d v="2021-08-05T00:00:00"/>
    <n v="491879.08"/>
    <x v="0"/>
    <x v="0"/>
    <x v="0"/>
    <n v="26"/>
    <x v="4"/>
    <x v="1"/>
    <x v="1"/>
    <s v="High"/>
    <x v="1"/>
  </r>
  <r>
    <x v="975"/>
    <s v="POL53234"/>
    <d v="2023-03-25T00:00:00"/>
    <n v="419832.32000000001"/>
    <x v="1"/>
    <x v="3"/>
    <x v="0"/>
    <n v="52"/>
    <x v="5"/>
    <x v="3"/>
    <x v="3"/>
    <s v="High"/>
    <x v="0"/>
  </r>
  <r>
    <x v="976"/>
    <s v="POL52485"/>
    <d v="2024-01-14T00:00:00"/>
    <n v="290503.36"/>
    <x v="2"/>
    <x v="4"/>
    <x v="1"/>
    <n v="34"/>
    <x v="8"/>
    <x v="2"/>
    <x v="3"/>
    <s v="High"/>
    <x v="0"/>
  </r>
  <r>
    <x v="977"/>
    <s v="POL53512"/>
    <d v="2024-04-12T00:00:00"/>
    <n v="255423.59"/>
    <x v="0"/>
    <x v="1"/>
    <x v="0"/>
    <n v="54"/>
    <x v="9"/>
    <x v="2"/>
    <x v="2"/>
    <s v="High"/>
    <x v="0"/>
  </r>
  <r>
    <x v="978"/>
    <s v="POL53548"/>
    <d v="2024-07-16T00:00:00"/>
    <n v="285421.67"/>
    <x v="2"/>
    <x v="2"/>
    <x v="0"/>
    <n v="33"/>
    <x v="2"/>
    <x v="2"/>
    <x v="1"/>
    <s v="High"/>
    <x v="0"/>
  </r>
  <r>
    <x v="979"/>
    <s v="POL52547"/>
    <d v="2024-06-13T00:00:00"/>
    <n v="459108.8"/>
    <x v="0"/>
    <x v="3"/>
    <x v="1"/>
    <n v="15"/>
    <x v="3"/>
    <x v="2"/>
    <x v="2"/>
    <s v="High"/>
    <x v="1"/>
  </r>
  <r>
    <x v="980"/>
    <s v="POL53715"/>
    <d v="2022-02-06T00:00:00"/>
    <n v="410501.31"/>
    <x v="2"/>
    <x v="4"/>
    <x v="1"/>
    <n v="56"/>
    <x v="10"/>
    <x v="0"/>
    <x v="3"/>
    <s v="High"/>
    <x v="0"/>
  </r>
  <r>
    <x v="981"/>
    <s v="POL51228"/>
    <d v="2024-03-17T00:00:00"/>
    <n v="216546.04"/>
    <x v="2"/>
    <x v="2"/>
    <x v="1"/>
    <n v="31"/>
    <x v="5"/>
    <x v="2"/>
    <x v="3"/>
    <s v="High"/>
    <x v="0"/>
  </r>
  <r>
    <x v="982"/>
    <s v="POL51075"/>
    <d v="2023-12-01T00:00:00"/>
    <n v="425110.46"/>
    <x v="0"/>
    <x v="4"/>
    <x v="1"/>
    <n v="47"/>
    <x v="1"/>
    <x v="3"/>
    <x v="0"/>
    <s v="High"/>
    <x v="0"/>
  </r>
  <r>
    <x v="983"/>
    <s v="POL52011"/>
    <d v="2024-12-23T00:00:00"/>
    <n v="58713.84"/>
    <x v="2"/>
    <x v="1"/>
    <x v="0"/>
    <n v="47"/>
    <x v="1"/>
    <x v="2"/>
    <x v="0"/>
    <s v="Low"/>
    <x v="0"/>
  </r>
  <r>
    <x v="984"/>
    <s v="POL51668"/>
    <d v="2023-12-19T00:00:00"/>
    <n v="287200.98"/>
    <x v="2"/>
    <x v="2"/>
    <x v="1"/>
    <n v="52"/>
    <x v="1"/>
    <x v="3"/>
    <x v="0"/>
    <s v="High"/>
    <x v="0"/>
  </r>
  <r>
    <x v="985"/>
    <s v="POL51214"/>
    <d v="2023-07-05T00:00:00"/>
    <n v="196597.97"/>
    <x v="0"/>
    <x v="0"/>
    <x v="0"/>
    <n v="21"/>
    <x v="2"/>
    <x v="3"/>
    <x v="1"/>
    <s v="Medium"/>
    <x v="1"/>
  </r>
  <r>
    <x v="986"/>
    <s v="POL52607"/>
    <d v="2023-12-26T00:00:00"/>
    <n v="134354.74"/>
    <x v="0"/>
    <x v="3"/>
    <x v="1"/>
    <n v="52"/>
    <x v="1"/>
    <x v="3"/>
    <x v="0"/>
    <s v="Medium"/>
    <x v="0"/>
  </r>
  <r>
    <x v="987"/>
    <s v="POL51968"/>
    <d v="2021-06-14T00:00:00"/>
    <n v="90327.41"/>
    <x v="0"/>
    <x v="0"/>
    <x v="1"/>
    <n v="37"/>
    <x v="3"/>
    <x v="1"/>
    <x v="2"/>
    <s v="Low"/>
    <x v="0"/>
  </r>
  <r>
    <x v="988"/>
    <s v="POL53274"/>
    <d v="2025-02-14T00:00:00"/>
    <n v="253900.39"/>
    <x v="0"/>
    <x v="1"/>
    <x v="1"/>
    <n v="37"/>
    <x v="10"/>
    <x v="4"/>
    <x v="3"/>
    <s v="High"/>
    <x v="0"/>
  </r>
  <r>
    <x v="989"/>
    <s v="POL50395"/>
    <d v="2023-08-03T00:00:00"/>
    <n v="287543.21000000002"/>
    <x v="2"/>
    <x v="2"/>
    <x v="0"/>
    <n v="38"/>
    <x v="4"/>
    <x v="3"/>
    <x v="1"/>
    <s v="High"/>
    <x v="0"/>
  </r>
  <r>
    <x v="990"/>
    <s v="POL50742"/>
    <d v="2021-08-03T00:00:00"/>
    <n v="65062.46"/>
    <x v="1"/>
    <x v="2"/>
    <x v="1"/>
    <n v="31"/>
    <x v="4"/>
    <x v="1"/>
    <x v="1"/>
    <s v="Low"/>
    <x v="0"/>
  </r>
  <r>
    <x v="991"/>
    <s v="POL53537"/>
    <d v="2022-12-07T00:00:00"/>
    <n v="413060.74"/>
    <x v="2"/>
    <x v="0"/>
    <x v="0"/>
    <n v="43"/>
    <x v="1"/>
    <x v="0"/>
    <x v="0"/>
    <s v="High"/>
    <x v="0"/>
  </r>
  <r>
    <x v="992"/>
    <s v="POL50166"/>
    <d v="2024-01-07T00:00:00"/>
    <n v="222312.18"/>
    <x v="1"/>
    <x v="4"/>
    <x v="1"/>
    <n v="29"/>
    <x v="8"/>
    <x v="2"/>
    <x v="3"/>
    <s v="High"/>
    <x v="1"/>
  </r>
  <r>
    <x v="993"/>
    <s v="POL50258"/>
    <d v="2022-07-11T00:00:00"/>
    <n v="280526.63"/>
    <x v="2"/>
    <x v="3"/>
    <x v="1"/>
    <n v="18"/>
    <x v="2"/>
    <x v="0"/>
    <x v="1"/>
    <s v="High"/>
    <x v="1"/>
  </r>
  <r>
    <x v="994"/>
    <s v="POL53114"/>
    <d v="2024-10-02T00:00:00"/>
    <n v="367102.94"/>
    <x v="0"/>
    <x v="0"/>
    <x v="0"/>
    <n v="44"/>
    <x v="0"/>
    <x v="2"/>
    <x v="0"/>
    <s v="High"/>
    <x v="0"/>
  </r>
  <r>
    <x v="995"/>
    <s v="POL51577"/>
    <d v="2024-05-11T00:00:00"/>
    <n v="249198.79"/>
    <x v="1"/>
    <x v="2"/>
    <x v="1"/>
    <n v="31"/>
    <x v="6"/>
    <x v="2"/>
    <x v="2"/>
    <s v="High"/>
    <x v="0"/>
  </r>
  <r>
    <x v="996"/>
    <s v="POL50477"/>
    <d v="2024-12-29T00:00:00"/>
    <n v="18770.68"/>
    <x v="2"/>
    <x v="4"/>
    <x v="0"/>
    <n v="29"/>
    <x v="1"/>
    <x v="2"/>
    <x v="0"/>
    <s v="Low"/>
    <x v="1"/>
  </r>
  <r>
    <x v="997"/>
    <s v="POL53295"/>
    <d v="2023-11-21T00:00:00"/>
    <n v="243201.03"/>
    <x v="1"/>
    <x v="3"/>
    <x v="1"/>
    <n v="43"/>
    <x v="11"/>
    <x v="3"/>
    <x v="0"/>
    <s v="High"/>
    <x v="0"/>
  </r>
  <r>
    <x v="998"/>
    <s v="POL53238"/>
    <d v="2023-10-17T00:00:00"/>
    <n v="314319.48"/>
    <x v="1"/>
    <x v="1"/>
    <x v="0"/>
    <n v="12"/>
    <x v="0"/>
    <x v="3"/>
    <x v="0"/>
    <s v="High"/>
    <x v="1"/>
  </r>
  <r>
    <x v="999"/>
    <s v="POL51581"/>
    <d v="2024-01-22T00:00:00"/>
    <n v="499431.2"/>
    <x v="0"/>
    <x v="4"/>
    <x v="0"/>
    <n v="51"/>
    <x v="8"/>
    <x v="2"/>
    <x v="3"/>
    <s v="High"/>
    <x v="0"/>
  </r>
  <r>
    <x v="1000"/>
    <s v="POL51293"/>
    <d v="2024-02-05T00:00:00"/>
    <n v="85627.43"/>
    <x v="1"/>
    <x v="3"/>
    <x v="0"/>
    <n v="54"/>
    <x v="10"/>
    <x v="2"/>
    <x v="3"/>
    <s v="Low"/>
    <x v="0"/>
  </r>
  <r>
    <x v="1001"/>
    <s v="POL52323"/>
    <d v="2022-09-21T00:00:00"/>
    <n v="452065.56"/>
    <x v="2"/>
    <x v="4"/>
    <x v="1"/>
    <n v="46"/>
    <x v="7"/>
    <x v="0"/>
    <x v="1"/>
    <s v="High"/>
    <x v="0"/>
  </r>
  <r>
    <x v="1002"/>
    <s v="POL50682"/>
    <d v="2024-04-23T00:00:00"/>
    <n v="355211.11"/>
    <x v="2"/>
    <x v="2"/>
    <x v="1"/>
    <n v="28"/>
    <x v="9"/>
    <x v="2"/>
    <x v="2"/>
    <s v="High"/>
    <x v="1"/>
  </r>
  <r>
    <x v="1003"/>
    <s v="POL53398"/>
    <d v="2024-07-22T00:00:00"/>
    <n v="319360.13"/>
    <x v="2"/>
    <x v="4"/>
    <x v="0"/>
    <n v="24"/>
    <x v="2"/>
    <x v="2"/>
    <x v="1"/>
    <s v="High"/>
    <x v="1"/>
  </r>
  <r>
    <x v="1004"/>
    <s v="POL53069"/>
    <d v="2024-10-10T00:00:00"/>
    <n v="113247"/>
    <x v="0"/>
    <x v="4"/>
    <x v="1"/>
    <n v="39"/>
    <x v="0"/>
    <x v="2"/>
    <x v="0"/>
    <s v="Medium"/>
    <x v="0"/>
  </r>
  <r>
    <x v="1005"/>
    <s v="POL51287"/>
    <d v="2024-04-24T00:00:00"/>
    <n v="359416.18"/>
    <x v="2"/>
    <x v="3"/>
    <x v="1"/>
    <n v="3"/>
    <x v="9"/>
    <x v="2"/>
    <x v="2"/>
    <s v="High"/>
    <x v="1"/>
  </r>
  <r>
    <x v="1006"/>
    <s v="POL52062"/>
    <d v="2023-04-27T00:00:00"/>
    <n v="59812.75"/>
    <x v="1"/>
    <x v="4"/>
    <x v="0"/>
    <n v="54"/>
    <x v="9"/>
    <x v="3"/>
    <x v="2"/>
    <s v="Low"/>
    <x v="0"/>
  </r>
  <r>
    <x v="1007"/>
    <s v="POL50774"/>
    <d v="2021-11-17T00:00:00"/>
    <n v="320077.02"/>
    <x v="0"/>
    <x v="0"/>
    <x v="0"/>
    <n v="38"/>
    <x v="11"/>
    <x v="1"/>
    <x v="0"/>
    <s v="High"/>
    <x v="0"/>
  </r>
  <r>
    <x v="1008"/>
    <s v="POL53660"/>
    <d v="2024-09-03T00:00:00"/>
    <n v="135307.76999999999"/>
    <x v="2"/>
    <x v="0"/>
    <x v="0"/>
    <n v="33"/>
    <x v="7"/>
    <x v="2"/>
    <x v="1"/>
    <s v="Medium"/>
    <x v="0"/>
  </r>
  <r>
    <x v="1009"/>
    <s v="POL53820"/>
    <d v="2023-03-15T00:00:00"/>
    <n v="455100.04"/>
    <x v="2"/>
    <x v="2"/>
    <x v="1"/>
    <n v="51"/>
    <x v="5"/>
    <x v="3"/>
    <x v="3"/>
    <s v="High"/>
    <x v="0"/>
  </r>
  <r>
    <x v="1010"/>
    <s v="POL51155"/>
    <d v="2023-06-27T00:00:00"/>
    <n v="100887.3"/>
    <x v="0"/>
    <x v="3"/>
    <x v="0"/>
    <n v="36"/>
    <x v="3"/>
    <x v="3"/>
    <x v="2"/>
    <s v="Medium"/>
    <x v="0"/>
  </r>
  <r>
    <x v="1011"/>
    <s v="POL52349"/>
    <d v="2024-09-18T00:00:00"/>
    <n v="406931.53"/>
    <x v="1"/>
    <x v="3"/>
    <x v="0"/>
    <n v="5"/>
    <x v="7"/>
    <x v="2"/>
    <x v="1"/>
    <s v="High"/>
    <x v="1"/>
  </r>
  <r>
    <x v="1012"/>
    <s v="POL53320"/>
    <d v="2024-11-29T00:00:00"/>
    <n v="339660.63"/>
    <x v="2"/>
    <x v="0"/>
    <x v="0"/>
    <n v="34"/>
    <x v="11"/>
    <x v="2"/>
    <x v="0"/>
    <s v="High"/>
    <x v="0"/>
  </r>
  <r>
    <x v="1013"/>
    <s v="POL52426"/>
    <d v="2021-01-20T00:00:00"/>
    <n v="443063.27"/>
    <x v="2"/>
    <x v="2"/>
    <x v="0"/>
    <n v="4"/>
    <x v="8"/>
    <x v="1"/>
    <x v="3"/>
    <s v="High"/>
    <x v="1"/>
  </r>
  <r>
    <x v="1014"/>
    <s v="POL50445"/>
    <d v="2024-01-29T00:00:00"/>
    <n v="362619.01"/>
    <x v="2"/>
    <x v="1"/>
    <x v="0"/>
    <n v="49"/>
    <x v="8"/>
    <x v="2"/>
    <x v="3"/>
    <s v="High"/>
    <x v="0"/>
  </r>
  <r>
    <x v="1015"/>
    <s v="POL51041"/>
    <d v="2024-08-15T00:00:00"/>
    <n v="257018.19"/>
    <x v="1"/>
    <x v="2"/>
    <x v="1"/>
    <n v="58"/>
    <x v="4"/>
    <x v="2"/>
    <x v="1"/>
    <s v="High"/>
    <x v="0"/>
  </r>
  <r>
    <x v="1016"/>
    <s v="POL53530"/>
    <d v="2024-09-05T00:00:00"/>
    <n v="313816.11"/>
    <x v="2"/>
    <x v="4"/>
    <x v="1"/>
    <n v="47"/>
    <x v="7"/>
    <x v="2"/>
    <x v="1"/>
    <s v="High"/>
    <x v="0"/>
  </r>
  <r>
    <x v="1017"/>
    <s v="POL52060"/>
    <d v="2023-12-22T00:00:00"/>
    <n v="311063.87"/>
    <x v="1"/>
    <x v="4"/>
    <x v="1"/>
    <n v="21"/>
    <x v="1"/>
    <x v="3"/>
    <x v="0"/>
    <s v="High"/>
    <x v="1"/>
  </r>
  <r>
    <x v="1018"/>
    <s v="POL53154"/>
    <d v="2024-10-10T00:00:00"/>
    <n v="457306.56"/>
    <x v="1"/>
    <x v="1"/>
    <x v="0"/>
    <n v="3"/>
    <x v="0"/>
    <x v="2"/>
    <x v="0"/>
    <s v="High"/>
    <x v="1"/>
  </r>
  <r>
    <x v="1019"/>
    <s v="POL51367"/>
    <d v="2022-08-09T00:00:00"/>
    <n v="67369.98"/>
    <x v="0"/>
    <x v="1"/>
    <x v="1"/>
    <n v="45"/>
    <x v="4"/>
    <x v="0"/>
    <x v="1"/>
    <s v="Low"/>
    <x v="0"/>
  </r>
  <r>
    <x v="1020"/>
    <s v="POL53841"/>
    <d v="2023-11-11T00:00:00"/>
    <n v="103018.91"/>
    <x v="1"/>
    <x v="1"/>
    <x v="0"/>
    <n v="41"/>
    <x v="11"/>
    <x v="3"/>
    <x v="0"/>
    <s v="Medium"/>
    <x v="0"/>
  </r>
  <r>
    <x v="1021"/>
    <s v="POL50451"/>
    <d v="2024-05-18T00:00:00"/>
    <n v="411891.54"/>
    <x v="2"/>
    <x v="2"/>
    <x v="0"/>
    <n v="21"/>
    <x v="6"/>
    <x v="2"/>
    <x v="2"/>
    <s v="High"/>
    <x v="1"/>
  </r>
  <r>
    <x v="1022"/>
    <s v="POL50539"/>
    <d v="2024-06-01T00:00:00"/>
    <n v="486777.2"/>
    <x v="1"/>
    <x v="3"/>
    <x v="0"/>
    <n v="41"/>
    <x v="3"/>
    <x v="2"/>
    <x v="2"/>
    <s v="High"/>
    <x v="0"/>
  </r>
  <r>
    <x v="1023"/>
    <s v="POL51926"/>
    <d v="2023-03-28T00:00:00"/>
    <n v="450460.14"/>
    <x v="0"/>
    <x v="1"/>
    <x v="1"/>
    <n v="46"/>
    <x v="5"/>
    <x v="3"/>
    <x v="3"/>
    <s v="High"/>
    <x v="0"/>
  </r>
  <r>
    <x v="1024"/>
    <s v="POL53135"/>
    <d v="2023-02-26T00:00:00"/>
    <n v="49829.01"/>
    <x v="0"/>
    <x v="0"/>
    <x v="1"/>
    <n v="42"/>
    <x v="10"/>
    <x v="3"/>
    <x v="3"/>
    <s v="Low"/>
    <x v="0"/>
  </r>
  <r>
    <x v="1025"/>
    <s v="POL51908"/>
    <d v="2020-11-19T00:00:00"/>
    <n v="409877.94"/>
    <x v="0"/>
    <x v="1"/>
    <x v="1"/>
    <n v="23"/>
    <x v="11"/>
    <x v="5"/>
    <x v="0"/>
    <s v="High"/>
    <x v="1"/>
  </r>
  <r>
    <x v="1026"/>
    <s v="POL50523"/>
    <d v="2023-02-23T00:00:00"/>
    <n v="400708.61"/>
    <x v="1"/>
    <x v="0"/>
    <x v="0"/>
    <n v="33"/>
    <x v="10"/>
    <x v="3"/>
    <x v="3"/>
    <s v="High"/>
    <x v="0"/>
  </r>
  <r>
    <x v="1027"/>
    <s v="POL50016"/>
    <d v="2022-06-26T00:00:00"/>
    <n v="442111.49"/>
    <x v="1"/>
    <x v="2"/>
    <x v="0"/>
    <n v="57"/>
    <x v="3"/>
    <x v="0"/>
    <x v="2"/>
    <s v="High"/>
    <x v="0"/>
  </r>
  <r>
    <x v="1028"/>
    <s v="POL50184"/>
    <d v="2021-08-09T00:00:00"/>
    <n v="161056.35999999999"/>
    <x v="1"/>
    <x v="3"/>
    <x v="1"/>
    <n v="57"/>
    <x v="4"/>
    <x v="1"/>
    <x v="1"/>
    <s v="Medium"/>
    <x v="0"/>
  </r>
  <r>
    <x v="1029"/>
    <s v="POL50013"/>
    <d v="2025-06-11T00:00:00"/>
    <n v="382996.34"/>
    <x v="0"/>
    <x v="4"/>
    <x v="0"/>
    <n v="56"/>
    <x v="3"/>
    <x v="4"/>
    <x v="2"/>
    <s v="High"/>
    <x v="0"/>
  </r>
  <r>
    <x v="1030"/>
    <s v="POL52918"/>
    <d v="2021-12-21T00:00:00"/>
    <n v="117363.51"/>
    <x v="1"/>
    <x v="0"/>
    <x v="1"/>
    <n v="12"/>
    <x v="1"/>
    <x v="1"/>
    <x v="0"/>
    <s v="Medium"/>
    <x v="1"/>
  </r>
  <r>
    <x v="1031"/>
    <s v="POL52808"/>
    <d v="2024-06-04T00:00:00"/>
    <n v="461121.9"/>
    <x v="1"/>
    <x v="3"/>
    <x v="0"/>
    <n v="40"/>
    <x v="3"/>
    <x v="2"/>
    <x v="2"/>
    <s v="High"/>
    <x v="0"/>
  </r>
  <r>
    <x v="1032"/>
    <s v="POL51997"/>
    <d v="2022-02-11T00:00:00"/>
    <n v="329646.74"/>
    <x v="1"/>
    <x v="0"/>
    <x v="0"/>
    <n v="5"/>
    <x v="10"/>
    <x v="0"/>
    <x v="3"/>
    <s v="High"/>
    <x v="1"/>
  </r>
  <r>
    <x v="1033"/>
    <s v="POL50536"/>
    <d v="2022-04-30T00:00:00"/>
    <n v="285063.75"/>
    <x v="0"/>
    <x v="1"/>
    <x v="1"/>
    <n v="24"/>
    <x v="9"/>
    <x v="0"/>
    <x v="2"/>
    <s v="High"/>
    <x v="1"/>
  </r>
  <r>
    <x v="1034"/>
    <s v="POL52224"/>
    <d v="2021-09-23T00:00:00"/>
    <n v="463004.51"/>
    <x v="0"/>
    <x v="1"/>
    <x v="0"/>
    <n v="54"/>
    <x v="7"/>
    <x v="1"/>
    <x v="1"/>
    <s v="High"/>
    <x v="0"/>
  </r>
  <r>
    <x v="1035"/>
    <s v="POL50349"/>
    <d v="2024-02-15T00:00:00"/>
    <n v="187053.97"/>
    <x v="1"/>
    <x v="1"/>
    <x v="1"/>
    <n v="28"/>
    <x v="10"/>
    <x v="2"/>
    <x v="3"/>
    <s v="Medium"/>
    <x v="1"/>
  </r>
  <r>
    <x v="1036"/>
    <s v="POL50066"/>
    <d v="2023-11-17T00:00:00"/>
    <n v="127362.93"/>
    <x v="1"/>
    <x v="1"/>
    <x v="1"/>
    <n v="11"/>
    <x v="11"/>
    <x v="3"/>
    <x v="0"/>
    <s v="Medium"/>
    <x v="1"/>
  </r>
  <r>
    <x v="1037"/>
    <s v="POL51753"/>
    <d v="2024-10-06T00:00:00"/>
    <n v="30443.82"/>
    <x v="2"/>
    <x v="1"/>
    <x v="1"/>
    <n v="16"/>
    <x v="0"/>
    <x v="2"/>
    <x v="0"/>
    <s v="Low"/>
    <x v="1"/>
  </r>
  <r>
    <x v="1038"/>
    <s v="POL53820"/>
    <d v="2022-08-26T00:00:00"/>
    <n v="460886.5"/>
    <x v="0"/>
    <x v="1"/>
    <x v="0"/>
    <n v="45"/>
    <x v="4"/>
    <x v="0"/>
    <x v="1"/>
    <s v="High"/>
    <x v="0"/>
  </r>
  <r>
    <x v="1039"/>
    <s v="POL51325"/>
    <d v="2024-01-29T00:00:00"/>
    <n v="406045.54"/>
    <x v="2"/>
    <x v="3"/>
    <x v="1"/>
    <n v="51"/>
    <x v="8"/>
    <x v="2"/>
    <x v="3"/>
    <s v="High"/>
    <x v="0"/>
  </r>
  <r>
    <x v="1040"/>
    <s v="POL50591"/>
    <d v="2023-09-11T00:00:00"/>
    <n v="21198.080000000002"/>
    <x v="2"/>
    <x v="4"/>
    <x v="0"/>
    <n v="14"/>
    <x v="7"/>
    <x v="3"/>
    <x v="1"/>
    <s v="Low"/>
    <x v="1"/>
  </r>
  <r>
    <x v="1041"/>
    <s v="POL52043"/>
    <d v="2023-07-16T00:00:00"/>
    <n v="343595.18"/>
    <x v="2"/>
    <x v="4"/>
    <x v="0"/>
    <n v="57"/>
    <x v="2"/>
    <x v="3"/>
    <x v="1"/>
    <s v="High"/>
    <x v="0"/>
  </r>
  <r>
    <x v="1042"/>
    <s v="POL50057"/>
    <d v="2024-08-28T00:00:00"/>
    <n v="335223.87"/>
    <x v="2"/>
    <x v="0"/>
    <x v="0"/>
    <n v="31"/>
    <x v="4"/>
    <x v="2"/>
    <x v="1"/>
    <s v="High"/>
    <x v="0"/>
  </r>
  <r>
    <x v="1043"/>
    <s v="POL51524"/>
    <d v="2022-09-22T00:00:00"/>
    <n v="245273.26"/>
    <x v="2"/>
    <x v="4"/>
    <x v="1"/>
    <n v="38"/>
    <x v="7"/>
    <x v="0"/>
    <x v="1"/>
    <s v="High"/>
    <x v="0"/>
  </r>
  <r>
    <x v="1044"/>
    <s v="POL52049"/>
    <d v="2023-09-19T00:00:00"/>
    <n v="163429.96"/>
    <x v="2"/>
    <x v="3"/>
    <x v="0"/>
    <n v="29"/>
    <x v="7"/>
    <x v="3"/>
    <x v="1"/>
    <s v="Medium"/>
    <x v="1"/>
  </r>
  <r>
    <x v="1045"/>
    <s v="POL53622"/>
    <d v="2024-02-02T00:00:00"/>
    <n v="416752.55"/>
    <x v="1"/>
    <x v="3"/>
    <x v="1"/>
    <n v="7"/>
    <x v="10"/>
    <x v="2"/>
    <x v="3"/>
    <s v="High"/>
    <x v="1"/>
  </r>
  <r>
    <x v="1046"/>
    <s v="POL52063"/>
    <d v="2022-03-09T00:00:00"/>
    <n v="385727.6"/>
    <x v="1"/>
    <x v="1"/>
    <x v="1"/>
    <n v="54"/>
    <x v="5"/>
    <x v="0"/>
    <x v="3"/>
    <s v="High"/>
    <x v="0"/>
  </r>
  <r>
    <x v="1047"/>
    <s v="POL51601"/>
    <d v="2024-08-24T00:00:00"/>
    <n v="402755.87"/>
    <x v="0"/>
    <x v="1"/>
    <x v="0"/>
    <n v="43"/>
    <x v="4"/>
    <x v="2"/>
    <x v="1"/>
    <s v="High"/>
    <x v="0"/>
  </r>
  <r>
    <x v="1048"/>
    <s v="POL53642"/>
    <d v="2024-06-12T00:00:00"/>
    <n v="421411.19"/>
    <x v="0"/>
    <x v="0"/>
    <x v="1"/>
    <n v="23"/>
    <x v="3"/>
    <x v="2"/>
    <x v="2"/>
    <s v="High"/>
    <x v="1"/>
  </r>
  <r>
    <x v="1049"/>
    <s v="POL53044"/>
    <d v="2024-03-19T00:00:00"/>
    <n v="70209.919999999998"/>
    <x v="1"/>
    <x v="2"/>
    <x v="1"/>
    <n v="2"/>
    <x v="5"/>
    <x v="2"/>
    <x v="3"/>
    <s v="Low"/>
    <x v="1"/>
  </r>
  <r>
    <x v="1050"/>
    <s v="POL51905"/>
    <d v="2024-07-09T00:00:00"/>
    <n v="316872.07"/>
    <x v="2"/>
    <x v="3"/>
    <x v="1"/>
    <n v="39"/>
    <x v="2"/>
    <x v="2"/>
    <x v="1"/>
    <s v="High"/>
    <x v="0"/>
  </r>
  <r>
    <x v="1051"/>
    <s v="POL51782"/>
    <d v="2022-10-17T00:00:00"/>
    <n v="70399.37"/>
    <x v="1"/>
    <x v="3"/>
    <x v="1"/>
    <n v="26"/>
    <x v="0"/>
    <x v="0"/>
    <x v="0"/>
    <s v="Low"/>
    <x v="1"/>
  </r>
  <r>
    <x v="1052"/>
    <s v="POL50561"/>
    <d v="2021-08-17T00:00:00"/>
    <n v="233666.49"/>
    <x v="1"/>
    <x v="1"/>
    <x v="1"/>
    <n v="42"/>
    <x v="4"/>
    <x v="1"/>
    <x v="1"/>
    <s v="High"/>
    <x v="0"/>
  </r>
  <r>
    <x v="1053"/>
    <s v="POL51675"/>
    <d v="2023-08-17T00:00:00"/>
    <n v="77261.5"/>
    <x v="1"/>
    <x v="4"/>
    <x v="0"/>
    <n v="23"/>
    <x v="4"/>
    <x v="3"/>
    <x v="1"/>
    <s v="Low"/>
    <x v="1"/>
  </r>
  <r>
    <x v="1054"/>
    <s v="POL53260"/>
    <d v="2024-01-19T00:00:00"/>
    <n v="181111.66"/>
    <x v="1"/>
    <x v="1"/>
    <x v="0"/>
    <n v="5"/>
    <x v="8"/>
    <x v="2"/>
    <x v="3"/>
    <s v="Medium"/>
    <x v="1"/>
  </r>
  <r>
    <x v="1055"/>
    <s v="POL50231"/>
    <d v="2024-05-19T00:00:00"/>
    <n v="33122.94"/>
    <x v="1"/>
    <x v="2"/>
    <x v="0"/>
    <n v="7"/>
    <x v="6"/>
    <x v="2"/>
    <x v="2"/>
    <s v="Low"/>
    <x v="1"/>
  </r>
  <r>
    <x v="1056"/>
    <s v="POL53175"/>
    <d v="2024-05-04T00:00:00"/>
    <n v="235128.7"/>
    <x v="2"/>
    <x v="0"/>
    <x v="0"/>
    <n v="39"/>
    <x v="6"/>
    <x v="2"/>
    <x v="2"/>
    <s v="High"/>
    <x v="0"/>
  </r>
  <r>
    <x v="1057"/>
    <s v="POL52873"/>
    <d v="2023-08-29T00:00:00"/>
    <n v="346442.46"/>
    <x v="0"/>
    <x v="3"/>
    <x v="0"/>
    <n v="5"/>
    <x v="4"/>
    <x v="3"/>
    <x v="1"/>
    <s v="High"/>
    <x v="1"/>
  </r>
  <r>
    <x v="1058"/>
    <s v="POL51595"/>
    <d v="2024-04-24T00:00:00"/>
    <n v="26983.11"/>
    <x v="1"/>
    <x v="0"/>
    <x v="1"/>
    <n v="31"/>
    <x v="9"/>
    <x v="2"/>
    <x v="2"/>
    <s v="Low"/>
    <x v="0"/>
  </r>
  <r>
    <x v="1059"/>
    <s v="POL53143"/>
    <d v="2022-11-15T00:00:00"/>
    <n v="24126.7"/>
    <x v="2"/>
    <x v="3"/>
    <x v="0"/>
    <n v="47"/>
    <x v="11"/>
    <x v="0"/>
    <x v="0"/>
    <s v="Low"/>
    <x v="0"/>
  </r>
  <r>
    <x v="1060"/>
    <s v="POL53925"/>
    <d v="2024-11-18T00:00:00"/>
    <n v="281160.61"/>
    <x v="1"/>
    <x v="2"/>
    <x v="0"/>
    <n v="50"/>
    <x v="11"/>
    <x v="2"/>
    <x v="0"/>
    <s v="High"/>
    <x v="0"/>
  </r>
  <r>
    <x v="1061"/>
    <s v="POL51973"/>
    <d v="2024-04-20T00:00:00"/>
    <n v="201329.38"/>
    <x v="1"/>
    <x v="4"/>
    <x v="0"/>
    <n v="4"/>
    <x v="9"/>
    <x v="2"/>
    <x v="2"/>
    <s v="High"/>
    <x v="1"/>
  </r>
  <r>
    <x v="1062"/>
    <s v="POL50610"/>
    <d v="2024-10-08T00:00:00"/>
    <n v="281423.03000000003"/>
    <x v="2"/>
    <x v="0"/>
    <x v="0"/>
    <n v="34"/>
    <x v="0"/>
    <x v="2"/>
    <x v="0"/>
    <s v="High"/>
    <x v="0"/>
  </r>
  <r>
    <x v="1063"/>
    <s v="POL52225"/>
    <d v="2023-02-02T00:00:00"/>
    <n v="324761.48"/>
    <x v="1"/>
    <x v="1"/>
    <x v="0"/>
    <n v="48"/>
    <x v="10"/>
    <x v="3"/>
    <x v="3"/>
    <s v="High"/>
    <x v="0"/>
  </r>
  <r>
    <x v="1064"/>
    <s v="POL51712"/>
    <d v="2023-08-23T00:00:00"/>
    <n v="278760.01"/>
    <x v="2"/>
    <x v="4"/>
    <x v="1"/>
    <n v="24"/>
    <x v="4"/>
    <x v="3"/>
    <x v="1"/>
    <s v="High"/>
    <x v="1"/>
  </r>
  <r>
    <x v="1065"/>
    <s v="POL52802"/>
    <d v="2023-09-05T00:00:00"/>
    <n v="187163.61"/>
    <x v="2"/>
    <x v="4"/>
    <x v="1"/>
    <n v="51"/>
    <x v="7"/>
    <x v="3"/>
    <x v="1"/>
    <s v="Medium"/>
    <x v="0"/>
  </r>
  <r>
    <x v="1066"/>
    <s v="POL50135"/>
    <d v="2023-08-04T00:00:00"/>
    <n v="125179.67"/>
    <x v="2"/>
    <x v="1"/>
    <x v="0"/>
    <n v="35"/>
    <x v="4"/>
    <x v="3"/>
    <x v="1"/>
    <s v="Medium"/>
    <x v="0"/>
  </r>
  <r>
    <x v="1067"/>
    <s v="POL50100"/>
    <d v="2023-08-25T00:00:00"/>
    <n v="220835.29"/>
    <x v="0"/>
    <x v="2"/>
    <x v="1"/>
    <n v="44"/>
    <x v="4"/>
    <x v="3"/>
    <x v="1"/>
    <s v="High"/>
    <x v="0"/>
  </r>
  <r>
    <x v="1068"/>
    <s v="POL50249"/>
    <d v="2023-10-01T00:00:00"/>
    <n v="397082.84"/>
    <x v="1"/>
    <x v="2"/>
    <x v="0"/>
    <n v="12"/>
    <x v="0"/>
    <x v="3"/>
    <x v="0"/>
    <s v="High"/>
    <x v="1"/>
  </r>
  <r>
    <x v="1069"/>
    <s v="POL51818"/>
    <d v="2023-04-16T00:00:00"/>
    <n v="387793.07"/>
    <x v="2"/>
    <x v="0"/>
    <x v="1"/>
    <n v="26"/>
    <x v="9"/>
    <x v="3"/>
    <x v="2"/>
    <s v="High"/>
    <x v="1"/>
  </r>
  <r>
    <x v="1070"/>
    <s v="POL50814"/>
    <d v="2024-12-10T00:00:00"/>
    <n v="234777.53"/>
    <x v="0"/>
    <x v="2"/>
    <x v="0"/>
    <n v="31"/>
    <x v="1"/>
    <x v="2"/>
    <x v="0"/>
    <s v="High"/>
    <x v="0"/>
  </r>
  <r>
    <x v="1071"/>
    <s v="POL51878"/>
    <d v="2024-06-14T00:00:00"/>
    <n v="427117.57"/>
    <x v="0"/>
    <x v="2"/>
    <x v="0"/>
    <n v="32"/>
    <x v="3"/>
    <x v="2"/>
    <x v="2"/>
    <s v="High"/>
    <x v="0"/>
  </r>
  <r>
    <x v="1072"/>
    <s v="POL52062"/>
    <d v="2024-01-03T00:00:00"/>
    <n v="486196.52"/>
    <x v="2"/>
    <x v="2"/>
    <x v="0"/>
    <n v="34"/>
    <x v="8"/>
    <x v="2"/>
    <x v="3"/>
    <s v="High"/>
    <x v="0"/>
  </r>
  <r>
    <x v="1073"/>
    <s v="POL53372"/>
    <d v="2024-10-28T00:00:00"/>
    <n v="131472.84"/>
    <x v="2"/>
    <x v="1"/>
    <x v="1"/>
    <n v="4"/>
    <x v="0"/>
    <x v="2"/>
    <x v="0"/>
    <s v="Medium"/>
    <x v="1"/>
  </r>
  <r>
    <x v="1074"/>
    <s v="POL52105"/>
    <d v="2021-11-15T00:00:00"/>
    <n v="355607.25"/>
    <x v="1"/>
    <x v="1"/>
    <x v="0"/>
    <n v="18"/>
    <x v="11"/>
    <x v="1"/>
    <x v="0"/>
    <s v="High"/>
    <x v="1"/>
  </r>
  <r>
    <x v="1075"/>
    <s v="POL51098"/>
    <d v="2023-04-11T00:00:00"/>
    <n v="180876"/>
    <x v="1"/>
    <x v="3"/>
    <x v="1"/>
    <n v="57"/>
    <x v="9"/>
    <x v="3"/>
    <x v="2"/>
    <s v="Medium"/>
    <x v="0"/>
  </r>
  <r>
    <x v="1076"/>
    <s v="POL51642"/>
    <d v="2024-12-22T00:00:00"/>
    <n v="103446.66"/>
    <x v="2"/>
    <x v="1"/>
    <x v="1"/>
    <n v="47"/>
    <x v="1"/>
    <x v="2"/>
    <x v="0"/>
    <s v="Medium"/>
    <x v="0"/>
  </r>
  <r>
    <x v="1077"/>
    <s v="POL53265"/>
    <d v="2023-06-17T00:00:00"/>
    <n v="153171.62"/>
    <x v="2"/>
    <x v="1"/>
    <x v="0"/>
    <n v="18"/>
    <x v="3"/>
    <x v="3"/>
    <x v="2"/>
    <s v="Medium"/>
    <x v="1"/>
  </r>
  <r>
    <x v="1078"/>
    <s v="POL50717"/>
    <d v="2022-12-25T00:00:00"/>
    <n v="41758.370000000003"/>
    <x v="2"/>
    <x v="3"/>
    <x v="0"/>
    <n v="43"/>
    <x v="1"/>
    <x v="0"/>
    <x v="0"/>
    <s v="Low"/>
    <x v="0"/>
  </r>
  <r>
    <x v="1079"/>
    <s v="POL51298"/>
    <d v="2023-08-26T00:00:00"/>
    <n v="245499.84"/>
    <x v="1"/>
    <x v="1"/>
    <x v="1"/>
    <n v="49"/>
    <x v="4"/>
    <x v="3"/>
    <x v="1"/>
    <s v="High"/>
    <x v="0"/>
  </r>
  <r>
    <x v="1080"/>
    <s v="POL51215"/>
    <d v="2024-12-27T00:00:00"/>
    <n v="145795.85999999999"/>
    <x v="1"/>
    <x v="1"/>
    <x v="0"/>
    <n v="8"/>
    <x v="1"/>
    <x v="2"/>
    <x v="0"/>
    <s v="Medium"/>
    <x v="1"/>
  </r>
  <r>
    <x v="1081"/>
    <s v="POL52850"/>
    <d v="2023-12-09T00:00:00"/>
    <n v="296107.2"/>
    <x v="1"/>
    <x v="3"/>
    <x v="1"/>
    <n v="51"/>
    <x v="1"/>
    <x v="3"/>
    <x v="0"/>
    <s v="High"/>
    <x v="0"/>
  </r>
  <r>
    <x v="1082"/>
    <s v="POL53934"/>
    <d v="2023-04-10T00:00:00"/>
    <n v="269303.65000000002"/>
    <x v="0"/>
    <x v="2"/>
    <x v="1"/>
    <n v="35"/>
    <x v="9"/>
    <x v="3"/>
    <x v="2"/>
    <s v="High"/>
    <x v="0"/>
  </r>
  <r>
    <x v="1083"/>
    <s v="POL50407"/>
    <d v="2023-11-08T00:00:00"/>
    <n v="80133.47"/>
    <x v="2"/>
    <x v="3"/>
    <x v="1"/>
    <n v="19"/>
    <x v="11"/>
    <x v="3"/>
    <x v="0"/>
    <s v="Low"/>
    <x v="1"/>
  </r>
  <r>
    <x v="1084"/>
    <s v="POL52321"/>
    <d v="2022-05-27T00:00:00"/>
    <n v="135867.93"/>
    <x v="1"/>
    <x v="4"/>
    <x v="1"/>
    <n v="42"/>
    <x v="6"/>
    <x v="0"/>
    <x v="2"/>
    <s v="Medium"/>
    <x v="0"/>
  </r>
  <r>
    <x v="1085"/>
    <s v="POL53496"/>
    <d v="2023-08-10T00:00:00"/>
    <n v="156004.62"/>
    <x v="0"/>
    <x v="3"/>
    <x v="0"/>
    <n v="43"/>
    <x v="4"/>
    <x v="3"/>
    <x v="1"/>
    <s v="Medium"/>
    <x v="0"/>
  </r>
  <r>
    <x v="1086"/>
    <s v="POL51785"/>
    <d v="2023-12-03T00:00:00"/>
    <n v="177091.43"/>
    <x v="1"/>
    <x v="3"/>
    <x v="1"/>
    <n v="54"/>
    <x v="1"/>
    <x v="3"/>
    <x v="0"/>
    <s v="Medium"/>
    <x v="0"/>
  </r>
  <r>
    <x v="1087"/>
    <s v="POL51074"/>
    <d v="2024-07-25T00:00:00"/>
    <n v="127813.89"/>
    <x v="0"/>
    <x v="0"/>
    <x v="1"/>
    <n v="33"/>
    <x v="2"/>
    <x v="2"/>
    <x v="1"/>
    <s v="Medium"/>
    <x v="0"/>
  </r>
  <r>
    <x v="1088"/>
    <s v="POL52732"/>
    <d v="2024-07-12T00:00:00"/>
    <n v="389560.07"/>
    <x v="2"/>
    <x v="0"/>
    <x v="1"/>
    <n v="46"/>
    <x v="2"/>
    <x v="2"/>
    <x v="1"/>
    <s v="High"/>
    <x v="0"/>
  </r>
  <r>
    <x v="1089"/>
    <s v="POL53878"/>
    <d v="2023-11-23T00:00:00"/>
    <n v="308586.65000000002"/>
    <x v="0"/>
    <x v="1"/>
    <x v="0"/>
    <n v="33"/>
    <x v="11"/>
    <x v="3"/>
    <x v="0"/>
    <s v="High"/>
    <x v="0"/>
  </r>
  <r>
    <x v="1090"/>
    <s v="POL51017"/>
    <d v="2022-09-03T00:00:00"/>
    <n v="133341.01"/>
    <x v="0"/>
    <x v="4"/>
    <x v="0"/>
    <n v="40"/>
    <x v="7"/>
    <x v="0"/>
    <x v="1"/>
    <s v="Medium"/>
    <x v="0"/>
  </r>
  <r>
    <x v="1091"/>
    <s v="POL52841"/>
    <d v="2023-04-24T00:00:00"/>
    <n v="297490.28999999998"/>
    <x v="1"/>
    <x v="2"/>
    <x v="1"/>
    <n v="56"/>
    <x v="9"/>
    <x v="3"/>
    <x v="2"/>
    <s v="High"/>
    <x v="0"/>
  </r>
  <r>
    <x v="1092"/>
    <s v="POL53297"/>
    <d v="2024-07-15T00:00:00"/>
    <n v="313329.37"/>
    <x v="1"/>
    <x v="2"/>
    <x v="0"/>
    <n v="9"/>
    <x v="2"/>
    <x v="2"/>
    <x v="1"/>
    <s v="High"/>
    <x v="1"/>
  </r>
  <r>
    <x v="1093"/>
    <s v="POL53889"/>
    <d v="2022-11-18T00:00:00"/>
    <n v="409795.01"/>
    <x v="0"/>
    <x v="4"/>
    <x v="0"/>
    <n v="23"/>
    <x v="11"/>
    <x v="0"/>
    <x v="0"/>
    <s v="High"/>
    <x v="1"/>
  </r>
  <r>
    <x v="1094"/>
    <s v="POL50680"/>
    <d v="2021-06-11T00:00:00"/>
    <n v="134950.23000000001"/>
    <x v="1"/>
    <x v="2"/>
    <x v="0"/>
    <n v="8"/>
    <x v="3"/>
    <x v="1"/>
    <x v="2"/>
    <s v="Medium"/>
    <x v="1"/>
  </r>
  <r>
    <x v="1095"/>
    <s v="POL50748"/>
    <d v="2023-10-22T00:00:00"/>
    <n v="314376.99"/>
    <x v="2"/>
    <x v="1"/>
    <x v="0"/>
    <n v="16"/>
    <x v="0"/>
    <x v="3"/>
    <x v="0"/>
    <s v="High"/>
    <x v="1"/>
  </r>
  <r>
    <x v="1096"/>
    <s v="POL53726"/>
    <d v="2023-08-20T00:00:00"/>
    <n v="99667.81"/>
    <x v="1"/>
    <x v="4"/>
    <x v="0"/>
    <n v="45"/>
    <x v="4"/>
    <x v="3"/>
    <x v="1"/>
    <s v="Low"/>
    <x v="0"/>
  </r>
  <r>
    <x v="1097"/>
    <s v="POL50741"/>
    <d v="2024-07-16T00:00:00"/>
    <n v="394584.75"/>
    <x v="1"/>
    <x v="4"/>
    <x v="0"/>
    <n v="8"/>
    <x v="2"/>
    <x v="2"/>
    <x v="1"/>
    <s v="High"/>
    <x v="1"/>
  </r>
  <r>
    <x v="1098"/>
    <s v="POL52209"/>
    <d v="2023-07-11T00:00:00"/>
    <n v="145742.13"/>
    <x v="0"/>
    <x v="0"/>
    <x v="1"/>
    <n v="29"/>
    <x v="2"/>
    <x v="3"/>
    <x v="1"/>
    <s v="Medium"/>
    <x v="1"/>
  </r>
  <r>
    <x v="1099"/>
    <s v="POL51338"/>
    <d v="2023-09-05T00:00:00"/>
    <n v="287201.13"/>
    <x v="2"/>
    <x v="2"/>
    <x v="1"/>
    <n v="8"/>
    <x v="7"/>
    <x v="3"/>
    <x v="1"/>
    <s v="High"/>
    <x v="1"/>
  </r>
  <r>
    <x v="1100"/>
    <s v="POL51765"/>
    <d v="2023-01-25T00:00:00"/>
    <n v="123980.04"/>
    <x v="2"/>
    <x v="2"/>
    <x v="1"/>
    <n v="37"/>
    <x v="8"/>
    <x v="3"/>
    <x v="3"/>
    <s v="Medium"/>
    <x v="0"/>
  </r>
  <r>
    <x v="1101"/>
    <s v="POL50569"/>
    <d v="2024-07-07T00:00:00"/>
    <n v="494099.97"/>
    <x v="0"/>
    <x v="3"/>
    <x v="1"/>
    <n v="30"/>
    <x v="2"/>
    <x v="2"/>
    <x v="1"/>
    <s v="High"/>
    <x v="1"/>
  </r>
  <r>
    <x v="1102"/>
    <s v="POL50483"/>
    <d v="2023-06-11T00:00:00"/>
    <n v="322779.65999999997"/>
    <x v="0"/>
    <x v="1"/>
    <x v="1"/>
    <n v="24"/>
    <x v="3"/>
    <x v="3"/>
    <x v="2"/>
    <s v="High"/>
    <x v="1"/>
  </r>
  <r>
    <x v="1103"/>
    <s v="POL50280"/>
    <d v="2022-11-26T00:00:00"/>
    <n v="75734.81"/>
    <x v="2"/>
    <x v="2"/>
    <x v="1"/>
    <n v="14"/>
    <x v="11"/>
    <x v="0"/>
    <x v="0"/>
    <s v="Low"/>
    <x v="1"/>
  </r>
  <r>
    <x v="1104"/>
    <s v="POL53110"/>
    <d v="2022-07-10T00:00:00"/>
    <n v="62444.41"/>
    <x v="0"/>
    <x v="4"/>
    <x v="1"/>
    <n v="8"/>
    <x v="2"/>
    <x v="0"/>
    <x v="1"/>
    <s v="Low"/>
    <x v="1"/>
  </r>
  <r>
    <x v="1105"/>
    <s v="POL52221"/>
    <d v="2021-02-21T00:00:00"/>
    <n v="102146.21"/>
    <x v="2"/>
    <x v="3"/>
    <x v="0"/>
    <n v="48"/>
    <x v="10"/>
    <x v="1"/>
    <x v="3"/>
    <s v="Medium"/>
    <x v="0"/>
  </r>
  <r>
    <x v="1106"/>
    <s v="POL53599"/>
    <d v="2021-06-06T00:00:00"/>
    <n v="468828.3"/>
    <x v="0"/>
    <x v="2"/>
    <x v="0"/>
    <n v="57"/>
    <x v="3"/>
    <x v="1"/>
    <x v="2"/>
    <s v="High"/>
    <x v="0"/>
  </r>
  <r>
    <x v="1107"/>
    <s v="POL53369"/>
    <d v="2023-01-13T00:00:00"/>
    <n v="403404.26"/>
    <x v="2"/>
    <x v="2"/>
    <x v="1"/>
    <n v="32"/>
    <x v="8"/>
    <x v="3"/>
    <x v="3"/>
    <s v="High"/>
    <x v="0"/>
  </r>
  <r>
    <x v="1108"/>
    <s v="POL53706"/>
    <d v="2024-08-16T00:00:00"/>
    <n v="429559.18"/>
    <x v="0"/>
    <x v="2"/>
    <x v="1"/>
    <n v="27"/>
    <x v="4"/>
    <x v="2"/>
    <x v="1"/>
    <s v="High"/>
    <x v="1"/>
  </r>
  <r>
    <x v="1109"/>
    <s v="POL51403"/>
    <d v="2023-08-10T00:00:00"/>
    <n v="450666.09"/>
    <x v="1"/>
    <x v="0"/>
    <x v="1"/>
    <n v="39"/>
    <x v="4"/>
    <x v="3"/>
    <x v="1"/>
    <s v="High"/>
    <x v="0"/>
  </r>
  <r>
    <x v="1110"/>
    <s v="POL53033"/>
    <d v="2022-09-02T00:00:00"/>
    <n v="130538.52"/>
    <x v="2"/>
    <x v="0"/>
    <x v="0"/>
    <n v="53"/>
    <x v="7"/>
    <x v="0"/>
    <x v="1"/>
    <s v="Medium"/>
    <x v="0"/>
  </r>
  <r>
    <x v="1111"/>
    <s v="POL51968"/>
    <d v="2021-05-30T00:00:00"/>
    <n v="485618.39"/>
    <x v="0"/>
    <x v="4"/>
    <x v="0"/>
    <n v="16"/>
    <x v="6"/>
    <x v="1"/>
    <x v="2"/>
    <s v="High"/>
    <x v="1"/>
  </r>
  <r>
    <x v="1112"/>
    <s v="POL52293"/>
    <d v="2023-02-17T00:00:00"/>
    <n v="161850.19"/>
    <x v="2"/>
    <x v="4"/>
    <x v="1"/>
    <n v="35"/>
    <x v="10"/>
    <x v="3"/>
    <x v="3"/>
    <s v="Medium"/>
    <x v="0"/>
  </r>
  <r>
    <x v="1113"/>
    <s v="POL50916"/>
    <d v="2023-11-16T00:00:00"/>
    <n v="159671.01"/>
    <x v="1"/>
    <x v="4"/>
    <x v="1"/>
    <n v="34"/>
    <x v="11"/>
    <x v="3"/>
    <x v="0"/>
    <s v="Medium"/>
    <x v="0"/>
  </r>
  <r>
    <x v="1114"/>
    <s v="POL53071"/>
    <d v="2022-10-12T00:00:00"/>
    <n v="29316.31"/>
    <x v="1"/>
    <x v="0"/>
    <x v="0"/>
    <n v="46"/>
    <x v="0"/>
    <x v="0"/>
    <x v="0"/>
    <s v="Low"/>
    <x v="0"/>
  </r>
  <r>
    <x v="1115"/>
    <s v="POL50669"/>
    <d v="2024-08-11T00:00:00"/>
    <n v="419096.51"/>
    <x v="2"/>
    <x v="2"/>
    <x v="0"/>
    <n v="4"/>
    <x v="4"/>
    <x v="2"/>
    <x v="1"/>
    <s v="High"/>
    <x v="1"/>
  </r>
  <r>
    <x v="1116"/>
    <s v="POL50078"/>
    <d v="2023-09-02T00:00:00"/>
    <n v="413927.21"/>
    <x v="0"/>
    <x v="1"/>
    <x v="1"/>
    <n v="24"/>
    <x v="7"/>
    <x v="3"/>
    <x v="1"/>
    <s v="High"/>
    <x v="1"/>
  </r>
  <r>
    <x v="1117"/>
    <s v="POL52595"/>
    <d v="2023-09-05T00:00:00"/>
    <n v="481634.9"/>
    <x v="2"/>
    <x v="4"/>
    <x v="1"/>
    <n v="59"/>
    <x v="7"/>
    <x v="3"/>
    <x v="1"/>
    <s v="High"/>
    <x v="0"/>
  </r>
  <r>
    <x v="1118"/>
    <s v="POL53482"/>
    <d v="2024-11-10T00:00:00"/>
    <n v="38168.26"/>
    <x v="2"/>
    <x v="4"/>
    <x v="1"/>
    <n v="5"/>
    <x v="11"/>
    <x v="2"/>
    <x v="0"/>
    <s v="Low"/>
    <x v="1"/>
  </r>
  <r>
    <x v="1119"/>
    <s v="POL53449"/>
    <d v="2024-12-24T00:00:00"/>
    <n v="19880.39"/>
    <x v="1"/>
    <x v="1"/>
    <x v="1"/>
    <n v="55"/>
    <x v="1"/>
    <x v="2"/>
    <x v="0"/>
    <s v="Low"/>
    <x v="0"/>
  </r>
  <r>
    <x v="1120"/>
    <s v="POL50041"/>
    <d v="2022-12-30T00:00:00"/>
    <n v="19300.54"/>
    <x v="2"/>
    <x v="2"/>
    <x v="0"/>
    <n v="22"/>
    <x v="1"/>
    <x v="0"/>
    <x v="0"/>
    <s v="Low"/>
    <x v="1"/>
  </r>
  <r>
    <x v="1121"/>
    <s v="POL53032"/>
    <d v="2023-10-01T00:00:00"/>
    <n v="212170.17"/>
    <x v="0"/>
    <x v="4"/>
    <x v="1"/>
    <n v="59"/>
    <x v="0"/>
    <x v="3"/>
    <x v="0"/>
    <s v="High"/>
    <x v="0"/>
  </r>
  <r>
    <x v="1122"/>
    <s v="POL50979"/>
    <d v="2023-11-02T00:00:00"/>
    <n v="12740.13"/>
    <x v="0"/>
    <x v="2"/>
    <x v="0"/>
    <n v="48"/>
    <x v="11"/>
    <x v="3"/>
    <x v="0"/>
    <s v="Low"/>
    <x v="0"/>
  </r>
  <r>
    <x v="1123"/>
    <s v="POL51005"/>
    <d v="2024-05-12T00:00:00"/>
    <n v="11895.6"/>
    <x v="1"/>
    <x v="0"/>
    <x v="0"/>
    <n v="57"/>
    <x v="6"/>
    <x v="2"/>
    <x v="2"/>
    <s v="Low"/>
    <x v="0"/>
  </r>
  <r>
    <x v="1124"/>
    <s v="POL53711"/>
    <d v="2023-09-18T00:00:00"/>
    <n v="21743.22"/>
    <x v="1"/>
    <x v="2"/>
    <x v="1"/>
    <n v="10"/>
    <x v="7"/>
    <x v="3"/>
    <x v="1"/>
    <s v="Low"/>
    <x v="1"/>
  </r>
  <r>
    <x v="1125"/>
    <s v="POL53116"/>
    <d v="2023-04-22T00:00:00"/>
    <n v="456759.14"/>
    <x v="1"/>
    <x v="4"/>
    <x v="0"/>
    <n v="27"/>
    <x v="9"/>
    <x v="3"/>
    <x v="2"/>
    <s v="High"/>
    <x v="1"/>
  </r>
  <r>
    <x v="1126"/>
    <s v="POL53929"/>
    <d v="2022-02-10T00:00:00"/>
    <n v="306810.69"/>
    <x v="2"/>
    <x v="4"/>
    <x v="1"/>
    <n v="32"/>
    <x v="10"/>
    <x v="0"/>
    <x v="3"/>
    <s v="High"/>
    <x v="0"/>
  </r>
  <r>
    <x v="1127"/>
    <s v="POL51347"/>
    <d v="2021-06-09T00:00:00"/>
    <n v="135588.35"/>
    <x v="2"/>
    <x v="0"/>
    <x v="1"/>
    <n v="59"/>
    <x v="3"/>
    <x v="1"/>
    <x v="2"/>
    <s v="Medium"/>
    <x v="0"/>
  </r>
  <r>
    <x v="1128"/>
    <s v="POL50670"/>
    <d v="2024-06-25T00:00:00"/>
    <n v="24517.19"/>
    <x v="2"/>
    <x v="2"/>
    <x v="0"/>
    <n v="41"/>
    <x v="3"/>
    <x v="2"/>
    <x v="2"/>
    <s v="Low"/>
    <x v="0"/>
  </r>
  <r>
    <x v="1129"/>
    <s v="POL53517"/>
    <d v="2024-07-26T00:00:00"/>
    <n v="462850.09"/>
    <x v="2"/>
    <x v="3"/>
    <x v="1"/>
    <n v="47"/>
    <x v="2"/>
    <x v="2"/>
    <x v="1"/>
    <s v="High"/>
    <x v="0"/>
  </r>
  <r>
    <x v="1130"/>
    <s v="POL50258"/>
    <d v="2023-06-02T00:00:00"/>
    <n v="441157.49"/>
    <x v="2"/>
    <x v="2"/>
    <x v="0"/>
    <n v="28"/>
    <x v="3"/>
    <x v="3"/>
    <x v="2"/>
    <s v="High"/>
    <x v="1"/>
  </r>
  <r>
    <x v="1131"/>
    <s v="POL51631"/>
    <d v="2022-10-21T00:00:00"/>
    <n v="147778.63"/>
    <x v="0"/>
    <x v="2"/>
    <x v="1"/>
    <n v="43"/>
    <x v="0"/>
    <x v="0"/>
    <x v="0"/>
    <s v="Medium"/>
    <x v="0"/>
  </r>
  <r>
    <x v="1132"/>
    <s v="POL53021"/>
    <d v="2023-02-21T00:00:00"/>
    <n v="202118.38"/>
    <x v="2"/>
    <x v="3"/>
    <x v="1"/>
    <n v="11"/>
    <x v="10"/>
    <x v="3"/>
    <x v="3"/>
    <s v="High"/>
    <x v="1"/>
  </r>
  <r>
    <x v="1133"/>
    <s v="POL51765"/>
    <d v="2022-12-03T00:00:00"/>
    <n v="121717.53"/>
    <x v="1"/>
    <x v="1"/>
    <x v="1"/>
    <n v="34"/>
    <x v="1"/>
    <x v="0"/>
    <x v="0"/>
    <s v="Medium"/>
    <x v="0"/>
  </r>
  <r>
    <x v="1134"/>
    <s v="POL51328"/>
    <d v="2024-04-02T00:00:00"/>
    <n v="211735.29"/>
    <x v="0"/>
    <x v="1"/>
    <x v="1"/>
    <n v="43"/>
    <x v="9"/>
    <x v="2"/>
    <x v="2"/>
    <s v="High"/>
    <x v="0"/>
  </r>
  <r>
    <x v="1135"/>
    <s v="POL51417"/>
    <d v="2023-02-02T00:00:00"/>
    <n v="23992.67"/>
    <x v="1"/>
    <x v="1"/>
    <x v="1"/>
    <n v="48"/>
    <x v="10"/>
    <x v="3"/>
    <x v="3"/>
    <s v="Low"/>
    <x v="0"/>
  </r>
  <r>
    <x v="1136"/>
    <s v="POL53195"/>
    <d v="2024-09-29T00:00:00"/>
    <n v="378216.45"/>
    <x v="1"/>
    <x v="4"/>
    <x v="1"/>
    <n v="52"/>
    <x v="7"/>
    <x v="2"/>
    <x v="1"/>
    <s v="High"/>
    <x v="0"/>
  </r>
  <r>
    <x v="1137"/>
    <s v="POL50977"/>
    <d v="2023-09-27T00:00:00"/>
    <n v="359282.94"/>
    <x v="1"/>
    <x v="0"/>
    <x v="0"/>
    <n v="29"/>
    <x v="7"/>
    <x v="3"/>
    <x v="1"/>
    <s v="High"/>
    <x v="1"/>
  </r>
  <r>
    <x v="1138"/>
    <s v="POL50959"/>
    <d v="2023-09-07T00:00:00"/>
    <n v="418247.11"/>
    <x v="0"/>
    <x v="4"/>
    <x v="1"/>
    <n v="58"/>
    <x v="7"/>
    <x v="3"/>
    <x v="1"/>
    <s v="High"/>
    <x v="0"/>
  </r>
  <r>
    <x v="1139"/>
    <s v="POL53400"/>
    <d v="2024-03-10T00:00:00"/>
    <n v="99976.74"/>
    <x v="0"/>
    <x v="0"/>
    <x v="0"/>
    <n v="42"/>
    <x v="5"/>
    <x v="2"/>
    <x v="3"/>
    <s v="Low"/>
    <x v="0"/>
  </r>
  <r>
    <x v="1140"/>
    <s v="POL51151"/>
    <d v="2024-08-08T00:00:00"/>
    <n v="271668.07"/>
    <x v="1"/>
    <x v="0"/>
    <x v="0"/>
    <n v="56"/>
    <x v="4"/>
    <x v="2"/>
    <x v="1"/>
    <s v="High"/>
    <x v="0"/>
  </r>
  <r>
    <x v="1141"/>
    <s v="POL52431"/>
    <d v="2023-10-31T00:00:00"/>
    <n v="154772.56"/>
    <x v="2"/>
    <x v="4"/>
    <x v="0"/>
    <n v="49"/>
    <x v="0"/>
    <x v="3"/>
    <x v="0"/>
    <s v="Medium"/>
    <x v="0"/>
  </r>
  <r>
    <x v="1142"/>
    <s v="POL52456"/>
    <d v="2023-11-10T00:00:00"/>
    <n v="311514.21999999997"/>
    <x v="1"/>
    <x v="3"/>
    <x v="1"/>
    <n v="14"/>
    <x v="11"/>
    <x v="3"/>
    <x v="0"/>
    <s v="High"/>
    <x v="1"/>
  </r>
  <r>
    <x v="1143"/>
    <s v="POL52060"/>
    <d v="2024-11-24T00:00:00"/>
    <n v="465987.92"/>
    <x v="2"/>
    <x v="2"/>
    <x v="1"/>
    <n v="21"/>
    <x v="11"/>
    <x v="2"/>
    <x v="0"/>
    <s v="High"/>
    <x v="1"/>
  </r>
  <r>
    <x v="1144"/>
    <s v="POL51577"/>
    <d v="2024-02-25T00:00:00"/>
    <n v="333149.71000000002"/>
    <x v="1"/>
    <x v="4"/>
    <x v="1"/>
    <n v="20"/>
    <x v="10"/>
    <x v="2"/>
    <x v="3"/>
    <s v="High"/>
    <x v="1"/>
  </r>
  <r>
    <x v="1145"/>
    <s v="POL53128"/>
    <d v="2024-07-23T00:00:00"/>
    <n v="156384.72"/>
    <x v="0"/>
    <x v="3"/>
    <x v="0"/>
    <n v="56"/>
    <x v="2"/>
    <x v="2"/>
    <x v="1"/>
    <s v="Medium"/>
    <x v="0"/>
  </r>
  <r>
    <x v="1146"/>
    <s v="POL50170"/>
    <d v="2022-04-06T00:00:00"/>
    <n v="314973.28000000003"/>
    <x v="1"/>
    <x v="2"/>
    <x v="1"/>
    <n v="53"/>
    <x v="9"/>
    <x v="0"/>
    <x v="2"/>
    <s v="High"/>
    <x v="0"/>
  </r>
  <r>
    <x v="1147"/>
    <s v="POL51247"/>
    <d v="2022-08-06T00:00:00"/>
    <n v="93470.1"/>
    <x v="1"/>
    <x v="2"/>
    <x v="1"/>
    <n v="3"/>
    <x v="4"/>
    <x v="0"/>
    <x v="1"/>
    <s v="Low"/>
    <x v="1"/>
  </r>
  <r>
    <x v="1148"/>
    <s v="POL53331"/>
    <d v="2021-10-10T00:00:00"/>
    <n v="370572.45"/>
    <x v="2"/>
    <x v="2"/>
    <x v="1"/>
    <n v="39"/>
    <x v="0"/>
    <x v="1"/>
    <x v="0"/>
    <s v="High"/>
    <x v="0"/>
  </r>
  <r>
    <x v="1149"/>
    <s v="POL50719"/>
    <d v="2021-12-04T00:00:00"/>
    <n v="24573.64"/>
    <x v="0"/>
    <x v="3"/>
    <x v="0"/>
    <n v="2"/>
    <x v="1"/>
    <x v="1"/>
    <x v="0"/>
    <s v="Low"/>
    <x v="1"/>
  </r>
  <r>
    <x v="1150"/>
    <s v="POL52280"/>
    <d v="2020-11-22T00:00:00"/>
    <n v="263894.78999999998"/>
    <x v="2"/>
    <x v="4"/>
    <x v="0"/>
    <n v="57"/>
    <x v="11"/>
    <x v="5"/>
    <x v="0"/>
    <s v="High"/>
    <x v="0"/>
  </r>
  <r>
    <x v="1151"/>
    <s v="POL53161"/>
    <d v="2022-10-07T00:00:00"/>
    <n v="137507.91"/>
    <x v="1"/>
    <x v="4"/>
    <x v="0"/>
    <n v="43"/>
    <x v="0"/>
    <x v="0"/>
    <x v="0"/>
    <s v="Medium"/>
    <x v="0"/>
  </r>
  <r>
    <x v="1152"/>
    <s v="POL51011"/>
    <d v="2024-02-27T00:00:00"/>
    <n v="88536.13"/>
    <x v="2"/>
    <x v="4"/>
    <x v="1"/>
    <n v="8"/>
    <x v="10"/>
    <x v="2"/>
    <x v="3"/>
    <s v="Low"/>
    <x v="1"/>
  </r>
  <r>
    <x v="1153"/>
    <s v="POL51001"/>
    <d v="2024-03-15T00:00:00"/>
    <n v="73711.850000000006"/>
    <x v="1"/>
    <x v="2"/>
    <x v="1"/>
    <n v="9"/>
    <x v="5"/>
    <x v="2"/>
    <x v="3"/>
    <s v="Low"/>
    <x v="1"/>
  </r>
  <r>
    <x v="1154"/>
    <s v="POL51515"/>
    <d v="2021-11-05T00:00:00"/>
    <n v="363890.85"/>
    <x v="0"/>
    <x v="2"/>
    <x v="0"/>
    <n v="21"/>
    <x v="11"/>
    <x v="1"/>
    <x v="0"/>
    <s v="High"/>
    <x v="1"/>
  </r>
  <r>
    <x v="1155"/>
    <s v="POL51982"/>
    <d v="2024-05-20T00:00:00"/>
    <n v="497532.53"/>
    <x v="0"/>
    <x v="0"/>
    <x v="1"/>
    <n v="4"/>
    <x v="6"/>
    <x v="2"/>
    <x v="2"/>
    <s v="High"/>
    <x v="1"/>
  </r>
  <r>
    <x v="1156"/>
    <s v="POL52951"/>
    <d v="2022-11-12T00:00:00"/>
    <n v="437622.74"/>
    <x v="1"/>
    <x v="1"/>
    <x v="1"/>
    <n v="51"/>
    <x v="11"/>
    <x v="0"/>
    <x v="0"/>
    <s v="High"/>
    <x v="0"/>
  </r>
  <r>
    <x v="1157"/>
    <s v="POL50597"/>
    <d v="2025-04-29T00:00:00"/>
    <n v="170888.84"/>
    <x v="1"/>
    <x v="1"/>
    <x v="1"/>
    <n v="29"/>
    <x v="9"/>
    <x v="4"/>
    <x v="2"/>
    <s v="Medium"/>
    <x v="1"/>
  </r>
  <r>
    <x v="1158"/>
    <s v="POL53299"/>
    <d v="2022-06-12T00:00:00"/>
    <n v="472180.56"/>
    <x v="0"/>
    <x v="4"/>
    <x v="1"/>
    <n v="26"/>
    <x v="3"/>
    <x v="0"/>
    <x v="2"/>
    <s v="High"/>
    <x v="1"/>
  </r>
  <r>
    <x v="1159"/>
    <s v="POL53639"/>
    <d v="2023-10-29T00:00:00"/>
    <n v="281400.21000000002"/>
    <x v="1"/>
    <x v="1"/>
    <x v="0"/>
    <n v="30"/>
    <x v="0"/>
    <x v="3"/>
    <x v="0"/>
    <s v="High"/>
    <x v="1"/>
  </r>
  <r>
    <x v="1160"/>
    <s v="POL50282"/>
    <d v="2022-08-27T00:00:00"/>
    <n v="299149.09000000003"/>
    <x v="1"/>
    <x v="4"/>
    <x v="0"/>
    <n v="13"/>
    <x v="4"/>
    <x v="0"/>
    <x v="1"/>
    <s v="High"/>
    <x v="1"/>
  </r>
  <r>
    <x v="1161"/>
    <s v="POL50664"/>
    <d v="2024-09-07T00:00:00"/>
    <n v="191551.24"/>
    <x v="2"/>
    <x v="2"/>
    <x v="0"/>
    <n v="53"/>
    <x v="7"/>
    <x v="2"/>
    <x v="1"/>
    <s v="Medium"/>
    <x v="0"/>
  </r>
  <r>
    <x v="1162"/>
    <s v="POL53502"/>
    <d v="2022-11-04T00:00:00"/>
    <n v="160699.35"/>
    <x v="2"/>
    <x v="1"/>
    <x v="0"/>
    <n v="48"/>
    <x v="11"/>
    <x v="0"/>
    <x v="0"/>
    <s v="Medium"/>
    <x v="0"/>
  </r>
  <r>
    <x v="1163"/>
    <s v="POL51899"/>
    <d v="2021-03-10T00:00:00"/>
    <n v="207532.35"/>
    <x v="1"/>
    <x v="2"/>
    <x v="1"/>
    <n v="59"/>
    <x v="5"/>
    <x v="1"/>
    <x v="3"/>
    <s v="High"/>
    <x v="0"/>
  </r>
  <r>
    <x v="1164"/>
    <s v="POL52476"/>
    <d v="2023-10-19T00:00:00"/>
    <n v="147781.76000000001"/>
    <x v="2"/>
    <x v="2"/>
    <x v="1"/>
    <n v="27"/>
    <x v="0"/>
    <x v="3"/>
    <x v="0"/>
    <s v="Medium"/>
    <x v="1"/>
  </r>
  <r>
    <x v="1165"/>
    <s v="POL51497"/>
    <d v="2023-02-13T00:00:00"/>
    <n v="78301.16"/>
    <x v="0"/>
    <x v="1"/>
    <x v="1"/>
    <n v="36"/>
    <x v="10"/>
    <x v="3"/>
    <x v="3"/>
    <s v="Low"/>
    <x v="0"/>
  </r>
  <r>
    <x v="1166"/>
    <s v="POL51515"/>
    <d v="2024-01-22T00:00:00"/>
    <n v="131785.54999999999"/>
    <x v="1"/>
    <x v="4"/>
    <x v="1"/>
    <n v="37"/>
    <x v="8"/>
    <x v="2"/>
    <x v="3"/>
    <s v="Medium"/>
    <x v="0"/>
  </r>
  <r>
    <x v="1167"/>
    <s v="POL53326"/>
    <d v="2024-05-21T00:00:00"/>
    <n v="93920.99"/>
    <x v="1"/>
    <x v="3"/>
    <x v="0"/>
    <n v="53"/>
    <x v="6"/>
    <x v="2"/>
    <x v="2"/>
    <s v="Low"/>
    <x v="0"/>
  </r>
  <r>
    <x v="1168"/>
    <s v="POL51816"/>
    <d v="2023-01-26T00:00:00"/>
    <n v="305939.76"/>
    <x v="2"/>
    <x v="4"/>
    <x v="1"/>
    <n v="54"/>
    <x v="8"/>
    <x v="3"/>
    <x v="3"/>
    <s v="High"/>
    <x v="0"/>
  </r>
  <r>
    <x v="1169"/>
    <s v="POL53816"/>
    <d v="2024-05-31T00:00:00"/>
    <n v="114792.34"/>
    <x v="2"/>
    <x v="4"/>
    <x v="0"/>
    <n v="42"/>
    <x v="6"/>
    <x v="2"/>
    <x v="2"/>
    <s v="Medium"/>
    <x v="0"/>
  </r>
  <r>
    <x v="1170"/>
    <s v="POL53580"/>
    <d v="2024-04-04T00:00:00"/>
    <n v="131611.45000000001"/>
    <x v="2"/>
    <x v="2"/>
    <x v="1"/>
    <n v="19"/>
    <x v="9"/>
    <x v="2"/>
    <x v="2"/>
    <s v="Medium"/>
    <x v="1"/>
  </r>
  <r>
    <x v="1171"/>
    <s v="POL50178"/>
    <d v="2021-08-25T00:00:00"/>
    <n v="342089.73"/>
    <x v="2"/>
    <x v="3"/>
    <x v="1"/>
    <n v="49"/>
    <x v="4"/>
    <x v="1"/>
    <x v="1"/>
    <s v="High"/>
    <x v="0"/>
  </r>
  <r>
    <x v="1172"/>
    <s v="POL51126"/>
    <d v="2024-04-23T00:00:00"/>
    <n v="439792.36"/>
    <x v="1"/>
    <x v="2"/>
    <x v="1"/>
    <n v="36"/>
    <x v="9"/>
    <x v="2"/>
    <x v="2"/>
    <s v="High"/>
    <x v="0"/>
  </r>
  <r>
    <x v="1173"/>
    <s v="POL52172"/>
    <d v="2024-05-23T00:00:00"/>
    <n v="25378.46"/>
    <x v="2"/>
    <x v="3"/>
    <x v="0"/>
    <n v="33"/>
    <x v="6"/>
    <x v="2"/>
    <x v="2"/>
    <s v="Low"/>
    <x v="0"/>
  </r>
  <r>
    <x v="1174"/>
    <s v="POL50154"/>
    <d v="2023-04-16T00:00:00"/>
    <n v="341288.64"/>
    <x v="2"/>
    <x v="2"/>
    <x v="0"/>
    <n v="34"/>
    <x v="9"/>
    <x v="3"/>
    <x v="2"/>
    <s v="High"/>
    <x v="0"/>
  </r>
  <r>
    <x v="1175"/>
    <s v="POL52574"/>
    <d v="2023-05-12T00:00:00"/>
    <n v="349992.65"/>
    <x v="1"/>
    <x v="3"/>
    <x v="0"/>
    <n v="47"/>
    <x v="6"/>
    <x v="3"/>
    <x v="2"/>
    <s v="High"/>
    <x v="0"/>
  </r>
  <r>
    <x v="1176"/>
    <s v="POL53917"/>
    <d v="2024-10-02T00:00:00"/>
    <n v="311040.68"/>
    <x v="1"/>
    <x v="2"/>
    <x v="1"/>
    <n v="44"/>
    <x v="0"/>
    <x v="2"/>
    <x v="0"/>
    <s v="High"/>
    <x v="0"/>
  </r>
  <r>
    <x v="1177"/>
    <s v="POL53766"/>
    <d v="2024-12-11T00:00:00"/>
    <n v="354958.52"/>
    <x v="2"/>
    <x v="4"/>
    <x v="1"/>
    <n v="41"/>
    <x v="1"/>
    <x v="2"/>
    <x v="0"/>
    <s v="High"/>
    <x v="0"/>
  </r>
  <r>
    <x v="1178"/>
    <s v="POL53075"/>
    <d v="2022-12-14T00:00:00"/>
    <n v="50670.67"/>
    <x v="0"/>
    <x v="1"/>
    <x v="1"/>
    <n v="5"/>
    <x v="1"/>
    <x v="0"/>
    <x v="0"/>
    <s v="Low"/>
    <x v="1"/>
  </r>
  <r>
    <x v="1179"/>
    <s v="POL51403"/>
    <d v="2022-12-27T00:00:00"/>
    <n v="94163.46"/>
    <x v="1"/>
    <x v="1"/>
    <x v="1"/>
    <n v="53"/>
    <x v="1"/>
    <x v="0"/>
    <x v="0"/>
    <s v="Low"/>
    <x v="0"/>
  </r>
  <r>
    <x v="1180"/>
    <s v="POL50960"/>
    <d v="2024-11-03T00:00:00"/>
    <n v="275497.12"/>
    <x v="2"/>
    <x v="3"/>
    <x v="1"/>
    <n v="21"/>
    <x v="11"/>
    <x v="2"/>
    <x v="0"/>
    <s v="High"/>
    <x v="1"/>
  </r>
  <r>
    <x v="1181"/>
    <s v="POL51650"/>
    <d v="2024-08-01T00:00:00"/>
    <n v="342731.75"/>
    <x v="1"/>
    <x v="3"/>
    <x v="0"/>
    <n v="12"/>
    <x v="4"/>
    <x v="2"/>
    <x v="1"/>
    <s v="High"/>
    <x v="1"/>
  </r>
  <r>
    <x v="1182"/>
    <s v="POL52754"/>
    <d v="2021-07-29T00:00:00"/>
    <n v="373385.59"/>
    <x v="2"/>
    <x v="0"/>
    <x v="1"/>
    <n v="31"/>
    <x v="2"/>
    <x v="1"/>
    <x v="1"/>
    <s v="High"/>
    <x v="0"/>
  </r>
  <r>
    <x v="1183"/>
    <s v="POL53529"/>
    <d v="2022-11-24T00:00:00"/>
    <n v="94472.02"/>
    <x v="1"/>
    <x v="3"/>
    <x v="0"/>
    <n v="3"/>
    <x v="11"/>
    <x v="0"/>
    <x v="0"/>
    <s v="Low"/>
    <x v="1"/>
  </r>
  <r>
    <x v="1184"/>
    <s v="POL53576"/>
    <d v="2023-06-24T00:00:00"/>
    <n v="115651.24"/>
    <x v="0"/>
    <x v="2"/>
    <x v="1"/>
    <n v="23"/>
    <x v="3"/>
    <x v="3"/>
    <x v="2"/>
    <s v="Medium"/>
    <x v="1"/>
  </r>
  <r>
    <x v="1185"/>
    <s v="POL52879"/>
    <d v="2025-05-13T00:00:00"/>
    <n v="282410.64"/>
    <x v="1"/>
    <x v="0"/>
    <x v="1"/>
    <n v="6"/>
    <x v="6"/>
    <x v="4"/>
    <x v="2"/>
    <s v="High"/>
    <x v="1"/>
  </r>
  <r>
    <x v="1186"/>
    <s v="POL52322"/>
    <d v="2022-06-08T00:00:00"/>
    <n v="251374.71"/>
    <x v="2"/>
    <x v="2"/>
    <x v="1"/>
    <n v="42"/>
    <x v="3"/>
    <x v="0"/>
    <x v="2"/>
    <s v="High"/>
    <x v="0"/>
  </r>
  <r>
    <x v="1187"/>
    <s v="POL51288"/>
    <d v="2021-07-20T00:00:00"/>
    <n v="367507.52"/>
    <x v="1"/>
    <x v="4"/>
    <x v="0"/>
    <n v="38"/>
    <x v="2"/>
    <x v="1"/>
    <x v="1"/>
    <s v="High"/>
    <x v="0"/>
  </r>
  <r>
    <x v="1188"/>
    <s v="POL52995"/>
    <d v="2024-01-16T00:00:00"/>
    <n v="285921.19"/>
    <x v="1"/>
    <x v="0"/>
    <x v="0"/>
    <n v="7"/>
    <x v="8"/>
    <x v="2"/>
    <x v="3"/>
    <s v="High"/>
    <x v="1"/>
  </r>
  <r>
    <x v="1189"/>
    <s v="POL51004"/>
    <d v="2022-02-07T00:00:00"/>
    <n v="464224.64"/>
    <x v="0"/>
    <x v="0"/>
    <x v="0"/>
    <n v="50"/>
    <x v="10"/>
    <x v="0"/>
    <x v="3"/>
    <s v="High"/>
    <x v="0"/>
  </r>
  <r>
    <x v="1190"/>
    <s v="POL51178"/>
    <d v="2024-08-23T00:00:00"/>
    <n v="303126.92"/>
    <x v="0"/>
    <x v="4"/>
    <x v="1"/>
    <n v="4"/>
    <x v="4"/>
    <x v="2"/>
    <x v="1"/>
    <s v="High"/>
    <x v="1"/>
  </r>
  <r>
    <x v="1191"/>
    <s v="POL52635"/>
    <d v="2024-09-27T00:00:00"/>
    <n v="14985.34"/>
    <x v="0"/>
    <x v="3"/>
    <x v="0"/>
    <n v="37"/>
    <x v="7"/>
    <x v="2"/>
    <x v="1"/>
    <s v="Low"/>
    <x v="0"/>
  </r>
  <r>
    <x v="1192"/>
    <s v="POL51422"/>
    <d v="2024-02-18T00:00:00"/>
    <n v="408243.33"/>
    <x v="1"/>
    <x v="2"/>
    <x v="0"/>
    <n v="26"/>
    <x v="10"/>
    <x v="2"/>
    <x v="3"/>
    <s v="High"/>
    <x v="1"/>
  </r>
  <r>
    <x v="1193"/>
    <s v="POL52500"/>
    <d v="2021-09-09T00:00:00"/>
    <n v="109961.85"/>
    <x v="0"/>
    <x v="0"/>
    <x v="1"/>
    <n v="40"/>
    <x v="7"/>
    <x v="1"/>
    <x v="1"/>
    <s v="Medium"/>
    <x v="0"/>
  </r>
  <r>
    <x v="1194"/>
    <s v="POL51157"/>
    <d v="2024-02-02T00:00:00"/>
    <n v="427669.07"/>
    <x v="1"/>
    <x v="3"/>
    <x v="1"/>
    <n v="40"/>
    <x v="10"/>
    <x v="2"/>
    <x v="3"/>
    <s v="High"/>
    <x v="0"/>
  </r>
  <r>
    <x v="1195"/>
    <s v="POL52574"/>
    <d v="2023-05-17T00:00:00"/>
    <n v="419757.76"/>
    <x v="0"/>
    <x v="2"/>
    <x v="1"/>
    <n v="18"/>
    <x v="6"/>
    <x v="3"/>
    <x v="2"/>
    <s v="High"/>
    <x v="1"/>
  </r>
  <r>
    <x v="1196"/>
    <s v="POL50809"/>
    <d v="2024-10-28T00:00:00"/>
    <n v="444058.43"/>
    <x v="0"/>
    <x v="4"/>
    <x v="0"/>
    <n v="23"/>
    <x v="0"/>
    <x v="2"/>
    <x v="0"/>
    <s v="High"/>
    <x v="1"/>
  </r>
  <r>
    <x v="1197"/>
    <s v="POL51162"/>
    <d v="2023-09-17T00:00:00"/>
    <n v="279253.83"/>
    <x v="0"/>
    <x v="3"/>
    <x v="0"/>
    <n v="34"/>
    <x v="7"/>
    <x v="3"/>
    <x v="1"/>
    <s v="High"/>
    <x v="0"/>
  </r>
  <r>
    <x v="1198"/>
    <s v="POL50750"/>
    <d v="2021-03-24T00:00:00"/>
    <n v="353851.39"/>
    <x v="0"/>
    <x v="3"/>
    <x v="0"/>
    <n v="43"/>
    <x v="5"/>
    <x v="1"/>
    <x v="3"/>
    <s v="High"/>
    <x v="0"/>
  </r>
  <r>
    <x v="1199"/>
    <s v="POL53503"/>
    <d v="2023-10-07T00:00:00"/>
    <n v="385031.95"/>
    <x v="2"/>
    <x v="2"/>
    <x v="0"/>
    <n v="16"/>
    <x v="0"/>
    <x v="3"/>
    <x v="0"/>
    <s v="High"/>
    <x v="1"/>
  </r>
  <r>
    <x v="1200"/>
    <s v="POL52484"/>
    <d v="2023-08-24T00:00:00"/>
    <n v="243804.02"/>
    <x v="1"/>
    <x v="2"/>
    <x v="0"/>
    <n v="23"/>
    <x v="4"/>
    <x v="3"/>
    <x v="1"/>
    <s v="High"/>
    <x v="1"/>
  </r>
  <r>
    <x v="1201"/>
    <s v="POL53277"/>
    <d v="2024-06-27T00:00:00"/>
    <n v="115133.03"/>
    <x v="2"/>
    <x v="0"/>
    <x v="0"/>
    <n v="50"/>
    <x v="3"/>
    <x v="2"/>
    <x v="2"/>
    <s v="Medium"/>
    <x v="0"/>
  </r>
  <r>
    <x v="1202"/>
    <s v="POL51561"/>
    <d v="2024-09-18T00:00:00"/>
    <n v="235904.58"/>
    <x v="0"/>
    <x v="0"/>
    <x v="0"/>
    <n v="43"/>
    <x v="7"/>
    <x v="2"/>
    <x v="1"/>
    <s v="High"/>
    <x v="0"/>
  </r>
  <r>
    <x v="1203"/>
    <s v="POL51444"/>
    <d v="2022-07-26T00:00:00"/>
    <n v="46093.64"/>
    <x v="1"/>
    <x v="1"/>
    <x v="1"/>
    <n v="21"/>
    <x v="2"/>
    <x v="0"/>
    <x v="1"/>
    <s v="Low"/>
    <x v="1"/>
  </r>
  <r>
    <x v="1204"/>
    <s v="POL53955"/>
    <d v="2023-07-09T00:00:00"/>
    <n v="49557.08"/>
    <x v="1"/>
    <x v="1"/>
    <x v="1"/>
    <n v="16"/>
    <x v="2"/>
    <x v="3"/>
    <x v="1"/>
    <s v="Low"/>
    <x v="1"/>
  </r>
  <r>
    <x v="1205"/>
    <s v="POL53033"/>
    <d v="2022-07-16T00:00:00"/>
    <n v="256108.24"/>
    <x v="0"/>
    <x v="4"/>
    <x v="1"/>
    <n v="46"/>
    <x v="2"/>
    <x v="0"/>
    <x v="1"/>
    <s v="High"/>
    <x v="0"/>
  </r>
  <r>
    <x v="1206"/>
    <s v="POL52150"/>
    <d v="2022-07-22T00:00:00"/>
    <n v="254711.93"/>
    <x v="1"/>
    <x v="3"/>
    <x v="0"/>
    <n v="15"/>
    <x v="2"/>
    <x v="0"/>
    <x v="1"/>
    <s v="High"/>
    <x v="1"/>
  </r>
  <r>
    <x v="1207"/>
    <s v="POL53391"/>
    <d v="2022-08-09T00:00:00"/>
    <n v="153674.6"/>
    <x v="0"/>
    <x v="4"/>
    <x v="0"/>
    <n v="50"/>
    <x v="4"/>
    <x v="0"/>
    <x v="1"/>
    <s v="Medium"/>
    <x v="0"/>
  </r>
  <r>
    <x v="1208"/>
    <s v="POL51570"/>
    <d v="2023-09-12T00:00:00"/>
    <n v="35974.949999999997"/>
    <x v="2"/>
    <x v="1"/>
    <x v="1"/>
    <n v="14"/>
    <x v="7"/>
    <x v="3"/>
    <x v="1"/>
    <s v="Low"/>
    <x v="1"/>
  </r>
  <r>
    <x v="1209"/>
    <s v="POL50523"/>
    <d v="2023-09-04T00:00:00"/>
    <n v="155552.24"/>
    <x v="1"/>
    <x v="3"/>
    <x v="1"/>
    <n v="38"/>
    <x v="7"/>
    <x v="3"/>
    <x v="1"/>
    <s v="Medium"/>
    <x v="0"/>
  </r>
  <r>
    <x v="1210"/>
    <s v="POL53324"/>
    <d v="2023-03-14T00:00:00"/>
    <n v="137691.39000000001"/>
    <x v="2"/>
    <x v="1"/>
    <x v="1"/>
    <n v="55"/>
    <x v="5"/>
    <x v="3"/>
    <x v="3"/>
    <s v="Medium"/>
    <x v="0"/>
  </r>
  <r>
    <x v="1211"/>
    <s v="POL53709"/>
    <d v="2021-02-22T00:00:00"/>
    <n v="262069.9"/>
    <x v="1"/>
    <x v="4"/>
    <x v="0"/>
    <n v="44"/>
    <x v="10"/>
    <x v="1"/>
    <x v="3"/>
    <s v="High"/>
    <x v="0"/>
  </r>
  <r>
    <x v="1212"/>
    <s v="POL51591"/>
    <d v="2022-03-21T00:00:00"/>
    <n v="403048.99"/>
    <x v="0"/>
    <x v="3"/>
    <x v="1"/>
    <n v="10"/>
    <x v="5"/>
    <x v="0"/>
    <x v="3"/>
    <s v="High"/>
    <x v="1"/>
  </r>
  <r>
    <x v="1213"/>
    <s v="POL51662"/>
    <d v="2024-06-25T00:00:00"/>
    <n v="253382.41"/>
    <x v="1"/>
    <x v="1"/>
    <x v="0"/>
    <n v="25"/>
    <x v="3"/>
    <x v="2"/>
    <x v="2"/>
    <s v="High"/>
    <x v="1"/>
  </r>
  <r>
    <x v="1214"/>
    <s v="POL53978"/>
    <d v="2025-03-16T00:00:00"/>
    <n v="429472"/>
    <x v="1"/>
    <x v="2"/>
    <x v="0"/>
    <n v="15"/>
    <x v="5"/>
    <x v="4"/>
    <x v="3"/>
    <s v="High"/>
    <x v="1"/>
  </r>
  <r>
    <x v="1215"/>
    <s v="POL51910"/>
    <d v="2023-06-29T00:00:00"/>
    <n v="94691.42"/>
    <x v="1"/>
    <x v="0"/>
    <x v="1"/>
    <n v="7"/>
    <x v="3"/>
    <x v="3"/>
    <x v="2"/>
    <s v="Low"/>
    <x v="1"/>
  </r>
  <r>
    <x v="1216"/>
    <s v="POL51239"/>
    <d v="2020-12-21T00:00:00"/>
    <n v="275904.92"/>
    <x v="1"/>
    <x v="4"/>
    <x v="1"/>
    <n v="24"/>
    <x v="1"/>
    <x v="5"/>
    <x v="0"/>
    <s v="High"/>
    <x v="1"/>
  </r>
  <r>
    <x v="1217"/>
    <s v="POL51927"/>
    <d v="2024-03-05T00:00:00"/>
    <n v="209896.9"/>
    <x v="1"/>
    <x v="3"/>
    <x v="0"/>
    <n v="31"/>
    <x v="5"/>
    <x v="2"/>
    <x v="3"/>
    <s v="High"/>
    <x v="0"/>
  </r>
  <r>
    <x v="1218"/>
    <s v="POL51906"/>
    <d v="2024-07-20T00:00:00"/>
    <n v="301290.64"/>
    <x v="0"/>
    <x v="2"/>
    <x v="0"/>
    <n v="40"/>
    <x v="2"/>
    <x v="2"/>
    <x v="1"/>
    <s v="High"/>
    <x v="0"/>
  </r>
  <r>
    <x v="1219"/>
    <s v="POL52033"/>
    <d v="2023-04-04T00:00:00"/>
    <n v="74828.429999999993"/>
    <x v="1"/>
    <x v="3"/>
    <x v="1"/>
    <n v="55"/>
    <x v="9"/>
    <x v="3"/>
    <x v="2"/>
    <s v="Low"/>
    <x v="0"/>
  </r>
  <r>
    <x v="1220"/>
    <s v="POL53542"/>
    <d v="2022-01-31T00:00:00"/>
    <n v="217849.99"/>
    <x v="1"/>
    <x v="0"/>
    <x v="0"/>
    <n v="33"/>
    <x v="8"/>
    <x v="0"/>
    <x v="3"/>
    <s v="High"/>
    <x v="0"/>
  </r>
  <r>
    <x v="1221"/>
    <s v="POL51056"/>
    <d v="2024-10-01T00:00:00"/>
    <n v="234019.38"/>
    <x v="0"/>
    <x v="2"/>
    <x v="0"/>
    <n v="42"/>
    <x v="0"/>
    <x v="2"/>
    <x v="0"/>
    <s v="High"/>
    <x v="0"/>
  </r>
  <r>
    <x v="1222"/>
    <s v="POL50897"/>
    <d v="2023-08-06T00:00:00"/>
    <n v="35811.94"/>
    <x v="2"/>
    <x v="2"/>
    <x v="0"/>
    <n v="2"/>
    <x v="4"/>
    <x v="3"/>
    <x v="1"/>
    <s v="Low"/>
    <x v="1"/>
  </r>
  <r>
    <x v="1223"/>
    <s v="POL52854"/>
    <d v="2022-09-08T00:00:00"/>
    <n v="463428.48"/>
    <x v="0"/>
    <x v="1"/>
    <x v="0"/>
    <n v="14"/>
    <x v="7"/>
    <x v="0"/>
    <x v="1"/>
    <s v="High"/>
    <x v="1"/>
  </r>
  <r>
    <x v="1224"/>
    <s v="POL50845"/>
    <d v="2022-09-04T00:00:00"/>
    <n v="298414.78999999998"/>
    <x v="0"/>
    <x v="4"/>
    <x v="1"/>
    <n v="58"/>
    <x v="7"/>
    <x v="0"/>
    <x v="1"/>
    <s v="High"/>
    <x v="0"/>
  </r>
  <r>
    <x v="1225"/>
    <s v="POL51737"/>
    <d v="2023-08-19T00:00:00"/>
    <n v="142522.76"/>
    <x v="1"/>
    <x v="4"/>
    <x v="0"/>
    <n v="43"/>
    <x v="4"/>
    <x v="3"/>
    <x v="1"/>
    <s v="Medium"/>
    <x v="0"/>
  </r>
  <r>
    <x v="1226"/>
    <s v="POL51049"/>
    <d v="2024-05-01T00:00:00"/>
    <n v="366431.28"/>
    <x v="2"/>
    <x v="3"/>
    <x v="1"/>
    <n v="54"/>
    <x v="6"/>
    <x v="2"/>
    <x v="2"/>
    <s v="High"/>
    <x v="0"/>
  </r>
  <r>
    <x v="1227"/>
    <s v="POL51666"/>
    <d v="2024-06-18T00:00:00"/>
    <n v="89491.21"/>
    <x v="1"/>
    <x v="3"/>
    <x v="0"/>
    <n v="44"/>
    <x v="3"/>
    <x v="2"/>
    <x v="2"/>
    <s v="Low"/>
    <x v="0"/>
  </r>
  <r>
    <x v="1228"/>
    <s v="POL53048"/>
    <d v="2022-03-01T00:00:00"/>
    <n v="427000.54"/>
    <x v="2"/>
    <x v="3"/>
    <x v="1"/>
    <n v="9"/>
    <x v="5"/>
    <x v="0"/>
    <x v="3"/>
    <s v="High"/>
    <x v="1"/>
  </r>
  <r>
    <x v="1229"/>
    <s v="POL53321"/>
    <d v="2023-04-19T00:00:00"/>
    <n v="293357.32"/>
    <x v="1"/>
    <x v="0"/>
    <x v="0"/>
    <n v="59"/>
    <x v="9"/>
    <x v="3"/>
    <x v="2"/>
    <s v="High"/>
    <x v="0"/>
  </r>
  <r>
    <x v="1230"/>
    <s v="POL53104"/>
    <d v="2024-05-20T00:00:00"/>
    <n v="341418.85"/>
    <x v="2"/>
    <x v="1"/>
    <x v="1"/>
    <n v="24"/>
    <x v="6"/>
    <x v="2"/>
    <x v="2"/>
    <s v="High"/>
    <x v="1"/>
  </r>
  <r>
    <x v="1231"/>
    <s v="POL52869"/>
    <d v="2024-07-06T00:00:00"/>
    <n v="131561.73000000001"/>
    <x v="2"/>
    <x v="2"/>
    <x v="1"/>
    <n v="7"/>
    <x v="2"/>
    <x v="2"/>
    <x v="1"/>
    <s v="Medium"/>
    <x v="1"/>
  </r>
  <r>
    <x v="1232"/>
    <s v="POL51069"/>
    <d v="2023-07-11T00:00:00"/>
    <n v="11374.37"/>
    <x v="0"/>
    <x v="3"/>
    <x v="1"/>
    <n v="41"/>
    <x v="2"/>
    <x v="3"/>
    <x v="1"/>
    <s v="Low"/>
    <x v="0"/>
  </r>
  <r>
    <x v="1233"/>
    <s v="POL52372"/>
    <d v="2023-02-08T00:00:00"/>
    <n v="490030.61"/>
    <x v="1"/>
    <x v="1"/>
    <x v="0"/>
    <n v="15"/>
    <x v="10"/>
    <x v="3"/>
    <x v="3"/>
    <s v="High"/>
    <x v="1"/>
  </r>
  <r>
    <x v="1234"/>
    <s v="POL50961"/>
    <d v="2023-11-18T00:00:00"/>
    <n v="472743.73"/>
    <x v="0"/>
    <x v="0"/>
    <x v="1"/>
    <n v="25"/>
    <x v="11"/>
    <x v="3"/>
    <x v="0"/>
    <s v="High"/>
    <x v="1"/>
  </r>
  <r>
    <x v="1235"/>
    <s v="POL53292"/>
    <d v="2022-01-18T00:00:00"/>
    <n v="344345.47"/>
    <x v="0"/>
    <x v="4"/>
    <x v="1"/>
    <n v="44"/>
    <x v="8"/>
    <x v="0"/>
    <x v="3"/>
    <s v="High"/>
    <x v="0"/>
  </r>
  <r>
    <x v="1236"/>
    <s v="POL51921"/>
    <d v="2024-03-06T00:00:00"/>
    <n v="277463.26"/>
    <x v="0"/>
    <x v="4"/>
    <x v="0"/>
    <n v="14"/>
    <x v="5"/>
    <x v="2"/>
    <x v="3"/>
    <s v="High"/>
    <x v="1"/>
  </r>
  <r>
    <x v="1237"/>
    <s v="POL50423"/>
    <d v="2023-12-26T00:00:00"/>
    <n v="266795.21999999997"/>
    <x v="0"/>
    <x v="4"/>
    <x v="0"/>
    <n v="44"/>
    <x v="1"/>
    <x v="3"/>
    <x v="0"/>
    <s v="High"/>
    <x v="0"/>
  </r>
  <r>
    <x v="1238"/>
    <s v="POL53798"/>
    <d v="2024-07-21T00:00:00"/>
    <n v="141236.97"/>
    <x v="2"/>
    <x v="4"/>
    <x v="1"/>
    <n v="37"/>
    <x v="2"/>
    <x v="2"/>
    <x v="1"/>
    <s v="Medium"/>
    <x v="0"/>
  </r>
  <r>
    <x v="1239"/>
    <s v="POL52275"/>
    <d v="2024-07-11T00:00:00"/>
    <n v="78020.649999999994"/>
    <x v="1"/>
    <x v="1"/>
    <x v="1"/>
    <n v="35"/>
    <x v="2"/>
    <x v="2"/>
    <x v="1"/>
    <s v="Low"/>
    <x v="0"/>
  </r>
  <r>
    <x v="1240"/>
    <s v="POL52595"/>
    <d v="2023-08-22T00:00:00"/>
    <n v="101693.45"/>
    <x v="0"/>
    <x v="0"/>
    <x v="1"/>
    <n v="53"/>
    <x v="4"/>
    <x v="3"/>
    <x v="1"/>
    <s v="Medium"/>
    <x v="0"/>
  </r>
  <r>
    <x v="1241"/>
    <s v="POL53979"/>
    <d v="2022-06-06T00:00:00"/>
    <n v="488889.85"/>
    <x v="0"/>
    <x v="1"/>
    <x v="0"/>
    <n v="26"/>
    <x v="3"/>
    <x v="0"/>
    <x v="2"/>
    <s v="High"/>
    <x v="1"/>
  </r>
  <r>
    <x v="1242"/>
    <s v="POL52592"/>
    <d v="2021-11-12T00:00:00"/>
    <n v="176626.44"/>
    <x v="2"/>
    <x v="2"/>
    <x v="1"/>
    <n v="58"/>
    <x v="11"/>
    <x v="1"/>
    <x v="0"/>
    <s v="Medium"/>
    <x v="0"/>
  </r>
  <r>
    <x v="1243"/>
    <s v="POL50370"/>
    <d v="2022-08-01T00:00:00"/>
    <n v="313617.17"/>
    <x v="2"/>
    <x v="2"/>
    <x v="0"/>
    <n v="26"/>
    <x v="4"/>
    <x v="0"/>
    <x v="1"/>
    <s v="High"/>
    <x v="1"/>
  </r>
  <r>
    <x v="1244"/>
    <s v="POL53371"/>
    <d v="2023-11-07T00:00:00"/>
    <n v="285711.37"/>
    <x v="2"/>
    <x v="0"/>
    <x v="0"/>
    <n v="29"/>
    <x v="11"/>
    <x v="3"/>
    <x v="0"/>
    <s v="High"/>
    <x v="1"/>
  </r>
  <r>
    <x v="1245"/>
    <s v="POL52508"/>
    <d v="2024-04-01T00:00:00"/>
    <n v="12382.59"/>
    <x v="1"/>
    <x v="0"/>
    <x v="1"/>
    <n v="4"/>
    <x v="9"/>
    <x v="2"/>
    <x v="2"/>
    <s v="Low"/>
    <x v="1"/>
  </r>
  <r>
    <x v="1246"/>
    <s v="POL51388"/>
    <d v="2025-02-15T00:00:00"/>
    <n v="207657.94"/>
    <x v="1"/>
    <x v="3"/>
    <x v="0"/>
    <n v="19"/>
    <x v="10"/>
    <x v="4"/>
    <x v="3"/>
    <s v="High"/>
    <x v="1"/>
  </r>
  <r>
    <x v="1247"/>
    <s v="POL50133"/>
    <d v="2023-07-07T00:00:00"/>
    <n v="139978.70000000001"/>
    <x v="1"/>
    <x v="4"/>
    <x v="0"/>
    <n v="32"/>
    <x v="2"/>
    <x v="3"/>
    <x v="1"/>
    <s v="Medium"/>
    <x v="0"/>
  </r>
  <r>
    <x v="1248"/>
    <s v="POL52266"/>
    <d v="2023-10-31T00:00:00"/>
    <n v="377533.92"/>
    <x v="2"/>
    <x v="4"/>
    <x v="0"/>
    <n v="35"/>
    <x v="0"/>
    <x v="3"/>
    <x v="0"/>
    <s v="High"/>
    <x v="0"/>
  </r>
  <r>
    <x v="1249"/>
    <s v="POL53181"/>
    <d v="2022-09-05T00:00:00"/>
    <n v="280802.52"/>
    <x v="2"/>
    <x v="1"/>
    <x v="0"/>
    <n v="11"/>
    <x v="7"/>
    <x v="0"/>
    <x v="1"/>
    <s v="High"/>
    <x v="1"/>
  </r>
  <r>
    <x v="1250"/>
    <s v="POL53584"/>
    <d v="2024-07-11T00:00:00"/>
    <n v="213618.84"/>
    <x v="1"/>
    <x v="1"/>
    <x v="1"/>
    <n v="54"/>
    <x v="2"/>
    <x v="2"/>
    <x v="1"/>
    <s v="High"/>
    <x v="0"/>
  </r>
  <r>
    <x v="1251"/>
    <s v="POL53357"/>
    <d v="2023-09-07T00:00:00"/>
    <n v="362827.64"/>
    <x v="1"/>
    <x v="0"/>
    <x v="0"/>
    <n v="8"/>
    <x v="7"/>
    <x v="3"/>
    <x v="1"/>
    <s v="High"/>
    <x v="1"/>
  </r>
  <r>
    <x v="1252"/>
    <s v="POL52672"/>
    <d v="2022-10-04T00:00:00"/>
    <n v="25919.17"/>
    <x v="2"/>
    <x v="4"/>
    <x v="1"/>
    <n v="41"/>
    <x v="0"/>
    <x v="0"/>
    <x v="0"/>
    <s v="Low"/>
    <x v="0"/>
  </r>
  <r>
    <x v="1253"/>
    <s v="POL53302"/>
    <d v="2025-05-18T00:00:00"/>
    <n v="155508.51"/>
    <x v="0"/>
    <x v="2"/>
    <x v="1"/>
    <n v="56"/>
    <x v="6"/>
    <x v="4"/>
    <x v="2"/>
    <s v="Medium"/>
    <x v="0"/>
  </r>
  <r>
    <x v="1254"/>
    <s v="POL50697"/>
    <d v="2023-12-20T00:00:00"/>
    <n v="26521.78"/>
    <x v="0"/>
    <x v="2"/>
    <x v="0"/>
    <n v="53"/>
    <x v="1"/>
    <x v="3"/>
    <x v="0"/>
    <s v="Low"/>
    <x v="0"/>
  </r>
  <r>
    <x v="1255"/>
    <s v="POL52853"/>
    <d v="2024-04-27T00:00:00"/>
    <n v="73843.17"/>
    <x v="2"/>
    <x v="0"/>
    <x v="0"/>
    <n v="4"/>
    <x v="9"/>
    <x v="2"/>
    <x v="2"/>
    <s v="Low"/>
    <x v="1"/>
  </r>
  <r>
    <x v="1256"/>
    <s v="POL51584"/>
    <d v="2023-08-09T00:00:00"/>
    <n v="376216.73"/>
    <x v="2"/>
    <x v="1"/>
    <x v="0"/>
    <n v="3"/>
    <x v="4"/>
    <x v="3"/>
    <x v="1"/>
    <s v="High"/>
    <x v="1"/>
  </r>
  <r>
    <x v="1257"/>
    <s v="POL50475"/>
    <d v="2021-08-31T00:00:00"/>
    <n v="121727.6"/>
    <x v="0"/>
    <x v="2"/>
    <x v="0"/>
    <n v="12"/>
    <x v="4"/>
    <x v="1"/>
    <x v="1"/>
    <s v="Medium"/>
    <x v="1"/>
  </r>
  <r>
    <x v="1258"/>
    <s v="POL52713"/>
    <d v="2024-09-30T00:00:00"/>
    <n v="210894.89"/>
    <x v="1"/>
    <x v="3"/>
    <x v="1"/>
    <n v="10"/>
    <x v="7"/>
    <x v="2"/>
    <x v="1"/>
    <s v="High"/>
    <x v="1"/>
  </r>
  <r>
    <x v="1259"/>
    <s v="POL50168"/>
    <d v="2022-05-01T00:00:00"/>
    <n v="43425.1"/>
    <x v="1"/>
    <x v="3"/>
    <x v="0"/>
    <n v="2"/>
    <x v="6"/>
    <x v="0"/>
    <x v="2"/>
    <s v="Low"/>
    <x v="1"/>
  </r>
  <r>
    <x v="1260"/>
    <s v="POL53392"/>
    <d v="2022-07-14T00:00:00"/>
    <n v="145073.45000000001"/>
    <x v="1"/>
    <x v="0"/>
    <x v="1"/>
    <n v="24"/>
    <x v="2"/>
    <x v="0"/>
    <x v="1"/>
    <s v="Medium"/>
    <x v="1"/>
  </r>
  <r>
    <x v="1261"/>
    <s v="POL52838"/>
    <d v="2023-10-01T00:00:00"/>
    <n v="202686.07999999999"/>
    <x v="0"/>
    <x v="0"/>
    <x v="0"/>
    <n v="11"/>
    <x v="0"/>
    <x v="3"/>
    <x v="0"/>
    <s v="High"/>
    <x v="1"/>
  </r>
  <r>
    <x v="1262"/>
    <s v="POL52812"/>
    <d v="2024-05-24T00:00:00"/>
    <n v="447677.43"/>
    <x v="0"/>
    <x v="4"/>
    <x v="0"/>
    <n v="33"/>
    <x v="6"/>
    <x v="2"/>
    <x v="2"/>
    <s v="High"/>
    <x v="0"/>
  </r>
  <r>
    <x v="1263"/>
    <s v="POL51238"/>
    <d v="2023-02-10T00:00:00"/>
    <n v="288030.77"/>
    <x v="2"/>
    <x v="1"/>
    <x v="1"/>
    <n v="58"/>
    <x v="10"/>
    <x v="3"/>
    <x v="3"/>
    <s v="High"/>
    <x v="0"/>
  </r>
  <r>
    <x v="1264"/>
    <s v="POL50569"/>
    <d v="2024-08-19T00:00:00"/>
    <n v="304623.89"/>
    <x v="1"/>
    <x v="2"/>
    <x v="1"/>
    <n v="44"/>
    <x v="4"/>
    <x v="2"/>
    <x v="1"/>
    <s v="High"/>
    <x v="0"/>
  </r>
  <r>
    <x v="1265"/>
    <s v="POL53637"/>
    <d v="2024-12-07T00:00:00"/>
    <n v="345339.1"/>
    <x v="1"/>
    <x v="3"/>
    <x v="0"/>
    <n v="53"/>
    <x v="1"/>
    <x v="2"/>
    <x v="0"/>
    <s v="High"/>
    <x v="0"/>
  </r>
  <r>
    <x v="1266"/>
    <s v="POL53357"/>
    <d v="2024-05-14T00:00:00"/>
    <n v="15739.41"/>
    <x v="0"/>
    <x v="4"/>
    <x v="1"/>
    <n v="34"/>
    <x v="6"/>
    <x v="2"/>
    <x v="2"/>
    <s v="Low"/>
    <x v="0"/>
  </r>
  <r>
    <x v="1267"/>
    <s v="POL51322"/>
    <d v="2024-06-27T00:00:00"/>
    <n v="271950.96000000002"/>
    <x v="1"/>
    <x v="3"/>
    <x v="1"/>
    <n v="45"/>
    <x v="3"/>
    <x v="2"/>
    <x v="2"/>
    <s v="High"/>
    <x v="0"/>
  </r>
  <r>
    <x v="1268"/>
    <s v="POL52641"/>
    <d v="2024-01-06T00:00:00"/>
    <n v="223552"/>
    <x v="2"/>
    <x v="0"/>
    <x v="0"/>
    <n v="19"/>
    <x v="8"/>
    <x v="2"/>
    <x v="3"/>
    <s v="High"/>
    <x v="1"/>
  </r>
  <r>
    <x v="1269"/>
    <s v="POL50438"/>
    <d v="2021-01-30T00:00:00"/>
    <n v="11061.28"/>
    <x v="1"/>
    <x v="2"/>
    <x v="1"/>
    <n v="8"/>
    <x v="8"/>
    <x v="1"/>
    <x v="3"/>
    <s v="Low"/>
    <x v="1"/>
  </r>
  <r>
    <x v="1270"/>
    <s v="POL51145"/>
    <d v="2021-08-08T00:00:00"/>
    <n v="465762.5"/>
    <x v="0"/>
    <x v="3"/>
    <x v="1"/>
    <n v="17"/>
    <x v="4"/>
    <x v="1"/>
    <x v="1"/>
    <s v="High"/>
    <x v="1"/>
  </r>
  <r>
    <x v="1271"/>
    <s v="POL51317"/>
    <d v="2025-02-11T00:00:00"/>
    <n v="203527.11"/>
    <x v="2"/>
    <x v="4"/>
    <x v="0"/>
    <n v="25"/>
    <x v="10"/>
    <x v="4"/>
    <x v="3"/>
    <s v="High"/>
    <x v="1"/>
  </r>
  <r>
    <x v="1272"/>
    <s v="POL52384"/>
    <d v="2023-09-21T00:00:00"/>
    <n v="51820.54"/>
    <x v="1"/>
    <x v="0"/>
    <x v="0"/>
    <n v="25"/>
    <x v="7"/>
    <x v="3"/>
    <x v="1"/>
    <s v="Low"/>
    <x v="1"/>
  </r>
  <r>
    <x v="1273"/>
    <s v="POL52241"/>
    <d v="2024-10-06T00:00:00"/>
    <n v="360701.49"/>
    <x v="1"/>
    <x v="1"/>
    <x v="1"/>
    <n v="33"/>
    <x v="0"/>
    <x v="2"/>
    <x v="0"/>
    <s v="High"/>
    <x v="0"/>
  </r>
  <r>
    <x v="1274"/>
    <s v="POL53382"/>
    <d v="2023-01-16T00:00:00"/>
    <n v="370638.42"/>
    <x v="0"/>
    <x v="4"/>
    <x v="0"/>
    <n v="25"/>
    <x v="8"/>
    <x v="3"/>
    <x v="3"/>
    <s v="High"/>
    <x v="1"/>
  </r>
  <r>
    <x v="1275"/>
    <s v="POL50167"/>
    <d v="2023-10-28T00:00:00"/>
    <n v="277516.55"/>
    <x v="1"/>
    <x v="3"/>
    <x v="0"/>
    <n v="28"/>
    <x v="0"/>
    <x v="3"/>
    <x v="0"/>
    <s v="High"/>
    <x v="1"/>
  </r>
  <r>
    <x v="1276"/>
    <s v="POL50264"/>
    <d v="2023-11-18T00:00:00"/>
    <n v="276214.74"/>
    <x v="1"/>
    <x v="0"/>
    <x v="1"/>
    <n v="14"/>
    <x v="11"/>
    <x v="3"/>
    <x v="0"/>
    <s v="High"/>
    <x v="1"/>
  </r>
  <r>
    <x v="1277"/>
    <s v="POL50223"/>
    <d v="2020-10-04T00:00:00"/>
    <n v="246588.89"/>
    <x v="1"/>
    <x v="0"/>
    <x v="0"/>
    <n v="5"/>
    <x v="0"/>
    <x v="5"/>
    <x v="0"/>
    <s v="High"/>
    <x v="1"/>
  </r>
  <r>
    <x v="1278"/>
    <s v="POL53617"/>
    <d v="2024-01-21T00:00:00"/>
    <n v="37487.040000000001"/>
    <x v="2"/>
    <x v="2"/>
    <x v="0"/>
    <n v="15"/>
    <x v="8"/>
    <x v="2"/>
    <x v="3"/>
    <s v="Low"/>
    <x v="1"/>
  </r>
  <r>
    <x v="1279"/>
    <s v="POL51814"/>
    <d v="2025-02-12T00:00:00"/>
    <n v="431060.63"/>
    <x v="0"/>
    <x v="1"/>
    <x v="0"/>
    <n v="55"/>
    <x v="10"/>
    <x v="4"/>
    <x v="3"/>
    <s v="High"/>
    <x v="0"/>
  </r>
  <r>
    <x v="1280"/>
    <s v="POL51241"/>
    <d v="2022-12-10T00:00:00"/>
    <n v="182510.17"/>
    <x v="0"/>
    <x v="0"/>
    <x v="1"/>
    <n v="48"/>
    <x v="1"/>
    <x v="0"/>
    <x v="0"/>
    <s v="Medium"/>
    <x v="0"/>
  </r>
  <r>
    <x v="1281"/>
    <s v="POL50989"/>
    <d v="2023-03-12T00:00:00"/>
    <n v="183793.43"/>
    <x v="1"/>
    <x v="3"/>
    <x v="0"/>
    <n v="41"/>
    <x v="5"/>
    <x v="3"/>
    <x v="3"/>
    <s v="Medium"/>
    <x v="0"/>
  </r>
  <r>
    <x v="1282"/>
    <s v="POL51857"/>
    <d v="2024-02-16T00:00:00"/>
    <n v="63479.199999999997"/>
    <x v="2"/>
    <x v="3"/>
    <x v="0"/>
    <n v="37"/>
    <x v="10"/>
    <x v="2"/>
    <x v="3"/>
    <s v="Low"/>
    <x v="0"/>
  </r>
  <r>
    <x v="1283"/>
    <s v="POL52358"/>
    <d v="2024-02-08T00:00:00"/>
    <n v="70575.56"/>
    <x v="2"/>
    <x v="2"/>
    <x v="1"/>
    <n v="27"/>
    <x v="10"/>
    <x v="2"/>
    <x v="3"/>
    <s v="Low"/>
    <x v="1"/>
  </r>
  <r>
    <x v="1284"/>
    <s v="POL50439"/>
    <d v="2023-08-29T00:00:00"/>
    <n v="406234.13"/>
    <x v="0"/>
    <x v="4"/>
    <x v="1"/>
    <n v="10"/>
    <x v="4"/>
    <x v="3"/>
    <x v="1"/>
    <s v="High"/>
    <x v="1"/>
  </r>
  <r>
    <x v="1285"/>
    <s v="POL52744"/>
    <d v="2024-10-09T00:00:00"/>
    <n v="429975.42"/>
    <x v="1"/>
    <x v="0"/>
    <x v="1"/>
    <n v="39"/>
    <x v="0"/>
    <x v="2"/>
    <x v="0"/>
    <s v="High"/>
    <x v="0"/>
  </r>
  <r>
    <x v="1286"/>
    <s v="POL50474"/>
    <d v="2024-01-12T00:00:00"/>
    <n v="335247.14"/>
    <x v="0"/>
    <x v="2"/>
    <x v="1"/>
    <n v="45"/>
    <x v="8"/>
    <x v="2"/>
    <x v="3"/>
    <s v="High"/>
    <x v="0"/>
  </r>
  <r>
    <x v="1287"/>
    <s v="POL52993"/>
    <d v="2024-06-09T00:00:00"/>
    <n v="132733.79999999999"/>
    <x v="2"/>
    <x v="1"/>
    <x v="0"/>
    <n v="14"/>
    <x v="3"/>
    <x v="2"/>
    <x v="2"/>
    <s v="Medium"/>
    <x v="1"/>
  </r>
  <r>
    <x v="1288"/>
    <s v="POL50599"/>
    <d v="2022-08-19T00:00:00"/>
    <n v="266018.2"/>
    <x v="0"/>
    <x v="0"/>
    <x v="0"/>
    <n v="38"/>
    <x v="4"/>
    <x v="0"/>
    <x v="1"/>
    <s v="High"/>
    <x v="0"/>
  </r>
  <r>
    <x v="1289"/>
    <s v="POL50248"/>
    <d v="2024-04-16T00:00:00"/>
    <n v="326869.51"/>
    <x v="0"/>
    <x v="1"/>
    <x v="0"/>
    <n v="42"/>
    <x v="9"/>
    <x v="2"/>
    <x v="2"/>
    <s v="High"/>
    <x v="0"/>
  </r>
  <r>
    <x v="1290"/>
    <s v="POL53639"/>
    <d v="2024-03-24T00:00:00"/>
    <n v="411871.09"/>
    <x v="1"/>
    <x v="0"/>
    <x v="1"/>
    <n v="12"/>
    <x v="5"/>
    <x v="2"/>
    <x v="3"/>
    <s v="High"/>
    <x v="1"/>
  </r>
  <r>
    <x v="1291"/>
    <s v="POL52579"/>
    <d v="2024-10-07T00:00:00"/>
    <n v="265365.06"/>
    <x v="1"/>
    <x v="2"/>
    <x v="0"/>
    <n v="29"/>
    <x v="0"/>
    <x v="2"/>
    <x v="0"/>
    <s v="High"/>
    <x v="1"/>
  </r>
  <r>
    <x v="1292"/>
    <s v="POL51578"/>
    <d v="2021-10-28T00:00:00"/>
    <n v="334294.48"/>
    <x v="1"/>
    <x v="1"/>
    <x v="0"/>
    <n v="16"/>
    <x v="0"/>
    <x v="1"/>
    <x v="0"/>
    <s v="High"/>
    <x v="1"/>
  </r>
  <r>
    <x v="1293"/>
    <s v="POL50562"/>
    <d v="2023-06-20T00:00:00"/>
    <n v="360055.87"/>
    <x v="0"/>
    <x v="3"/>
    <x v="0"/>
    <n v="19"/>
    <x v="3"/>
    <x v="3"/>
    <x v="2"/>
    <s v="High"/>
    <x v="1"/>
  </r>
  <r>
    <x v="1294"/>
    <s v="POL52409"/>
    <d v="2024-09-24T00:00:00"/>
    <n v="271751.28000000003"/>
    <x v="0"/>
    <x v="3"/>
    <x v="0"/>
    <n v="44"/>
    <x v="7"/>
    <x v="2"/>
    <x v="1"/>
    <s v="High"/>
    <x v="0"/>
  </r>
  <r>
    <x v="1295"/>
    <s v="POL51052"/>
    <d v="2024-04-10T00:00:00"/>
    <n v="188398.4"/>
    <x v="2"/>
    <x v="3"/>
    <x v="1"/>
    <n v="55"/>
    <x v="9"/>
    <x v="2"/>
    <x v="2"/>
    <s v="Medium"/>
    <x v="0"/>
  </r>
  <r>
    <x v="1296"/>
    <s v="POL53904"/>
    <d v="2024-07-30T00:00:00"/>
    <n v="379783.89"/>
    <x v="1"/>
    <x v="3"/>
    <x v="1"/>
    <n v="45"/>
    <x v="2"/>
    <x v="2"/>
    <x v="1"/>
    <s v="High"/>
    <x v="0"/>
  </r>
  <r>
    <x v="1297"/>
    <s v="POL51089"/>
    <d v="2024-11-10T00:00:00"/>
    <n v="275746.57"/>
    <x v="1"/>
    <x v="0"/>
    <x v="0"/>
    <n v="37"/>
    <x v="11"/>
    <x v="2"/>
    <x v="0"/>
    <s v="High"/>
    <x v="0"/>
  </r>
  <r>
    <x v="1298"/>
    <s v="POL53374"/>
    <d v="2024-07-24T00:00:00"/>
    <n v="69898.490000000005"/>
    <x v="0"/>
    <x v="2"/>
    <x v="1"/>
    <n v="15"/>
    <x v="2"/>
    <x v="2"/>
    <x v="1"/>
    <s v="Low"/>
    <x v="1"/>
  </r>
  <r>
    <x v="1299"/>
    <s v="POL53654"/>
    <d v="2023-09-05T00:00:00"/>
    <n v="369574.84"/>
    <x v="0"/>
    <x v="2"/>
    <x v="0"/>
    <n v="35"/>
    <x v="7"/>
    <x v="3"/>
    <x v="1"/>
    <s v="High"/>
    <x v="0"/>
  </r>
  <r>
    <x v="1300"/>
    <s v="POL52280"/>
    <d v="2020-11-14T00:00:00"/>
    <n v="370161.36"/>
    <x v="1"/>
    <x v="4"/>
    <x v="1"/>
    <n v="18"/>
    <x v="11"/>
    <x v="5"/>
    <x v="0"/>
    <s v="High"/>
    <x v="1"/>
  </r>
  <r>
    <x v="1301"/>
    <s v="POL51003"/>
    <d v="2023-03-07T00:00:00"/>
    <n v="312453.48"/>
    <x v="0"/>
    <x v="1"/>
    <x v="1"/>
    <n v="16"/>
    <x v="5"/>
    <x v="3"/>
    <x v="3"/>
    <s v="High"/>
    <x v="1"/>
  </r>
  <r>
    <x v="1302"/>
    <s v="POL51128"/>
    <d v="2023-06-04T00:00:00"/>
    <n v="75579.39"/>
    <x v="2"/>
    <x v="3"/>
    <x v="1"/>
    <n v="24"/>
    <x v="3"/>
    <x v="3"/>
    <x v="2"/>
    <s v="Low"/>
    <x v="1"/>
  </r>
  <r>
    <x v="1303"/>
    <s v="POL50656"/>
    <d v="2024-10-21T00:00:00"/>
    <n v="45059.15"/>
    <x v="2"/>
    <x v="1"/>
    <x v="0"/>
    <n v="21"/>
    <x v="0"/>
    <x v="2"/>
    <x v="0"/>
    <s v="Low"/>
    <x v="1"/>
  </r>
  <r>
    <x v="1304"/>
    <s v="POL50485"/>
    <d v="2024-06-15T00:00:00"/>
    <n v="285062.12"/>
    <x v="1"/>
    <x v="2"/>
    <x v="0"/>
    <n v="45"/>
    <x v="3"/>
    <x v="2"/>
    <x v="2"/>
    <s v="High"/>
    <x v="0"/>
  </r>
  <r>
    <x v="1305"/>
    <s v="POL52510"/>
    <d v="2023-10-20T00:00:00"/>
    <n v="297996.01"/>
    <x v="2"/>
    <x v="1"/>
    <x v="1"/>
    <n v="26"/>
    <x v="0"/>
    <x v="3"/>
    <x v="0"/>
    <s v="High"/>
    <x v="1"/>
  </r>
  <r>
    <x v="1306"/>
    <s v="POL53119"/>
    <d v="2022-10-02T00:00:00"/>
    <n v="297228.55"/>
    <x v="2"/>
    <x v="2"/>
    <x v="0"/>
    <n v="22"/>
    <x v="0"/>
    <x v="0"/>
    <x v="0"/>
    <s v="High"/>
    <x v="1"/>
  </r>
  <r>
    <x v="1307"/>
    <s v="POL50787"/>
    <d v="2023-06-10T00:00:00"/>
    <n v="256735.85"/>
    <x v="0"/>
    <x v="0"/>
    <x v="0"/>
    <n v="18"/>
    <x v="3"/>
    <x v="3"/>
    <x v="2"/>
    <s v="High"/>
    <x v="1"/>
  </r>
  <r>
    <x v="1308"/>
    <s v="POL50424"/>
    <d v="2022-11-24T00:00:00"/>
    <n v="371499.23"/>
    <x v="0"/>
    <x v="4"/>
    <x v="0"/>
    <n v="19"/>
    <x v="11"/>
    <x v="0"/>
    <x v="0"/>
    <s v="High"/>
    <x v="1"/>
  </r>
  <r>
    <x v="1309"/>
    <s v="POL50191"/>
    <d v="2025-01-26T00:00:00"/>
    <n v="385356.15"/>
    <x v="0"/>
    <x v="3"/>
    <x v="1"/>
    <n v="30"/>
    <x v="8"/>
    <x v="4"/>
    <x v="3"/>
    <s v="High"/>
    <x v="1"/>
  </r>
  <r>
    <x v="1310"/>
    <s v="POL50583"/>
    <d v="2022-06-18T00:00:00"/>
    <n v="122280.01"/>
    <x v="2"/>
    <x v="3"/>
    <x v="0"/>
    <n v="27"/>
    <x v="3"/>
    <x v="0"/>
    <x v="2"/>
    <s v="Medium"/>
    <x v="1"/>
  </r>
  <r>
    <x v="1311"/>
    <s v="POL51528"/>
    <d v="2024-08-27T00:00:00"/>
    <n v="64899.71"/>
    <x v="1"/>
    <x v="2"/>
    <x v="0"/>
    <n v="26"/>
    <x v="4"/>
    <x v="2"/>
    <x v="1"/>
    <s v="Low"/>
    <x v="1"/>
  </r>
  <r>
    <x v="1312"/>
    <s v="POL53401"/>
    <d v="2024-02-03T00:00:00"/>
    <n v="125620.11"/>
    <x v="0"/>
    <x v="0"/>
    <x v="0"/>
    <n v="40"/>
    <x v="10"/>
    <x v="2"/>
    <x v="3"/>
    <s v="Medium"/>
    <x v="0"/>
  </r>
  <r>
    <x v="1313"/>
    <s v="POL52990"/>
    <d v="2023-03-20T00:00:00"/>
    <n v="72363.92"/>
    <x v="1"/>
    <x v="0"/>
    <x v="0"/>
    <n v="36"/>
    <x v="5"/>
    <x v="3"/>
    <x v="3"/>
    <s v="Low"/>
    <x v="0"/>
  </r>
  <r>
    <x v="1314"/>
    <s v="POL52326"/>
    <d v="2022-10-08T00:00:00"/>
    <n v="348092.69"/>
    <x v="1"/>
    <x v="0"/>
    <x v="0"/>
    <n v="58"/>
    <x v="0"/>
    <x v="0"/>
    <x v="0"/>
    <s v="High"/>
    <x v="0"/>
  </r>
  <r>
    <x v="1315"/>
    <s v="POL51714"/>
    <d v="2024-09-25T00:00:00"/>
    <n v="208923.41"/>
    <x v="1"/>
    <x v="3"/>
    <x v="0"/>
    <n v="3"/>
    <x v="7"/>
    <x v="2"/>
    <x v="1"/>
    <s v="High"/>
    <x v="1"/>
  </r>
  <r>
    <x v="1316"/>
    <s v="POL52633"/>
    <d v="2020-11-09T00:00:00"/>
    <n v="180237.95"/>
    <x v="2"/>
    <x v="1"/>
    <x v="1"/>
    <n v="48"/>
    <x v="11"/>
    <x v="5"/>
    <x v="0"/>
    <s v="Medium"/>
    <x v="0"/>
  </r>
  <r>
    <x v="1317"/>
    <s v="POL50862"/>
    <d v="2022-02-12T00:00:00"/>
    <n v="312209.06"/>
    <x v="1"/>
    <x v="0"/>
    <x v="1"/>
    <n v="52"/>
    <x v="10"/>
    <x v="0"/>
    <x v="3"/>
    <s v="High"/>
    <x v="0"/>
  </r>
  <r>
    <x v="1318"/>
    <s v="POL52945"/>
    <d v="2024-10-02T00:00:00"/>
    <n v="312150.90000000002"/>
    <x v="1"/>
    <x v="3"/>
    <x v="0"/>
    <n v="5"/>
    <x v="0"/>
    <x v="2"/>
    <x v="0"/>
    <s v="High"/>
    <x v="1"/>
  </r>
  <r>
    <x v="1319"/>
    <s v="POL50826"/>
    <d v="2022-03-03T00:00:00"/>
    <n v="256986.25"/>
    <x v="1"/>
    <x v="0"/>
    <x v="1"/>
    <n v="36"/>
    <x v="5"/>
    <x v="0"/>
    <x v="3"/>
    <s v="High"/>
    <x v="0"/>
  </r>
  <r>
    <x v="1320"/>
    <s v="POL50026"/>
    <d v="2022-09-14T00:00:00"/>
    <n v="226254.25"/>
    <x v="2"/>
    <x v="0"/>
    <x v="1"/>
    <n v="10"/>
    <x v="7"/>
    <x v="0"/>
    <x v="1"/>
    <s v="High"/>
    <x v="1"/>
  </r>
  <r>
    <x v="1321"/>
    <s v="POL53903"/>
    <d v="2024-03-25T00:00:00"/>
    <n v="67870.789999999994"/>
    <x v="0"/>
    <x v="0"/>
    <x v="1"/>
    <n v="57"/>
    <x v="5"/>
    <x v="2"/>
    <x v="3"/>
    <s v="Low"/>
    <x v="0"/>
  </r>
  <r>
    <x v="1322"/>
    <s v="POL51241"/>
    <d v="2022-12-13T00:00:00"/>
    <n v="214971.11"/>
    <x v="2"/>
    <x v="3"/>
    <x v="1"/>
    <n v="16"/>
    <x v="1"/>
    <x v="0"/>
    <x v="0"/>
    <s v="High"/>
    <x v="1"/>
  </r>
  <r>
    <x v="1323"/>
    <s v="POL51967"/>
    <d v="2022-02-01T00:00:00"/>
    <n v="315155.32"/>
    <x v="2"/>
    <x v="3"/>
    <x v="1"/>
    <n v="39"/>
    <x v="10"/>
    <x v="0"/>
    <x v="3"/>
    <s v="High"/>
    <x v="0"/>
  </r>
  <r>
    <x v="1324"/>
    <s v="POL50626"/>
    <d v="2022-11-07T00:00:00"/>
    <n v="161510.10999999999"/>
    <x v="1"/>
    <x v="1"/>
    <x v="0"/>
    <n v="4"/>
    <x v="11"/>
    <x v="0"/>
    <x v="0"/>
    <s v="Medium"/>
    <x v="1"/>
  </r>
  <r>
    <x v="1325"/>
    <s v="POL52345"/>
    <d v="2023-08-10T00:00:00"/>
    <n v="213480.49"/>
    <x v="1"/>
    <x v="1"/>
    <x v="0"/>
    <n v="34"/>
    <x v="4"/>
    <x v="3"/>
    <x v="1"/>
    <s v="High"/>
    <x v="0"/>
  </r>
  <r>
    <x v="1326"/>
    <s v="POL50178"/>
    <d v="2021-08-20T00:00:00"/>
    <n v="420314.23"/>
    <x v="1"/>
    <x v="1"/>
    <x v="1"/>
    <n v="4"/>
    <x v="4"/>
    <x v="1"/>
    <x v="1"/>
    <s v="High"/>
    <x v="1"/>
  </r>
  <r>
    <x v="1327"/>
    <s v="POL53085"/>
    <d v="2023-10-08T00:00:00"/>
    <n v="366683.43"/>
    <x v="1"/>
    <x v="4"/>
    <x v="0"/>
    <n v="31"/>
    <x v="0"/>
    <x v="3"/>
    <x v="0"/>
    <s v="High"/>
    <x v="0"/>
  </r>
  <r>
    <x v="1328"/>
    <s v="POL52212"/>
    <d v="2024-07-13T00:00:00"/>
    <n v="284203.52000000002"/>
    <x v="0"/>
    <x v="2"/>
    <x v="1"/>
    <n v="2"/>
    <x v="2"/>
    <x v="2"/>
    <x v="1"/>
    <s v="High"/>
    <x v="1"/>
  </r>
  <r>
    <x v="1329"/>
    <s v="POL53362"/>
    <d v="2023-10-12T00:00:00"/>
    <n v="499014.37"/>
    <x v="0"/>
    <x v="0"/>
    <x v="0"/>
    <n v="17"/>
    <x v="0"/>
    <x v="3"/>
    <x v="0"/>
    <s v="High"/>
    <x v="1"/>
  </r>
  <r>
    <x v="1330"/>
    <s v="POL51255"/>
    <d v="2024-07-05T00:00:00"/>
    <n v="477448.06"/>
    <x v="1"/>
    <x v="4"/>
    <x v="0"/>
    <n v="4"/>
    <x v="2"/>
    <x v="2"/>
    <x v="1"/>
    <s v="High"/>
    <x v="1"/>
  </r>
  <r>
    <x v="1331"/>
    <s v="POL50715"/>
    <d v="2023-07-17T00:00:00"/>
    <n v="345554.94"/>
    <x v="0"/>
    <x v="1"/>
    <x v="0"/>
    <n v="19"/>
    <x v="2"/>
    <x v="3"/>
    <x v="1"/>
    <s v="High"/>
    <x v="1"/>
  </r>
  <r>
    <x v="1332"/>
    <s v="POL52858"/>
    <d v="2023-05-08T00:00:00"/>
    <n v="119502.84"/>
    <x v="1"/>
    <x v="2"/>
    <x v="0"/>
    <n v="25"/>
    <x v="6"/>
    <x v="3"/>
    <x v="2"/>
    <s v="Medium"/>
    <x v="1"/>
  </r>
  <r>
    <x v="1333"/>
    <s v="POL52686"/>
    <d v="2023-01-18T00:00:00"/>
    <n v="389009.81"/>
    <x v="1"/>
    <x v="0"/>
    <x v="1"/>
    <n v="58"/>
    <x v="8"/>
    <x v="3"/>
    <x v="3"/>
    <s v="High"/>
    <x v="0"/>
  </r>
  <r>
    <x v="1334"/>
    <s v="POL50537"/>
    <d v="2023-08-07T00:00:00"/>
    <n v="146405.74"/>
    <x v="1"/>
    <x v="4"/>
    <x v="0"/>
    <n v="53"/>
    <x v="4"/>
    <x v="3"/>
    <x v="1"/>
    <s v="Medium"/>
    <x v="0"/>
  </r>
  <r>
    <x v="1335"/>
    <s v="POL52691"/>
    <d v="2021-08-28T00:00:00"/>
    <n v="154425.38"/>
    <x v="2"/>
    <x v="2"/>
    <x v="0"/>
    <n v="31"/>
    <x v="4"/>
    <x v="1"/>
    <x v="1"/>
    <s v="Medium"/>
    <x v="0"/>
  </r>
  <r>
    <x v="1336"/>
    <s v="POL50016"/>
    <d v="2022-03-19T00:00:00"/>
    <n v="443247.03"/>
    <x v="1"/>
    <x v="1"/>
    <x v="1"/>
    <n v="45"/>
    <x v="5"/>
    <x v="0"/>
    <x v="3"/>
    <s v="High"/>
    <x v="0"/>
  </r>
  <r>
    <x v="1337"/>
    <s v="POL51401"/>
    <d v="2022-06-03T00:00:00"/>
    <n v="355495.91"/>
    <x v="2"/>
    <x v="2"/>
    <x v="0"/>
    <n v="43"/>
    <x v="3"/>
    <x v="0"/>
    <x v="2"/>
    <s v="High"/>
    <x v="0"/>
  </r>
  <r>
    <x v="1338"/>
    <s v="POL52197"/>
    <d v="2023-09-30T00:00:00"/>
    <n v="330072.90000000002"/>
    <x v="0"/>
    <x v="2"/>
    <x v="0"/>
    <n v="49"/>
    <x v="7"/>
    <x v="3"/>
    <x v="1"/>
    <s v="High"/>
    <x v="0"/>
  </r>
  <r>
    <x v="1339"/>
    <s v="POL53675"/>
    <d v="2023-06-14T00:00:00"/>
    <n v="343554.63"/>
    <x v="1"/>
    <x v="4"/>
    <x v="1"/>
    <n v="58"/>
    <x v="3"/>
    <x v="3"/>
    <x v="2"/>
    <s v="High"/>
    <x v="0"/>
  </r>
  <r>
    <x v="1340"/>
    <s v="POL52191"/>
    <d v="2023-07-04T00:00:00"/>
    <n v="380276.87"/>
    <x v="0"/>
    <x v="0"/>
    <x v="0"/>
    <n v="19"/>
    <x v="2"/>
    <x v="3"/>
    <x v="1"/>
    <s v="High"/>
    <x v="1"/>
  </r>
  <r>
    <x v="1341"/>
    <s v="POL53969"/>
    <d v="2023-08-27T00:00:00"/>
    <n v="432633.92"/>
    <x v="1"/>
    <x v="2"/>
    <x v="1"/>
    <n v="12"/>
    <x v="4"/>
    <x v="3"/>
    <x v="1"/>
    <s v="High"/>
    <x v="1"/>
  </r>
  <r>
    <x v="1342"/>
    <s v="POL53819"/>
    <d v="2025-01-05T00:00:00"/>
    <n v="332183.23"/>
    <x v="0"/>
    <x v="1"/>
    <x v="0"/>
    <n v="12"/>
    <x v="8"/>
    <x v="4"/>
    <x v="3"/>
    <s v="High"/>
    <x v="1"/>
  </r>
  <r>
    <x v="1343"/>
    <s v="POL53387"/>
    <d v="2023-05-28T00:00:00"/>
    <n v="283987.96999999997"/>
    <x v="1"/>
    <x v="1"/>
    <x v="1"/>
    <n v="38"/>
    <x v="6"/>
    <x v="3"/>
    <x v="2"/>
    <s v="High"/>
    <x v="0"/>
  </r>
  <r>
    <x v="1344"/>
    <s v="POL50773"/>
    <d v="2024-10-14T00:00:00"/>
    <n v="229787.85"/>
    <x v="0"/>
    <x v="4"/>
    <x v="1"/>
    <n v="17"/>
    <x v="0"/>
    <x v="2"/>
    <x v="0"/>
    <s v="High"/>
    <x v="1"/>
  </r>
  <r>
    <x v="1345"/>
    <s v="POL53338"/>
    <d v="2024-10-27T00:00:00"/>
    <n v="396898.79"/>
    <x v="1"/>
    <x v="0"/>
    <x v="0"/>
    <n v="31"/>
    <x v="0"/>
    <x v="2"/>
    <x v="0"/>
    <s v="High"/>
    <x v="0"/>
  </r>
  <r>
    <x v="1346"/>
    <s v="POL52564"/>
    <d v="2024-02-24T00:00:00"/>
    <n v="452468.82"/>
    <x v="2"/>
    <x v="4"/>
    <x v="1"/>
    <n v="27"/>
    <x v="10"/>
    <x v="2"/>
    <x v="3"/>
    <s v="High"/>
    <x v="1"/>
  </r>
  <r>
    <x v="1347"/>
    <s v="POL53812"/>
    <d v="2022-07-17T00:00:00"/>
    <n v="13090.82"/>
    <x v="0"/>
    <x v="1"/>
    <x v="0"/>
    <n v="31"/>
    <x v="2"/>
    <x v="0"/>
    <x v="1"/>
    <s v="Low"/>
    <x v="0"/>
  </r>
  <r>
    <x v="1348"/>
    <s v="POL50180"/>
    <d v="2023-12-03T00:00:00"/>
    <n v="330665.71000000002"/>
    <x v="1"/>
    <x v="3"/>
    <x v="1"/>
    <n v="32"/>
    <x v="1"/>
    <x v="3"/>
    <x v="0"/>
    <s v="High"/>
    <x v="0"/>
  </r>
  <r>
    <x v="1349"/>
    <s v="POL52512"/>
    <d v="2021-09-28T00:00:00"/>
    <n v="490082.3"/>
    <x v="0"/>
    <x v="2"/>
    <x v="1"/>
    <n v="49"/>
    <x v="7"/>
    <x v="1"/>
    <x v="1"/>
    <s v="High"/>
    <x v="0"/>
  </r>
  <r>
    <x v="1350"/>
    <s v="POL52969"/>
    <d v="2021-12-18T00:00:00"/>
    <n v="200612.35"/>
    <x v="0"/>
    <x v="2"/>
    <x v="1"/>
    <n v="42"/>
    <x v="1"/>
    <x v="1"/>
    <x v="0"/>
    <s v="High"/>
    <x v="0"/>
  </r>
  <r>
    <x v="1351"/>
    <s v="POL52084"/>
    <d v="2022-12-05T00:00:00"/>
    <n v="357103.01"/>
    <x v="2"/>
    <x v="2"/>
    <x v="1"/>
    <n v="18"/>
    <x v="1"/>
    <x v="0"/>
    <x v="0"/>
    <s v="High"/>
    <x v="1"/>
  </r>
  <r>
    <x v="1352"/>
    <s v="POL51071"/>
    <d v="2024-03-23T00:00:00"/>
    <n v="137972.62"/>
    <x v="1"/>
    <x v="3"/>
    <x v="0"/>
    <n v="37"/>
    <x v="5"/>
    <x v="2"/>
    <x v="3"/>
    <s v="Medium"/>
    <x v="0"/>
  </r>
  <r>
    <x v="1353"/>
    <s v="POL52238"/>
    <d v="2023-11-03T00:00:00"/>
    <n v="133140.79999999999"/>
    <x v="0"/>
    <x v="0"/>
    <x v="1"/>
    <n v="11"/>
    <x v="11"/>
    <x v="3"/>
    <x v="0"/>
    <s v="Medium"/>
    <x v="1"/>
  </r>
  <r>
    <x v="1354"/>
    <s v="POL53653"/>
    <d v="2023-07-01T00:00:00"/>
    <n v="310170.56"/>
    <x v="2"/>
    <x v="2"/>
    <x v="1"/>
    <n v="42"/>
    <x v="2"/>
    <x v="3"/>
    <x v="1"/>
    <s v="High"/>
    <x v="0"/>
  </r>
  <r>
    <x v="1355"/>
    <s v="POL53326"/>
    <d v="2024-08-28T00:00:00"/>
    <n v="353894.27"/>
    <x v="1"/>
    <x v="2"/>
    <x v="0"/>
    <n v="39"/>
    <x v="4"/>
    <x v="2"/>
    <x v="1"/>
    <s v="High"/>
    <x v="0"/>
  </r>
  <r>
    <x v="1356"/>
    <s v="POL50732"/>
    <d v="2024-06-28T00:00:00"/>
    <n v="383911.55"/>
    <x v="2"/>
    <x v="0"/>
    <x v="0"/>
    <n v="25"/>
    <x v="3"/>
    <x v="2"/>
    <x v="2"/>
    <s v="High"/>
    <x v="1"/>
  </r>
  <r>
    <x v="1357"/>
    <s v="POL53611"/>
    <d v="2023-10-04T00:00:00"/>
    <n v="267934.13"/>
    <x v="1"/>
    <x v="4"/>
    <x v="0"/>
    <n v="48"/>
    <x v="0"/>
    <x v="3"/>
    <x v="0"/>
    <s v="High"/>
    <x v="0"/>
  </r>
  <r>
    <x v="1358"/>
    <s v="POL50506"/>
    <d v="2023-04-29T00:00:00"/>
    <n v="306316.33"/>
    <x v="1"/>
    <x v="4"/>
    <x v="1"/>
    <n v="59"/>
    <x v="9"/>
    <x v="3"/>
    <x v="2"/>
    <s v="High"/>
    <x v="0"/>
  </r>
  <r>
    <x v="1359"/>
    <s v="POL53879"/>
    <d v="2023-11-12T00:00:00"/>
    <n v="47123.31"/>
    <x v="1"/>
    <x v="3"/>
    <x v="1"/>
    <n v="34"/>
    <x v="11"/>
    <x v="3"/>
    <x v="0"/>
    <s v="Low"/>
    <x v="0"/>
  </r>
  <r>
    <x v="1360"/>
    <s v="POL51840"/>
    <d v="2023-01-16T00:00:00"/>
    <n v="169159.85"/>
    <x v="0"/>
    <x v="4"/>
    <x v="0"/>
    <n v="45"/>
    <x v="8"/>
    <x v="3"/>
    <x v="3"/>
    <s v="Medium"/>
    <x v="0"/>
  </r>
  <r>
    <x v="1361"/>
    <s v="POL52421"/>
    <d v="2024-01-05T00:00:00"/>
    <n v="203702.43"/>
    <x v="2"/>
    <x v="0"/>
    <x v="0"/>
    <n v="17"/>
    <x v="8"/>
    <x v="2"/>
    <x v="3"/>
    <s v="High"/>
    <x v="1"/>
  </r>
  <r>
    <x v="1362"/>
    <s v="POL51884"/>
    <d v="2023-10-10T00:00:00"/>
    <n v="490321.32"/>
    <x v="2"/>
    <x v="0"/>
    <x v="0"/>
    <n v="8"/>
    <x v="0"/>
    <x v="3"/>
    <x v="0"/>
    <s v="High"/>
    <x v="1"/>
  </r>
  <r>
    <x v="1363"/>
    <s v="POL51969"/>
    <d v="2023-12-27T00:00:00"/>
    <n v="346264.63"/>
    <x v="2"/>
    <x v="0"/>
    <x v="0"/>
    <n v="27"/>
    <x v="1"/>
    <x v="3"/>
    <x v="0"/>
    <s v="High"/>
    <x v="1"/>
  </r>
  <r>
    <x v="1364"/>
    <s v="POL52002"/>
    <d v="2023-02-23T00:00:00"/>
    <n v="67283.679999999993"/>
    <x v="2"/>
    <x v="0"/>
    <x v="0"/>
    <n v="33"/>
    <x v="10"/>
    <x v="3"/>
    <x v="3"/>
    <s v="Low"/>
    <x v="0"/>
  </r>
  <r>
    <x v="1365"/>
    <s v="POL53160"/>
    <d v="2022-08-08T00:00:00"/>
    <n v="131719.76"/>
    <x v="2"/>
    <x v="4"/>
    <x v="1"/>
    <n v="46"/>
    <x v="4"/>
    <x v="0"/>
    <x v="1"/>
    <s v="Medium"/>
    <x v="0"/>
  </r>
  <r>
    <x v="1366"/>
    <s v="POL52614"/>
    <d v="2024-01-31T00:00:00"/>
    <n v="432486.37"/>
    <x v="1"/>
    <x v="2"/>
    <x v="1"/>
    <n v="42"/>
    <x v="8"/>
    <x v="2"/>
    <x v="3"/>
    <s v="High"/>
    <x v="0"/>
  </r>
  <r>
    <x v="1367"/>
    <s v="POL51965"/>
    <d v="2023-10-18T00:00:00"/>
    <n v="176826.83"/>
    <x v="2"/>
    <x v="4"/>
    <x v="0"/>
    <n v="34"/>
    <x v="0"/>
    <x v="3"/>
    <x v="0"/>
    <s v="Medium"/>
    <x v="0"/>
  </r>
  <r>
    <x v="1368"/>
    <s v="POL52698"/>
    <d v="2024-03-02T00:00:00"/>
    <n v="42409.64"/>
    <x v="1"/>
    <x v="3"/>
    <x v="1"/>
    <n v="3"/>
    <x v="5"/>
    <x v="2"/>
    <x v="3"/>
    <s v="Low"/>
    <x v="1"/>
  </r>
  <r>
    <x v="1369"/>
    <s v="POL50762"/>
    <d v="2024-02-10T00:00:00"/>
    <n v="296454.08"/>
    <x v="2"/>
    <x v="3"/>
    <x v="1"/>
    <n v="59"/>
    <x v="10"/>
    <x v="2"/>
    <x v="3"/>
    <s v="High"/>
    <x v="0"/>
  </r>
  <r>
    <x v="1370"/>
    <s v="POL50463"/>
    <d v="2024-12-26T00:00:00"/>
    <n v="274101.78000000003"/>
    <x v="1"/>
    <x v="0"/>
    <x v="0"/>
    <n v="51"/>
    <x v="1"/>
    <x v="2"/>
    <x v="0"/>
    <s v="High"/>
    <x v="0"/>
  </r>
  <r>
    <x v="1371"/>
    <s v="POL51154"/>
    <d v="2024-09-21T00:00:00"/>
    <n v="276931.21000000002"/>
    <x v="1"/>
    <x v="2"/>
    <x v="0"/>
    <n v="37"/>
    <x v="7"/>
    <x v="2"/>
    <x v="1"/>
    <s v="High"/>
    <x v="0"/>
  </r>
  <r>
    <x v="1372"/>
    <s v="POL50035"/>
    <d v="2022-12-30T00:00:00"/>
    <n v="118840.39"/>
    <x v="1"/>
    <x v="1"/>
    <x v="1"/>
    <n v="48"/>
    <x v="1"/>
    <x v="0"/>
    <x v="0"/>
    <s v="Medium"/>
    <x v="0"/>
  </r>
  <r>
    <x v="1373"/>
    <s v="POL52394"/>
    <d v="2024-12-07T00:00:00"/>
    <n v="262744.96000000002"/>
    <x v="1"/>
    <x v="2"/>
    <x v="1"/>
    <n v="13"/>
    <x v="1"/>
    <x v="2"/>
    <x v="0"/>
    <s v="High"/>
    <x v="1"/>
  </r>
  <r>
    <x v="1374"/>
    <s v="POL53922"/>
    <d v="2023-08-11T00:00:00"/>
    <n v="151121.42000000001"/>
    <x v="0"/>
    <x v="4"/>
    <x v="1"/>
    <n v="36"/>
    <x v="4"/>
    <x v="3"/>
    <x v="1"/>
    <s v="Medium"/>
    <x v="0"/>
  </r>
  <r>
    <x v="1375"/>
    <s v="POL53371"/>
    <d v="2023-10-23T00:00:00"/>
    <n v="225216.92"/>
    <x v="2"/>
    <x v="2"/>
    <x v="1"/>
    <n v="54"/>
    <x v="0"/>
    <x v="3"/>
    <x v="0"/>
    <s v="High"/>
    <x v="0"/>
  </r>
  <r>
    <x v="1376"/>
    <s v="POL51145"/>
    <d v="2021-08-03T00:00:00"/>
    <n v="263091.40999999997"/>
    <x v="2"/>
    <x v="0"/>
    <x v="1"/>
    <n v="38"/>
    <x v="4"/>
    <x v="1"/>
    <x v="1"/>
    <s v="High"/>
    <x v="0"/>
  </r>
  <r>
    <x v="1377"/>
    <s v="POL51520"/>
    <d v="2024-09-28T00:00:00"/>
    <n v="221928.7"/>
    <x v="0"/>
    <x v="3"/>
    <x v="0"/>
    <n v="56"/>
    <x v="7"/>
    <x v="2"/>
    <x v="1"/>
    <s v="High"/>
    <x v="0"/>
  </r>
  <r>
    <x v="1378"/>
    <s v="POL50699"/>
    <d v="2023-09-06T00:00:00"/>
    <n v="134037.46"/>
    <x v="2"/>
    <x v="2"/>
    <x v="1"/>
    <n v="42"/>
    <x v="7"/>
    <x v="3"/>
    <x v="1"/>
    <s v="Medium"/>
    <x v="0"/>
  </r>
  <r>
    <x v="1379"/>
    <s v="POL50195"/>
    <d v="2022-05-23T00:00:00"/>
    <n v="319703.82"/>
    <x v="0"/>
    <x v="0"/>
    <x v="1"/>
    <n v="43"/>
    <x v="6"/>
    <x v="0"/>
    <x v="2"/>
    <s v="High"/>
    <x v="0"/>
  </r>
  <r>
    <x v="1380"/>
    <s v="POL53930"/>
    <d v="2022-12-05T00:00:00"/>
    <n v="63264.45"/>
    <x v="0"/>
    <x v="3"/>
    <x v="0"/>
    <n v="3"/>
    <x v="1"/>
    <x v="0"/>
    <x v="0"/>
    <s v="Low"/>
    <x v="1"/>
  </r>
  <r>
    <x v="1381"/>
    <s v="POL52584"/>
    <d v="2022-04-25T00:00:00"/>
    <n v="237510.38"/>
    <x v="1"/>
    <x v="1"/>
    <x v="1"/>
    <n v="20"/>
    <x v="9"/>
    <x v="0"/>
    <x v="2"/>
    <s v="High"/>
    <x v="1"/>
  </r>
  <r>
    <x v="1382"/>
    <s v="POL52637"/>
    <d v="2024-06-07T00:00:00"/>
    <n v="428852.71"/>
    <x v="2"/>
    <x v="2"/>
    <x v="1"/>
    <n v="44"/>
    <x v="3"/>
    <x v="2"/>
    <x v="2"/>
    <s v="High"/>
    <x v="0"/>
  </r>
  <r>
    <x v="1383"/>
    <s v="POL52042"/>
    <d v="2023-10-11T00:00:00"/>
    <n v="120374.43"/>
    <x v="0"/>
    <x v="2"/>
    <x v="1"/>
    <n v="19"/>
    <x v="0"/>
    <x v="3"/>
    <x v="0"/>
    <s v="Medium"/>
    <x v="1"/>
  </r>
  <r>
    <x v="1384"/>
    <s v="POL51809"/>
    <d v="2022-09-23T00:00:00"/>
    <n v="391752.99"/>
    <x v="1"/>
    <x v="0"/>
    <x v="0"/>
    <n v="57"/>
    <x v="7"/>
    <x v="0"/>
    <x v="1"/>
    <s v="High"/>
    <x v="0"/>
  </r>
  <r>
    <x v="1385"/>
    <s v="POL52564"/>
    <d v="2023-12-01T00:00:00"/>
    <n v="85469.97"/>
    <x v="1"/>
    <x v="3"/>
    <x v="0"/>
    <n v="16"/>
    <x v="1"/>
    <x v="3"/>
    <x v="0"/>
    <s v="Low"/>
    <x v="1"/>
  </r>
  <r>
    <x v="1386"/>
    <s v="POL52017"/>
    <d v="2022-09-06T00:00:00"/>
    <n v="71058.73"/>
    <x v="0"/>
    <x v="2"/>
    <x v="1"/>
    <n v="55"/>
    <x v="7"/>
    <x v="0"/>
    <x v="1"/>
    <s v="Low"/>
    <x v="0"/>
  </r>
  <r>
    <x v="1387"/>
    <s v="POL51962"/>
    <d v="2023-12-11T00:00:00"/>
    <n v="103092.28"/>
    <x v="0"/>
    <x v="1"/>
    <x v="0"/>
    <n v="30"/>
    <x v="1"/>
    <x v="3"/>
    <x v="0"/>
    <s v="Medium"/>
    <x v="1"/>
  </r>
  <r>
    <x v="1388"/>
    <s v="POL53454"/>
    <d v="2023-08-18T00:00:00"/>
    <n v="37759.589999999997"/>
    <x v="0"/>
    <x v="4"/>
    <x v="0"/>
    <n v="22"/>
    <x v="4"/>
    <x v="3"/>
    <x v="1"/>
    <s v="Low"/>
    <x v="1"/>
  </r>
  <r>
    <x v="1389"/>
    <s v="POL53346"/>
    <d v="2021-08-07T00:00:00"/>
    <n v="217827.22"/>
    <x v="0"/>
    <x v="3"/>
    <x v="0"/>
    <n v="28"/>
    <x v="4"/>
    <x v="1"/>
    <x v="1"/>
    <s v="High"/>
    <x v="1"/>
  </r>
  <r>
    <x v="1390"/>
    <s v="POL50675"/>
    <d v="2022-09-06T00:00:00"/>
    <n v="423430.23"/>
    <x v="1"/>
    <x v="4"/>
    <x v="0"/>
    <n v="3"/>
    <x v="7"/>
    <x v="0"/>
    <x v="1"/>
    <s v="High"/>
    <x v="1"/>
  </r>
  <r>
    <x v="1391"/>
    <s v="POL51509"/>
    <d v="2022-06-03T00:00:00"/>
    <n v="265306.09999999998"/>
    <x v="2"/>
    <x v="2"/>
    <x v="1"/>
    <n v="10"/>
    <x v="3"/>
    <x v="0"/>
    <x v="2"/>
    <s v="High"/>
    <x v="1"/>
  </r>
  <r>
    <x v="1392"/>
    <s v="POL53405"/>
    <d v="2021-11-28T00:00:00"/>
    <n v="409509.86"/>
    <x v="2"/>
    <x v="1"/>
    <x v="1"/>
    <n v="8"/>
    <x v="11"/>
    <x v="1"/>
    <x v="0"/>
    <s v="High"/>
    <x v="1"/>
  </r>
  <r>
    <x v="1393"/>
    <s v="POL50854"/>
    <d v="2021-06-07T00:00:00"/>
    <n v="339086.82"/>
    <x v="0"/>
    <x v="1"/>
    <x v="1"/>
    <n v="6"/>
    <x v="3"/>
    <x v="1"/>
    <x v="2"/>
    <s v="High"/>
    <x v="1"/>
  </r>
  <r>
    <x v="1394"/>
    <s v="POL50889"/>
    <d v="2023-11-28T00:00:00"/>
    <n v="182027.58"/>
    <x v="1"/>
    <x v="3"/>
    <x v="1"/>
    <n v="38"/>
    <x v="11"/>
    <x v="3"/>
    <x v="0"/>
    <s v="Medium"/>
    <x v="0"/>
  </r>
  <r>
    <x v="1395"/>
    <s v="POL50040"/>
    <d v="2024-07-07T00:00:00"/>
    <n v="440888.59"/>
    <x v="0"/>
    <x v="3"/>
    <x v="1"/>
    <n v="33"/>
    <x v="2"/>
    <x v="2"/>
    <x v="1"/>
    <s v="High"/>
    <x v="0"/>
  </r>
  <r>
    <x v="1396"/>
    <s v="POL50090"/>
    <d v="2024-11-25T00:00:00"/>
    <n v="448047.75"/>
    <x v="0"/>
    <x v="3"/>
    <x v="0"/>
    <n v="30"/>
    <x v="11"/>
    <x v="2"/>
    <x v="0"/>
    <s v="High"/>
    <x v="1"/>
  </r>
  <r>
    <x v="1397"/>
    <s v="POL53975"/>
    <d v="2024-03-15T00:00:00"/>
    <n v="229672.11"/>
    <x v="1"/>
    <x v="2"/>
    <x v="0"/>
    <n v="29"/>
    <x v="5"/>
    <x v="2"/>
    <x v="3"/>
    <s v="High"/>
    <x v="1"/>
  </r>
  <r>
    <x v="1398"/>
    <s v="POL53584"/>
    <d v="2024-04-01T00:00:00"/>
    <n v="381721.67"/>
    <x v="0"/>
    <x v="4"/>
    <x v="1"/>
    <n v="4"/>
    <x v="9"/>
    <x v="2"/>
    <x v="2"/>
    <s v="High"/>
    <x v="1"/>
  </r>
  <r>
    <x v="1399"/>
    <s v="POL50250"/>
    <d v="2023-09-22T00:00:00"/>
    <n v="423005.08"/>
    <x v="2"/>
    <x v="4"/>
    <x v="1"/>
    <n v="17"/>
    <x v="7"/>
    <x v="3"/>
    <x v="1"/>
    <s v="High"/>
    <x v="1"/>
  </r>
  <r>
    <x v="1400"/>
    <s v="POL52343"/>
    <d v="2023-11-18T00:00:00"/>
    <n v="125443.45"/>
    <x v="1"/>
    <x v="0"/>
    <x v="0"/>
    <n v="34"/>
    <x v="11"/>
    <x v="3"/>
    <x v="0"/>
    <s v="Medium"/>
    <x v="0"/>
  </r>
  <r>
    <x v="1401"/>
    <s v="POL50232"/>
    <d v="2024-09-22T00:00:00"/>
    <n v="399400.01"/>
    <x v="2"/>
    <x v="4"/>
    <x v="0"/>
    <n v="50"/>
    <x v="7"/>
    <x v="2"/>
    <x v="1"/>
    <s v="High"/>
    <x v="0"/>
  </r>
  <r>
    <x v="1402"/>
    <s v="POL51511"/>
    <d v="2024-01-29T00:00:00"/>
    <n v="109732.19"/>
    <x v="2"/>
    <x v="1"/>
    <x v="1"/>
    <n v="41"/>
    <x v="8"/>
    <x v="2"/>
    <x v="3"/>
    <s v="Medium"/>
    <x v="0"/>
  </r>
  <r>
    <x v="1403"/>
    <s v="POL51754"/>
    <d v="2024-02-13T00:00:00"/>
    <n v="438345.46"/>
    <x v="1"/>
    <x v="3"/>
    <x v="0"/>
    <n v="46"/>
    <x v="10"/>
    <x v="2"/>
    <x v="3"/>
    <s v="High"/>
    <x v="0"/>
  </r>
  <r>
    <x v="1404"/>
    <s v="POL52975"/>
    <d v="2022-03-30T00:00:00"/>
    <n v="373093.5"/>
    <x v="2"/>
    <x v="4"/>
    <x v="0"/>
    <n v="23"/>
    <x v="5"/>
    <x v="0"/>
    <x v="3"/>
    <s v="High"/>
    <x v="1"/>
  </r>
  <r>
    <x v="1405"/>
    <s v="POL53600"/>
    <d v="2023-12-05T00:00:00"/>
    <n v="124149.71"/>
    <x v="2"/>
    <x v="3"/>
    <x v="1"/>
    <n v="5"/>
    <x v="1"/>
    <x v="3"/>
    <x v="0"/>
    <s v="Mediu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1F452E-A25D-4309-AE50-BE2073E4ABFA}"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9:C36" firstHeaderRow="1" firstDataRow="1" firstDataCol="1"/>
  <pivotFields count="13">
    <pivotField dataField="1" showAll="0">
      <items count="14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t="default"/>
      </items>
    </pivotField>
    <pivotField showAll="0"/>
    <pivotField numFmtId="14" showAll="0"/>
    <pivotField showAll="0"/>
    <pivotField showAll="0">
      <items count="4">
        <item x="1"/>
        <item x="0"/>
        <item x="2"/>
        <item t="default"/>
      </items>
    </pivotField>
    <pivotField showAll="0">
      <items count="6">
        <item x="3"/>
        <item x="2"/>
        <item x="1"/>
        <item x="4"/>
        <item x="0"/>
        <item t="default"/>
      </items>
    </pivotField>
    <pivotField showAll="0">
      <items count="3">
        <item x="0"/>
        <item x="1"/>
        <item t="default"/>
      </items>
    </pivotField>
    <pivotField showAll="0"/>
    <pivotField showAll="0">
      <items count="13">
        <item x="8"/>
        <item x="10"/>
        <item x="5"/>
        <item x="9"/>
        <item x="6"/>
        <item x="3"/>
        <item x="2"/>
        <item x="4"/>
        <item x="7"/>
        <item x="0"/>
        <item x="11"/>
        <item x="1"/>
        <item t="default"/>
      </items>
    </pivotField>
    <pivotField axis="axisRow" showAll="0">
      <items count="7">
        <item x="5"/>
        <item x="1"/>
        <item x="0"/>
        <item x="3"/>
        <item x="2"/>
        <item x="4"/>
        <item t="default"/>
      </items>
    </pivotField>
    <pivotField showAll="0">
      <items count="5">
        <item x="3"/>
        <item x="2"/>
        <item x="1"/>
        <item x="0"/>
        <item t="default"/>
      </items>
    </pivotField>
    <pivotField showAll="0"/>
    <pivotField showAll="0"/>
  </pivotFields>
  <rowFields count="1">
    <field x="9"/>
  </rowFields>
  <rowItems count="7">
    <i>
      <x/>
    </i>
    <i>
      <x v="1"/>
    </i>
    <i>
      <x v="2"/>
    </i>
    <i>
      <x v="3"/>
    </i>
    <i>
      <x v="4"/>
    </i>
    <i>
      <x v="5"/>
    </i>
    <i t="grand">
      <x/>
    </i>
  </rowItems>
  <colItems count="1">
    <i/>
  </colItems>
  <dataFields count="1">
    <dataField name="Count of claim_id" fld="0" subtotal="count" baseField="0" baseItem="0"/>
  </dataFields>
  <formats count="12">
    <format dxfId="21">
      <pivotArea type="all" dataOnly="0" outline="0" fieldPosition="0"/>
    </format>
    <format dxfId="20">
      <pivotArea outline="0" collapsedLevelsAreSubtotals="1" fieldPosition="0"/>
    </format>
    <format dxfId="19">
      <pivotArea field="9" type="button" dataOnly="0" labelOnly="1" outline="0" axis="axisRow" fieldPosition="0"/>
    </format>
    <format dxfId="18">
      <pivotArea dataOnly="0" labelOnly="1" fieldPosition="0">
        <references count="1">
          <reference field="9" count="0"/>
        </references>
      </pivotArea>
    </format>
    <format dxfId="17">
      <pivotArea dataOnly="0" labelOnly="1" grandRow="1" outline="0" fieldPosition="0"/>
    </format>
    <format dxfId="16">
      <pivotArea dataOnly="0" labelOnly="1" outline="0" axis="axisValues" fieldPosition="0"/>
    </format>
    <format dxfId="15">
      <pivotArea type="all" dataOnly="0" outline="0" fieldPosition="0"/>
    </format>
    <format dxfId="14">
      <pivotArea outline="0" collapsedLevelsAreSubtotals="1" fieldPosition="0"/>
    </format>
    <format dxfId="13">
      <pivotArea field="9" type="button" dataOnly="0" labelOnly="1" outline="0" axis="axisRow" fieldPosition="0"/>
    </format>
    <format dxfId="12">
      <pivotArea dataOnly="0" labelOnly="1" fieldPosition="0">
        <references count="1">
          <reference field="9" count="0"/>
        </references>
      </pivotArea>
    </format>
    <format dxfId="11">
      <pivotArea dataOnly="0" labelOnly="1" grandRow="1" outline="0" fieldPosition="0"/>
    </format>
    <format dxfId="10">
      <pivotArea dataOnly="0" labelOnly="1" outline="0" axis="axisValues"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C853B0-5F0B-4F9C-9C41-3213F9833293}"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9:G34" firstHeaderRow="1" firstDataRow="1" firstDataCol="1"/>
  <pivotFields count="13">
    <pivotField dataField="1" showAll="0">
      <items count="14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t="default"/>
      </items>
    </pivotField>
    <pivotField showAll="0"/>
    <pivotField numFmtId="14" showAll="0"/>
    <pivotField showAll="0"/>
    <pivotField showAll="0">
      <items count="4">
        <item x="1"/>
        <item x="0"/>
        <item x="2"/>
        <item t="default"/>
      </items>
    </pivotField>
    <pivotField showAll="0">
      <items count="6">
        <item x="3"/>
        <item x="2"/>
        <item x="1"/>
        <item x="4"/>
        <item x="0"/>
        <item t="default"/>
      </items>
    </pivotField>
    <pivotField showAll="0">
      <items count="3">
        <item x="0"/>
        <item x="1"/>
        <item t="default"/>
      </items>
    </pivotField>
    <pivotField showAll="0"/>
    <pivotField showAll="0">
      <items count="13">
        <item x="8"/>
        <item x="10"/>
        <item x="5"/>
        <item x="9"/>
        <item x="6"/>
        <item x="3"/>
        <item x="2"/>
        <item x="4"/>
        <item x="7"/>
        <item x="0"/>
        <item x="11"/>
        <item x="1"/>
        <item t="default"/>
      </items>
    </pivotField>
    <pivotField showAll="0">
      <items count="7">
        <item x="5"/>
        <item x="1"/>
        <item x="0"/>
        <item x="3"/>
        <item x="2"/>
        <item x="4"/>
        <item t="default"/>
      </items>
    </pivotField>
    <pivotField axis="axisRow" showAll="0">
      <items count="5">
        <item x="3"/>
        <item x="2"/>
        <item x="1"/>
        <item x="0"/>
        <item t="default"/>
      </items>
    </pivotField>
    <pivotField showAll="0"/>
    <pivotField showAll="0"/>
  </pivotFields>
  <rowFields count="1">
    <field x="10"/>
  </rowFields>
  <rowItems count="5">
    <i>
      <x/>
    </i>
    <i>
      <x v="1"/>
    </i>
    <i>
      <x v="2"/>
    </i>
    <i>
      <x v="3"/>
    </i>
    <i t="grand">
      <x/>
    </i>
  </rowItems>
  <colItems count="1">
    <i/>
  </colItems>
  <dataFields count="1">
    <dataField name="Count of claim_id" fld="0" subtotal="count" baseField="0" baseItem="0"/>
  </dataFields>
  <formats count="12">
    <format dxfId="33">
      <pivotArea type="all" dataOnly="0" outline="0" fieldPosition="0"/>
    </format>
    <format dxfId="32">
      <pivotArea outline="0" collapsedLevelsAreSubtotals="1" fieldPosition="0"/>
    </format>
    <format dxfId="31">
      <pivotArea field="10" type="button" dataOnly="0" labelOnly="1" outline="0" axis="axisRow" fieldPosition="0"/>
    </format>
    <format dxfId="30">
      <pivotArea dataOnly="0" labelOnly="1" fieldPosition="0">
        <references count="1">
          <reference field="10" count="0"/>
        </references>
      </pivotArea>
    </format>
    <format dxfId="29">
      <pivotArea dataOnly="0" labelOnly="1" grandRow="1" outline="0" fieldPosition="0"/>
    </format>
    <format dxfId="28">
      <pivotArea dataOnly="0" labelOnly="1" outline="0" axis="axisValues" fieldPosition="0"/>
    </format>
    <format dxfId="27">
      <pivotArea type="all" dataOnly="0" outline="0" fieldPosition="0"/>
    </format>
    <format dxfId="26">
      <pivotArea outline="0" collapsedLevelsAreSubtotals="1" fieldPosition="0"/>
    </format>
    <format dxfId="25">
      <pivotArea field="10" type="button" dataOnly="0" labelOnly="1" outline="0" axis="axisRow" fieldPosition="0"/>
    </format>
    <format dxfId="24">
      <pivotArea dataOnly="0" labelOnly="1" fieldPosition="0">
        <references count="1">
          <reference field="10" count="0"/>
        </references>
      </pivotArea>
    </format>
    <format dxfId="23">
      <pivotArea dataOnly="0" labelOnly="1" grandRow="1" outline="0" fieldPosition="0"/>
    </format>
    <format dxfId="22">
      <pivotArea dataOnly="0" labelOnly="1" outline="0" axis="axisValues"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140F72-3EFB-4C83-886A-C97715FCF65D}" name="PivotTable1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F56:G63" firstHeaderRow="1" firstDataRow="1" firstDataCol="1"/>
  <pivotFields count="13">
    <pivotField showAll="0">
      <items count="14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t="default"/>
      </items>
    </pivotField>
    <pivotField showAll="0"/>
    <pivotField numFmtId="14" showAll="0"/>
    <pivotField dataField="1" showAll="0"/>
    <pivotField showAll="0">
      <items count="4">
        <item x="1"/>
        <item x="0"/>
        <item x="2"/>
        <item t="default"/>
      </items>
    </pivotField>
    <pivotField showAll="0">
      <items count="6">
        <item x="3"/>
        <item x="2"/>
        <item x="1"/>
        <item x="4"/>
        <item x="0"/>
        <item t="default"/>
      </items>
    </pivotField>
    <pivotField showAll="0">
      <items count="3">
        <item x="0"/>
        <item x="1"/>
        <item t="default"/>
      </items>
    </pivotField>
    <pivotField showAll="0"/>
    <pivotField showAll="0">
      <items count="13">
        <item x="8"/>
        <item x="10"/>
        <item x="5"/>
        <item x="9"/>
        <item x="6"/>
        <item x="3"/>
        <item x="2"/>
        <item x="4"/>
        <item x="7"/>
        <item x="0"/>
        <item x="11"/>
        <item x="1"/>
        <item t="default"/>
      </items>
    </pivotField>
    <pivotField axis="axisRow" showAll="0">
      <items count="7">
        <item x="5"/>
        <item x="1"/>
        <item x="0"/>
        <item x="3"/>
        <item x="2"/>
        <item x="4"/>
        <item t="default"/>
      </items>
    </pivotField>
    <pivotField showAll="0">
      <items count="5">
        <item x="3"/>
        <item x="2"/>
        <item x="1"/>
        <item x="0"/>
        <item t="default"/>
      </items>
    </pivotField>
    <pivotField showAll="0"/>
    <pivotField showAll="0"/>
  </pivotFields>
  <rowFields count="1">
    <field x="9"/>
  </rowFields>
  <rowItems count="7">
    <i>
      <x/>
    </i>
    <i>
      <x v="1"/>
    </i>
    <i>
      <x v="2"/>
    </i>
    <i>
      <x v="3"/>
    </i>
    <i>
      <x v="4"/>
    </i>
    <i>
      <x v="5"/>
    </i>
    <i t="grand">
      <x/>
    </i>
  </rowItems>
  <colItems count="1">
    <i/>
  </colItems>
  <dataFields count="1">
    <dataField name="Sum of claim_amount" fld="3" baseField="0" baseItem="0"/>
  </dataFields>
  <formats count="12">
    <format dxfId="45">
      <pivotArea type="all" dataOnly="0" outline="0" fieldPosition="0"/>
    </format>
    <format dxfId="44">
      <pivotArea outline="0" collapsedLevelsAreSubtotals="1" fieldPosition="0"/>
    </format>
    <format dxfId="43">
      <pivotArea field="9" type="button" dataOnly="0" labelOnly="1" outline="0" axis="axisRow" fieldPosition="0"/>
    </format>
    <format dxfId="42">
      <pivotArea dataOnly="0" labelOnly="1" fieldPosition="0">
        <references count="1">
          <reference field="9" count="0"/>
        </references>
      </pivotArea>
    </format>
    <format dxfId="41">
      <pivotArea dataOnly="0" labelOnly="1" grandRow="1" outline="0" fieldPosition="0"/>
    </format>
    <format dxfId="40">
      <pivotArea dataOnly="0" labelOnly="1" outline="0" axis="axisValues" fieldPosition="0"/>
    </format>
    <format dxfId="39">
      <pivotArea type="all" dataOnly="0" outline="0" fieldPosition="0"/>
    </format>
    <format dxfId="38">
      <pivotArea outline="0" collapsedLevelsAreSubtotals="1" fieldPosition="0"/>
    </format>
    <format dxfId="37">
      <pivotArea field="9" type="button" dataOnly="0" labelOnly="1" outline="0" axis="axisRow" fieldPosition="0"/>
    </format>
    <format dxfId="36">
      <pivotArea dataOnly="0" labelOnly="1" fieldPosition="0">
        <references count="1">
          <reference field="9" count="0"/>
        </references>
      </pivotArea>
    </format>
    <format dxfId="35">
      <pivotArea dataOnly="0" labelOnly="1" grandRow="1" outline="0" fieldPosition="0"/>
    </format>
    <format dxfId="3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5F4C5B-F2C0-48A6-98B7-7342402614B4}" name="PivotTable1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77:F85" firstHeaderRow="1" firstDataRow="2" firstDataCol="1"/>
  <pivotFields count="13">
    <pivotField dataField="1" showAll="0">
      <items count="14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t="default"/>
      </items>
    </pivotField>
    <pivotField showAll="0"/>
    <pivotField numFmtId="14" showAll="0"/>
    <pivotField showAll="0"/>
    <pivotField axis="axisCol" showAll="0">
      <items count="4">
        <item x="1"/>
        <item x="0"/>
        <item x="2"/>
        <item t="default"/>
      </items>
    </pivotField>
    <pivotField showAll="0">
      <items count="6">
        <item x="3"/>
        <item x="2"/>
        <item x="1"/>
        <item x="4"/>
        <item x="0"/>
        <item t="default"/>
      </items>
    </pivotField>
    <pivotField showAll="0">
      <items count="3">
        <item x="0"/>
        <item x="1"/>
        <item t="default"/>
      </items>
    </pivotField>
    <pivotField showAll="0"/>
    <pivotField showAll="0">
      <items count="13">
        <item x="8"/>
        <item x="10"/>
        <item x="5"/>
        <item x="9"/>
        <item x="6"/>
        <item x="3"/>
        <item x="2"/>
        <item x="4"/>
        <item x="7"/>
        <item x="0"/>
        <item x="11"/>
        <item x="1"/>
        <item t="default"/>
      </items>
    </pivotField>
    <pivotField axis="axisRow" showAll="0">
      <items count="7">
        <item x="5"/>
        <item x="1"/>
        <item x="0"/>
        <item x="3"/>
        <item x="2"/>
        <item x="4"/>
        <item t="default"/>
      </items>
    </pivotField>
    <pivotField showAll="0">
      <items count="5">
        <item x="3"/>
        <item x="2"/>
        <item x="1"/>
        <item x="0"/>
        <item t="default"/>
      </items>
    </pivotField>
    <pivotField showAll="0"/>
    <pivotField showAll="0"/>
  </pivotFields>
  <rowFields count="1">
    <field x="9"/>
  </rowFields>
  <rowItems count="7">
    <i>
      <x/>
    </i>
    <i>
      <x v="1"/>
    </i>
    <i>
      <x v="2"/>
    </i>
    <i>
      <x v="3"/>
    </i>
    <i>
      <x v="4"/>
    </i>
    <i>
      <x v="5"/>
    </i>
    <i t="grand">
      <x/>
    </i>
  </rowItems>
  <colFields count="1">
    <field x="4"/>
  </colFields>
  <colItems count="4">
    <i>
      <x/>
    </i>
    <i>
      <x v="1"/>
    </i>
    <i>
      <x v="2"/>
    </i>
    <i t="grand">
      <x/>
    </i>
  </colItems>
  <dataFields count="1">
    <dataField name="Count of claim_id" fld="0" subtotal="count" baseField="0" baseItem="0"/>
  </dataFields>
  <formats count="20">
    <format dxfId="65">
      <pivotArea type="all" dataOnly="0" outline="0" fieldPosition="0"/>
    </format>
    <format dxfId="64">
      <pivotArea outline="0" collapsedLevelsAreSubtotals="1" fieldPosition="0"/>
    </format>
    <format dxfId="63">
      <pivotArea type="origin" dataOnly="0" labelOnly="1" outline="0" fieldPosition="0"/>
    </format>
    <format dxfId="62">
      <pivotArea field="4" type="button" dataOnly="0" labelOnly="1" outline="0" axis="axisCol" fieldPosition="0"/>
    </format>
    <format dxfId="61">
      <pivotArea type="topRight" dataOnly="0" labelOnly="1" outline="0" fieldPosition="0"/>
    </format>
    <format dxfId="60">
      <pivotArea field="9" type="button" dataOnly="0" labelOnly="1" outline="0" axis="axisRow" fieldPosition="0"/>
    </format>
    <format dxfId="59">
      <pivotArea dataOnly="0" labelOnly="1" fieldPosition="0">
        <references count="1">
          <reference field="9" count="0"/>
        </references>
      </pivotArea>
    </format>
    <format dxfId="58">
      <pivotArea dataOnly="0" labelOnly="1" grandRow="1" outline="0" fieldPosition="0"/>
    </format>
    <format dxfId="57">
      <pivotArea dataOnly="0" labelOnly="1" fieldPosition="0">
        <references count="1">
          <reference field="4" count="0"/>
        </references>
      </pivotArea>
    </format>
    <format dxfId="56">
      <pivotArea dataOnly="0" labelOnly="1" grandCol="1" outline="0" fieldPosition="0"/>
    </format>
    <format dxfId="55">
      <pivotArea type="all" dataOnly="0" outline="0" fieldPosition="0"/>
    </format>
    <format dxfId="54">
      <pivotArea outline="0" collapsedLevelsAreSubtotals="1" fieldPosition="0"/>
    </format>
    <format dxfId="53">
      <pivotArea type="origin" dataOnly="0" labelOnly="1" outline="0" fieldPosition="0"/>
    </format>
    <format dxfId="52">
      <pivotArea field="4" type="button" dataOnly="0" labelOnly="1" outline="0" axis="axisCol" fieldPosition="0"/>
    </format>
    <format dxfId="51">
      <pivotArea type="topRight" dataOnly="0" labelOnly="1" outline="0" fieldPosition="0"/>
    </format>
    <format dxfId="50">
      <pivotArea field="9" type="button" dataOnly="0" labelOnly="1" outline="0" axis="axisRow" fieldPosition="0"/>
    </format>
    <format dxfId="49">
      <pivotArea dataOnly="0" labelOnly="1" fieldPosition="0">
        <references count="1">
          <reference field="9" count="0"/>
        </references>
      </pivotArea>
    </format>
    <format dxfId="48">
      <pivotArea dataOnly="0" labelOnly="1" grandRow="1" outline="0" fieldPosition="0"/>
    </format>
    <format dxfId="47">
      <pivotArea dataOnly="0" labelOnly="1" fieldPosition="0">
        <references count="1">
          <reference field="4" count="0"/>
        </references>
      </pivotArea>
    </format>
    <format dxfId="46">
      <pivotArea dataOnly="0" labelOnly="1" grandCol="1" outline="0" fieldPosition="0"/>
    </format>
  </formats>
  <chartFormats count="6">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4" format="6" series="1">
      <pivotArea type="data" outline="0" fieldPosition="0">
        <references count="2">
          <reference field="4294967294" count="1" selected="0">
            <x v="0"/>
          </reference>
          <reference field="4" count="1" selected="0">
            <x v="0"/>
          </reference>
        </references>
      </pivotArea>
    </chartFormat>
    <chartFormat chart="4" format="7" series="1">
      <pivotArea type="data" outline="0" fieldPosition="0">
        <references count="2">
          <reference field="4294967294" count="1" selected="0">
            <x v="0"/>
          </reference>
          <reference field="4" count="1" selected="0">
            <x v="1"/>
          </reference>
        </references>
      </pivotArea>
    </chartFormat>
    <chartFormat chart="4" format="8" series="1">
      <pivotArea type="data" outline="0" fieldPosition="0">
        <references count="2">
          <reference field="4294967294" count="1" selected="0">
            <x v="0"/>
          </reference>
          <reference field="4" count="1" selected="0">
            <x v="2"/>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5AD07C-6376-4AE3-BED1-3F53302A035E}" name="PivotTable1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6:C60" firstHeaderRow="1" firstDataRow="1" firstDataCol="1"/>
  <pivotFields count="13">
    <pivotField showAll="0">
      <items count="14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t="default"/>
      </items>
    </pivotField>
    <pivotField showAll="0"/>
    <pivotField numFmtId="14" showAll="0"/>
    <pivotField dataField="1" showAll="0"/>
    <pivotField axis="axisRow" showAll="0">
      <items count="4">
        <item x="1"/>
        <item x="0"/>
        <item x="2"/>
        <item t="default"/>
      </items>
    </pivotField>
    <pivotField showAll="0">
      <items count="6">
        <item x="3"/>
        <item x="2"/>
        <item x="1"/>
        <item x="4"/>
        <item x="0"/>
        <item t="default"/>
      </items>
    </pivotField>
    <pivotField showAll="0">
      <items count="3">
        <item x="0"/>
        <item x="1"/>
        <item t="default"/>
      </items>
    </pivotField>
    <pivotField showAll="0"/>
    <pivotField showAll="0">
      <items count="13">
        <item x="8"/>
        <item x="10"/>
        <item x="5"/>
        <item x="9"/>
        <item x="6"/>
        <item x="3"/>
        <item x="2"/>
        <item x="4"/>
        <item x="7"/>
        <item x="0"/>
        <item x="11"/>
        <item x="1"/>
        <item t="default"/>
      </items>
    </pivotField>
    <pivotField showAll="0">
      <items count="7">
        <item x="5"/>
        <item x="1"/>
        <item x="0"/>
        <item x="3"/>
        <item x="2"/>
        <item x="4"/>
        <item t="default"/>
      </items>
    </pivotField>
    <pivotField showAll="0">
      <items count="5">
        <item x="3"/>
        <item x="2"/>
        <item x="1"/>
        <item x="0"/>
        <item t="default"/>
      </items>
    </pivotField>
    <pivotField showAll="0"/>
    <pivotField showAll="0"/>
  </pivotFields>
  <rowFields count="1">
    <field x="4"/>
  </rowFields>
  <rowItems count="4">
    <i>
      <x/>
    </i>
    <i>
      <x v="1"/>
    </i>
    <i>
      <x v="2"/>
    </i>
    <i t="grand">
      <x/>
    </i>
  </rowItems>
  <colItems count="1">
    <i/>
  </colItems>
  <dataFields count="1">
    <dataField name="Average of claim_amount" fld="3" subtotal="average" baseField="4" baseItem="0" numFmtId="2"/>
  </dataFields>
  <formats count="12">
    <format dxfId="77">
      <pivotArea type="all" dataOnly="0" outline="0" fieldPosition="0"/>
    </format>
    <format dxfId="76">
      <pivotArea outline="0" collapsedLevelsAreSubtotals="1" fieldPosition="0"/>
    </format>
    <format dxfId="75">
      <pivotArea field="4" type="button" dataOnly="0" labelOnly="1" outline="0" axis="axisRow" fieldPosition="0"/>
    </format>
    <format dxfId="74">
      <pivotArea dataOnly="0" labelOnly="1" fieldPosition="0">
        <references count="1">
          <reference field="4" count="0"/>
        </references>
      </pivotArea>
    </format>
    <format dxfId="73">
      <pivotArea dataOnly="0" labelOnly="1" grandRow="1" outline="0" fieldPosition="0"/>
    </format>
    <format dxfId="72">
      <pivotArea dataOnly="0" labelOnly="1" outline="0" axis="axisValues" fieldPosition="0"/>
    </format>
    <format dxfId="71">
      <pivotArea type="all" dataOnly="0" outline="0" fieldPosition="0"/>
    </format>
    <format dxfId="70">
      <pivotArea outline="0" collapsedLevelsAreSubtotals="1" fieldPosition="0"/>
    </format>
    <format dxfId="69">
      <pivotArea field="4" type="button" dataOnly="0" labelOnly="1" outline="0" axis="axisRow" fieldPosition="0"/>
    </format>
    <format dxfId="68">
      <pivotArea dataOnly="0" labelOnly="1" fieldPosition="0">
        <references count="1">
          <reference field="4" count="0"/>
        </references>
      </pivotArea>
    </format>
    <format dxfId="67">
      <pivotArea dataOnly="0" labelOnly="1" grandRow="1" outline="0" fieldPosition="0"/>
    </format>
    <format dxfId="66">
      <pivotArea dataOnly="0" labelOnly="1" outline="0" axis="axisValues"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6B7B36-C2DC-4581-AE71-A327F5ED46F3}"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K29:L32" firstHeaderRow="1" firstDataRow="1" firstDataCol="1"/>
  <pivotFields count="13">
    <pivotField dataField="1" showAll="0">
      <items count="14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t="default"/>
      </items>
    </pivotField>
    <pivotField showAll="0"/>
    <pivotField numFmtId="14" showAll="0"/>
    <pivotField showAll="0"/>
    <pivotField showAll="0">
      <items count="4">
        <item x="1"/>
        <item x="0"/>
        <item x="2"/>
        <item t="default"/>
      </items>
    </pivotField>
    <pivotField showAll="0">
      <items count="6">
        <item x="3"/>
        <item x="2"/>
        <item x="1"/>
        <item x="4"/>
        <item x="0"/>
        <item t="default"/>
      </items>
    </pivotField>
    <pivotField axis="axisRow" showAll="0">
      <items count="3">
        <item x="0"/>
        <item x="1"/>
        <item t="default"/>
      </items>
    </pivotField>
    <pivotField showAll="0"/>
    <pivotField showAll="0">
      <items count="13">
        <item x="8"/>
        <item x="10"/>
        <item x="5"/>
        <item x="9"/>
        <item x="6"/>
        <item x="3"/>
        <item x="2"/>
        <item x="4"/>
        <item x="7"/>
        <item x="0"/>
        <item x="11"/>
        <item x="1"/>
        <item t="default"/>
      </items>
    </pivotField>
    <pivotField showAll="0">
      <items count="7">
        <item x="5"/>
        <item x="1"/>
        <item x="0"/>
        <item x="3"/>
        <item x="2"/>
        <item x="4"/>
        <item t="default"/>
      </items>
    </pivotField>
    <pivotField showAll="0">
      <items count="5">
        <item x="3"/>
        <item x="2"/>
        <item x="1"/>
        <item x="0"/>
        <item t="default"/>
      </items>
    </pivotField>
    <pivotField showAll="0"/>
    <pivotField showAll="0"/>
  </pivotFields>
  <rowFields count="1">
    <field x="6"/>
  </rowFields>
  <rowItems count="3">
    <i>
      <x/>
    </i>
    <i>
      <x v="1"/>
    </i>
    <i t="grand">
      <x/>
    </i>
  </rowItems>
  <colItems count="1">
    <i/>
  </colItems>
  <dataFields count="1">
    <dataField name="Count of claim_id" fld="0" subtotal="count" baseField="0" baseItem="0"/>
  </dataFields>
  <formats count="12">
    <format dxfId="89">
      <pivotArea type="all" dataOnly="0" outline="0" fieldPosition="0"/>
    </format>
    <format dxfId="88">
      <pivotArea outline="0" collapsedLevelsAreSubtotals="1" fieldPosition="0"/>
    </format>
    <format dxfId="87">
      <pivotArea field="6" type="button" dataOnly="0" labelOnly="1" outline="0" axis="axisRow" fieldPosition="0"/>
    </format>
    <format dxfId="86">
      <pivotArea dataOnly="0" labelOnly="1" fieldPosition="0">
        <references count="1">
          <reference field="6" count="0"/>
        </references>
      </pivotArea>
    </format>
    <format dxfId="85">
      <pivotArea dataOnly="0" labelOnly="1" grandRow="1" outline="0" fieldPosition="0"/>
    </format>
    <format dxfId="84">
      <pivotArea dataOnly="0" labelOnly="1" outline="0" axis="axisValues" fieldPosition="0"/>
    </format>
    <format dxfId="83">
      <pivotArea type="all" dataOnly="0" outline="0" fieldPosition="0"/>
    </format>
    <format dxfId="82">
      <pivotArea outline="0" collapsedLevelsAreSubtotals="1" fieldPosition="0"/>
    </format>
    <format dxfId="81">
      <pivotArea field="6" type="button" dataOnly="0" labelOnly="1" outline="0" axis="axisRow" fieldPosition="0"/>
    </format>
    <format dxfId="80">
      <pivotArea dataOnly="0" labelOnly="1" fieldPosition="0">
        <references count="1">
          <reference field="6" count="0"/>
        </references>
      </pivotArea>
    </format>
    <format dxfId="79">
      <pivotArea dataOnly="0" labelOnly="1" grandRow="1" outline="0" fieldPosition="0"/>
    </format>
    <format dxfId="78">
      <pivotArea dataOnly="0" labelOnly="1" outline="0" axis="axisValues" fieldPosition="0"/>
    </format>
  </format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6" count="1" selected="0">
            <x v="0"/>
          </reference>
        </references>
      </pivotArea>
    </chartFormat>
    <chartFormat chart="4" format="6">
      <pivotArea type="data" outline="0" fieldPosition="0">
        <references count="2">
          <reference field="4294967294" count="1" selected="0">
            <x v="0"/>
          </reference>
          <reference field="6" count="1" selected="0">
            <x v="1"/>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2D9A65F-2E3D-42A2-8EB0-B0BCC4BF6F4E}"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9:G15" firstHeaderRow="1" firstDataRow="1" firstDataCol="1"/>
  <pivotFields count="13">
    <pivotField showAll="0">
      <items count="14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t="default"/>
      </items>
    </pivotField>
    <pivotField showAll="0"/>
    <pivotField numFmtId="14" showAll="0"/>
    <pivotField dataField="1" showAll="0"/>
    <pivotField showAll="0">
      <items count="4">
        <item x="1"/>
        <item x="0"/>
        <item x="2"/>
        <item t="default"/>
      </items>
    </pivotField>
    <pivotField axis="axisRow" showAll="0">
      <items count="6">
        <item x="3"/>
        <item x="2"/>
        <item x="1"/>
        <item x="4"/>
        <item x="0"/>
        <item t="default"/>
      </items>
    </pivotField>
    <pivotField showAll="0">
      <items count="3">
        <item x="0"/>
        <item x="1"/>
        <item t="default"/>
      </items>
    </pivotField>
    <pivotField showAll="0"/>
    <pivotField showAll="0"/>
    <pivotField showAll="0">
      <items count="7">
        <item x="5"/>
        <item x="1"/>
        <item x="0"/>
        <item x="3"/>
        <item x="2"/>
        <item x="4"/>
        <item t="default"/>
      </items>
    </pivotField>
    <pivotField showAll="0">
      <items count="5">
        <item x="3"/>
        <item x="2"/>
        <item x="1"/>
        <item x="0"/>
        <item t="default"/>
      </items>
    </pivotField>
    <pivotField showAll="0"/>
    <pivotField showAll="0"/>
  </pivotFields>
  <rowFields count="1">
    <field x="5"/>
  </rowFields>
  <rowItems count="6">
    <i>
      <x/>
    </i>
    <i>
      <x v="1"/>
    </i>
    <i>
      <x v="2"/>
    </i>
    <i>
      <x v="3"/>
    </i>
    <i>
      <x v="4"/>
    </i>
    <i t="grand">
      <x/>
    </i>
  </rowItems>
  <colItems count="1">
    <i/>
  </colItems>
  <dataFields count="1">
    <dataField name="Sum of claim_amount" fld="3" baseField="0" baseItem="0"/>
  </dataFields>
  <formats count="12">
    <format dxfId="101">
      <pivotArea type="all" dataOnly="0" outline="0" fieldPosition="0"/>
    </format>
    <format dxfId="100">
      <pivotArea outline="0" collapsedLevelsAreSubtotals="1" fieldPosition="0"/>
    </format>
    <format dxfId="99">
      <pivotArea field="5" type="button" dataOnly="0" labelOnly="1" outline="0" axis="axisRow" fieldPosition="0"/>
    </format>
    <format dxfId="98">
      <pivotArea dataOnly="0" labelOnly="1" fieldPosition="0">
        <references count="1">
          <reference field="5" count="0"/>
        </references>
      </pivotArea>
    </format>
    <format dxfId="97">
      <pivotArea dataOnly="0" labelOnly="1" grandRow="1" outline="0" fieldPosition="0"/>
    </format>
    <format dxfId="96">
      <pivotArea dataOnly="0" labelOnly="1" outline="0" axis="axisValues" fieldPosition="0"/>
    </format>
    <format dxfId="95">
      <pivotArea type="all" dataOnly="0" outline="0" fieldPosition="0"/>
    </format>
    <format dxfId="94">
      <pivotArea outline="0" collapsedLevelsAreSubtotals="1" fieldPosition="0"/>
    </format>
    <format dxfId="93">
      <pivotArea field="5" type="button" dataOnly="0" labelOnly="1" outline="0" axis="axisRow" fieldPosition="0"/>
    </format>
    <format dxfId="92">
      <pivotArea dataOnly="0" labelOnly="1" fieldPosition="0">
        <references count="1">
          <reference field="5" count="0"/>
        </references>
      </pivotArea>
    </format>
    <format dxfId="91">
      <pivotArea dataOnly="0" labelOnly="1" grandRow="1" outline="0" fieldPosition="0"/>
    </format>
    <format dxfId="90">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838A96D-FB14-4B97-B82B-8FC2EF185D79}" name="PivotTable1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L42:O49" firstHeaderRow="1" firstDataRow="2" firstDataCol="1"/>
  <pivotFields count="13">
    <pivotField dataField="1" showAll="0">
      <items count="14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t="default"/>
      </items>
    </pivotField>
    <pivotField showAll="0"/>
    <pivotField numFmtId="14" showAll="0"/>
    <pivotField showAll="0"/>
    <pivotField showAll="0">
      <items count="4">
        <item x="1"/>
        <item x="0"/>
        <item x="2"/>
        <item t="default"/>
      </items>
    </pivotField>
    <pivotField axis="axisRow" showAll="0">
      <items count="6">
        <item x="3"/>
        <item x="2"/>
        <item x="1"/>
        <item x="4"/>
        <item x="0"/>
        <item t="default"/>
      </items>
    </pivotField>
    <pivotField axis="axisCol" showAll="0">
      <items count="3">
        <item x="0"/>
        <item x="1"/>
        <item t="default"/>
      </items>
    </pivotField>
    <pivotField showAll="0"/>
    <pivotField showAll="0">
      <items count="13">
        <item x="8"/>
        <item x="10"/>
        <item x="5"/>
        <item x="9"/>
        <item x="6"/>
        <item x="3"/>
        <item x="2"/>
        <item x="4"/>
        <item x="7"/>
        <item x="0"/>
        <item x="11"/>
        <item x="1"/>
        <item t="default"/>
      </items>
    </pivotField>
    <pivotField showAll="0">
      <items count="7">
        <item x="5"/>
        <item x="1"/>
        <item x="0"/>
        <item x="3"/>
        <item x="2"/>
        <item x="4"/>
        <item t="default"/>
      </items>
    </pivotField>
    <pivotField showAll="0">
      <items count="5">
        <item x="3"/>
        <item x="2"/>
        <item x="1"/>
        <item x="0"/>
        <item t="default"/>
      </items>
    </pivotField>
    <pivotField showAll="0"/>
    <pivotField showAll="0"/>
  </pivotFields>
  <rowFields count="1">
    <field x="5"/>
  </rowFields>
  <rowItems count="6">
    <i>
      <x/>
    </i>
    <i>
      <x v="1"/>
    </i>
    <i>
      <x v="2"/>
    </i>
    <i>
      <x v="3"/>
    </i>
    <i>
      <x v="4"/>
    </i>
    <i t="grand">
      <x/>
    </i>
  </rowItems>
  <colFields count="1">
    <field x="6"/>
  </colFields>
  <colItems count="3">
    <i>
      <x/>
    </i>
    <i>
      <x v="1"/>
    </i>
    <i t="grand">
      <x/>
    </i>
  </colItems>
  <dataFields count="1">
    <dataField name="Count of claim_id" fld="0" subtotal="count" baseField="0" baseItem="0"/>
  </dataFields>
  <formats count="20">
    <format dxfId="121">
      <pivotArea type="all" dataOnly="0" outline="0" fieldPosition="0"/>
    </format>
    <format dxfId="120">
      <pivotArea outline="0" collapsedLevelsAreSubtotals="1" fieldPosition="0"/>
    </format>
    <format dxfId="119">
      <pivotArea type="origin" dataOnly="0" labelOnly="1" outline="0" fieldPosition="0"/>
    </format>
    <format dxfId="118">
      <pivotArea field="6" type="button" dataOnly="0" labelOnly="1" outline="0" axis="axisCol" fieldPosition="0"/>
    </format>
    <format dxfId="117">
      <pivotArea type="topRight" dataOnly="0" labelOnly="1" outline="0" fieldPosition="0"/>
    </format>
    <format dxfId="116">
      <pivotArea field="5" type="button" dataOnly="0" labelOnly="1" outline="0" axis="axisRow" fieldPosition="0"/>
    </format>
    <format dxfId="115">
      <pivotArea dataOnly="0" labelOnly="1" fieldPosition="0">
        <references count="1">
          <reference field="5" count="0"/>
        </references>
      </pivotArea>
    </format>
    <format dxfId="114">
      <pivotArea dataOnly="0" labelOnly="1" grandRow="1" outline="0" fieldPosition="0"/>
    </format>
    <format dxfId="113">
      <pivotArea dataOnly="0" labelOnly="1" fieldPosition="0">
        <references count="1">
          <reference field="6" count="0"/>
        </references>
      </pivotArea>
    </format>
    <format dxfId="112">
      <pivotArea dataOnly="0" labelOnly="1" grandCol="1" outline="0" fieldPosition="0"/>
    </format>
    <format dxfId="111">
      <pivotArea type="all" dataOnly="0" outline="0" fieldPosition="0"/>
    </format>
    <format dxfId="110">
      <pivotArea outline="0" collapsedLevelsAreSubtotals="1" fieldPosition="0"/>
    </format>
    <format dxfId="109">
      <pivotArea type="origin" dataOnly="0" labelOnly="1" outline="0" fieldPosition="0"/>
    </format>
    <format dxfId="108">
      <pivotArea field="6" type="button" dataOnly="0" labelOnly="1" outline="0" axis="axisCol" fieldPosition="0"/>
    </format>
    <format dxfId="107">
      <pivotArea type="topRight" dataOnly="0" labelOnly="1" outline="0" fieldPosition="0"/>
    </format>
    <format dxfId="106">
      <pivotArea field="5" type="button" dataOnly="0" labelOnly="1" outline="0" axis="axisRow" fieldPosition="0"/>
    </format>
    <format dxfId="105">
      <pivotArea dataOnly="0" labelOnly="1" fieldPosition="0">
        <references count="1">
          <reference field="5" count="0"/>
        </references>
      </pivotArea>
    </format>
    <format dxfId="104">
      <pivotArea dataOnly="0" labelOnly="1" grandRow="1" outline="0" fieldPosition="0"/>
    </format>
    <format dxfId="103">
      <pivotArea dataOnly="0" labelOnly="1" fieldPosition="0">
        <references count="1">
          <reference field="6" count="0"/>
        </references>
      </pivotArea>
    </format>
    <format dxfId="102">
      <pivotArea dataOnly="0" labelOnly="1" grandCol="1" outline="0" fieldPosition="0"/>
    </format>
  </formats>
  <chartFormats count="4">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4" format="4" series="1">
      <pivotArea type="data" outline="0" fieldPosition="0">
        <references count="2">
          <reference field="4294967294" count="1" selected="0">
            <x v="0"/>
          </reference>
          <reference field="6" count="1" selected="0">
            <x v="0"/>
          </reference>
        </references>
      </pivotArea>
    </chartFormat>
    <chartFormat chart="4" format="5" series="1">
      <pivotArea type="data" outline="0" fieldPosition="0">
        <references count="2">
          <reference field="4294967294" count="1" selected="0">
            <x v="0"/>
          </reference>
          <reference field="6" count="1" selected="0">
            <x v="1"/>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7C65C3A-975F-4524-B984-8FA3A0DEA9FE}"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9:L22" firstHeaderRow="1" firstDataRow="1" firstDataCol="1"/>
  <pivotFields count="13">
    <pivotField dataField="1" showAll="0">
      <items count="14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t="default"/>
      </items>
    </pivotField>
    <pivotField showAll="0"/>
    <pivotField numFmtId="14" showAll="0"/>
    <pivotField showAll="0"/>
    <pivotField showAll="0">
      <items count="4">
        <item x="1"/>
        <item x="0"/>
        <item x="2"/>
        <item t="default"/>
      </items>
    </pivotField>
    <pivotField showAll="0">
      <items count="6">
        <item x="3"/>
        <item x="2"/>
        <item x="1"/>
        <item x="4"/>
        <item x="0"/>
        <item t="default"/>
      </items>
    </pivotField>
    <pivotField showAll="0">
      <items count="3">
        <item x="0"/>
        <item x="1"/>
        <item t="default"/>
      </items>
    </pivotField>
    <pivotField showAll="0"/>
    <pivotField axis="axisRow" showAll="0">
      <items count="13">
        <item x="8"/>
        <item x="10"/>
        <item x="5"/>
        <item x="9"/>
        <item x="6"/>
        <item x="3"/>
        <item x="2"/>
        <item x="4"/>
        <item x="7"/>
        <item x="0"/>
        <item x="11"/>
        <item x="1"/>
        <item t="default"/>
      </items>
    </pivotField>
    <pivotField showAll="0">
      <items count="7">
        <item x="5"/>
        <item x="1"/>
        <item x="0"/>
        <item x="3"/>
        <item x="2"/>
        <item x="4"/>
        <item t="default"/>
      </items>
    </pivotField>
    <pivotField showAll="0"/>
    <pivotField showAll="0"/>
    <pivotField showAll="0"/>
  </pivotFields>
  <rowFields count="1">
    <field x="8"/>
  </rowFields>
  <rowItems count="13">
    <i>
      <x/>
    </i>
    <i>
      <x v="1"/>
    </i>
    <i>
      <x v="2"/>
    </i>
    <i>
      <x v="3"/>
    </i>
    <i>
      <x v="4"/>
    </i>
    <i>
      <x v="5"/>
    </i>
    <i>
      <x v="6"/>
    </i>
    <i>
      <x v="7"/>
    </i>
    <i>
      <x v="8"/>
    </i>
    <i>
      <x v="9"/>
    </i>
    <i>
      <x v="10"/>
    </i>
    <i>
      <x v="11"/>
    </i>
    <i t="grand">
      <x/>
    </i>
  </rowItems>
  <colItems count="1">
    <i/>
  </colItems>
  <dataFields count="1">
    <dataField name="Count of claim_id" fld="0" subtotal="count" baseField="0" baseItem="0"/>
  </dataFields>
  <formats count="12">
    <format dxfId="133">
      <pivotArea type="all" dataOnly="0" outline="0" fieldPosition="0"/>
    </format>
    <format dxfId="132">
      <pivotArea outline="0" collapsedLevelsAreSubtotals="1" fieldPosition="0"/>
    </format>
    <format dxfId="131">
      <pivotArea field="8" type="button" dataOnly="0" labelOnly="1" outline="0" axis="axisRow" fieldPosition="0"/>
    </format>
    <format dxfId="130">
      <pivotArea dataOnly="0" labelOnly="1" fieldPosition="0">
        <references count="1">
          <reference field="8" count="0"/>
        </references>
      </pivotArea>
    </format>
    <format dxfId="129">
      <pivotArea dataOnly="0" labelOnly="1" grandRow="1" outline="0" fieldPosition="0"/>
    </format>
    <format dxfId="128">
      <pivotArea dataOnly="0" labelOnly="1" outline="0" axis="axisValues" fieldPosition="0"/>
    </format>
    <format dxfId="127">
      <pivotArea type="all" dataOnly="0" outline="0" fieldPosition="0"/>
    </format>
    <format dxfId="126">
      <pivotArea outline="0" collapsedLevelsAreSubtotals="1" fieldPosition="0"/>
    </format>
    <format dxfId="125">
      <pivotArea field="8" type="button" dataOnly="0" labelOnly="1" outline="0" axis="axisRow" fieldPosition="0"/>
    </format>
    <format dxfId="124">
      <pivotArea dataOnly="0" labelOnly="1" fieldPosition="0">
        <references count="1">
          <reference field="8" count="0"/>
        </references>
      </pivotArea>
    </format>
    <format dxfId="123">
      <pivotArea dataOnly="0" labelOnly="1" grandRow="1" outline="0" fieldPosition="0"/>
    </format>
    <format dxfId="122">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DA5C1E5-B468-4924-914A-CB7CF1DC0745}"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9:C13" firstHeaderRow="1" firstDataRow="1" firstDataCol="1"/>
  <pivotFields count="13">
    <pivotField dataField="1" showAll="0">
      <items count="14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t="default"/>
      </items>
    </pivotField>
    <pivotField showAll="0"/>
    <pivotField numFmtId="14" showAll="0"/>
    <pivotField showAll="0"/>
    <pivotField axis="axisRow" showAll="0">
      <items count="4">
        <item x="1"/>
        <item x="0"/>
        <item x="2"/>
        <item t="default"/>
      </items>
    </pivotField>
    <pivotField showAll="0">
      <items count="6">
        <item x="3"/>
        <item x="2"/>
        <item x="1"/>
        <item x="4"/>
        <item x="0"/>
        <item t="default"/>
      </items>
    </pivotField>
    <pivotField showAll="0">
      <items count="3">
        <item x="0"/>
        <item x="1"/>
        <item t="default"/>
      </items>
    </pivotField>
    <pivotField showAll="0"/>
    <pivotField showAll="0"/>
    <pivotField showAll="0">
      <items count="7">
        <item x="5"/>
        <item x="1"/>
        <item x="0"/>
        <item x="3"/>
        <item x="2"/>
        <item x="4"/>
        <item t="default"/>
      </items>
    </pivotField>
    <pivotField showAll="0">
      <items count="5">
        <item x="3"/>
        <item x="2"/>
        <item x="1"/>
        <item x="0"/>
        <item t="default"/>
      </items>
    </pivotField>
    <pivotField showAll="0"/>
    <pivotField showAll="0"/>
  </pivotFields>
  <rowFields count="1">
    <field x="4"/>
  </rowFields>
  <rowItems count="4">
    <i>
      <x/>
    </i>
    <i>
      <x v="1"/>
    </i>
    <i>
      <x v="2"/>
    </i>
    <i t="grand">
      <x/>
    </i>
  </rowItems>
  <colItems count="1">
    <i/>
  </colItems>
  <dataFields count="1">
    <dataField name="Count of claim_id" fld="0" subtotal="count" baseField="0" baseItem="0"/>
  </dataFields>
  <formats count="12">
    <format dxfId="145">
      <pivotArea type="all" dataOnly="0" outline="0" fieldPosition="0"/>
    </format>
    <format dxfId="144">
      <pivotArea outline="0" collapsedLevelsAreSubtotals="1" fieldPosition="0"/>
    </format>
    <format dxfId="143">
      <pivotArea field="4" type="button" dataOnly="0" labelOnly="1" outline="0" axis="axisRow" fieldPosition="0"/>
    </format>
    <format dxfId="142">
      <pivotArea dataOnly="0" labelOnly="1" fieldPosition="0">
        <references count="1">
          <reference field="4" count="0"/>
        </references>
      </pivotArea>
    </format>
    <format dxfId="141">
      <pivotArea dataOnly="0" labelOnly="1" grandRow="1" outline="0" fieldPosition="0"/>
    </format>
    <format dxfId="140">
      <pivotArea dataOnly="0" labelOnly="1" outline="0" axis="axisValues" fieldPosition="0"/>
    </format>
    <format dxfId="139">
      <pivotArea type="all" dataOnly="0" outline="0" fieldPosition="0"/>
    </format>
    <format dxfId="138">
      <pivotArea outline="0" collapsedLevelsAreSubtotals="1" fieldPosition="0"/>
    </format>
    <format dxfId="137">
      <pivotArea field="4" type="button" dataOnly="0" labelOnly="1" outline="0" axis="axisRow" fieldPosition="0"/>
    </format>
    <format dxfId="136">
      <pivotArea dataOnly="0" labelOnly="1" fieldPosition="0">
        <references count="1">
          <reference field="4" count="0"/>
        </references>
      </pivotArea>
    </format>
    <format dxfId="135">
      <pivotArea dataOnly="0" labelOnly="1" grandRow="1" outline="0" fieldPosition="0"/>
    </format>
    <format dxfId="134">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433DDDC-BE09-4D4C-B38B-16ED5FD593F2}"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F42:J49" firstHeaderRow="1" firstDataRow="2" firstDataCol="1"/>
  <pivotFields count="13">
    <pivotField dataField="1" showAll="0">
      <items count="14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t="default"/>
      </items>
    </pivotField>
    <pivotField showAll="0"/>
    <pivotField numFmtId="14" showAll="0"/>
    <pivotField showAll="0"/>
    <pivotField axis="axisCol" showAll="0">
      <items count="4">
        <item x="1"/>
        <item x="0"/>
        <item x="2"/>
        <item t="default"/>
      </items>
    </pivotField>
    <pivotField axis="axisRow" showAll="0">
      <items count="6">
        <item x="3"/>
        <item x="2"/>
        <item x="1"/>
        <item x="4"/>
        <item x="0"/>
        <item t="default"/>
      </items>
    </pivotField>
    <pivotField showAll="0">
      <items count="3">
        <item x="0"/>
        <item x="1"/>
        <item t="default"/>
      </items>
    </pivotField>
    <pivotField showAll="0"/>
    <pivotField showAll="0">
      <items count="13">
        <item x="8"/>
        <item x="10"/>
        <item x="5"/>
        <item x="9"/>
        <item x="6"/>
        <item x="3"/>
        <item x="2"/>
        <item x="4"/>
        <item x="7"/>
        <item x="0"/>
        <item x="11"/>
        <item x="1"/>
        <item t="default"/>
      </items>
    </pivotField>
    <pivotField showAll="0">
      <items count="7">
        <item x="5"/>
        <item x="1"/>
        <item x="0"/>
        <item x="3"/>
        <item x="2"/>
        <item x="4"/>
        <item t="default"/>
      </items>
    </pivotField>
    <pivotField showAll="0">
      <items count="5">
        <item x="3"/>
        <item x="2"/>
        <item x="1"/>
        <item x="0"/>
        <item t="default"/>
      </items>
    </pivotField>
    <pivotField showAll="0"/>
    <pivotField showAll="0"/>
  </pivotFields>
  <rowFields count="1">
    <field x="5"/>
  </rowFields>
  <rowItems count="6">
    <i>
      <x/>
    </i>
    <i>
      <x v="1"/>
    </i>
    <i>
      <x v="2"/>
    </i>
    <i>
      <x v="3"/>
    </i>
    <i>
      <x v="4"/>
    </i>
    <i t="grand">
      <x/>
    </i>
  </rowItems>
  <colFields count="1">
    <field x="4"/>
  </colFields>
  <colItems count="4">
    <i>
      <x/>
    </i>
    <i>
      <x v="1"/>
    </i>
    <i>
      <x v="2"/>
    </i>
    <i t="grand">
      <x/>
    </i>
  </colItems>
  <dataFields count="1">
    <dataField name="Count of claim_id" fld="0" subtotal="count" baseField="0" baseItem="0"/>
  </dataFields>
  <formats count="20">
    <format dxfId="165">
      <pivotArea type="all" dataOnly="0" outline="0" fieldPosition="0"/>
    </format>
    <format dxfId="164">
      <pivotArea outline="0" collapsedLevelsAreSubtotals="1" fieldPosition="0"/>
    </format>
    <format dxfId="163">
      <pivotArea type="origin" dataOnly="0" labelOnly="1" outline="0" fieldPosition="0"/>
    </format>
    <format dxfId="162">
      <pivotArea field="4" type="button" dataOnly="0" labelOnly="1" outline="0" axis="axisCol" fieldPosition="0"/>
    </format>
    <format dxfId="161">
      <pivotArea type="topRight" dataOnly="0" labelOnly="1" outline="0" fieldPosition="0"/>
    </format>
    <format dxfId="160">
      <pivotArea field="5" type="button" dataOnly="0" labelOnly="1" outline="0" axis="axisRow" fieldPosition="0"/>
    </format>
    <format dxfId="159">
      <pivotArea dataOnly="0" labelOnly="1" fieldPosition="0">
        <references count="1">
          <reference field="5" count="0"/>
        </references>
      </pivotArea>
    </format>
    <format dxfId="158">
      <pivotArea dataOnly="0" labelOnly="1" grandRow="1" outline="0" fieldPosition="0"/>
    </format>
    <format dxfId="157">
      <pivotArea dataOnly="0" labelOnly="1" fieldPosition="0">
        <references count="1">
          <reference field="4" count="0"/>
        </references>
      </pivotArea>
    </format>
    <format dxfId="156">
      <pivotArea dataOnly="0" labelOnly="1" grandCol="1" outline="0" fieldPosition="0"/>
    </format>
    <format dxfId="155">
      <pivotArea type="all" dataOnly="0" outline="0" fieldPosition="0"/>
    </format>
    <format dxfId="154">
      <pivotArea outline="0" collapsedLevelsAreSubtotals="1" fieldPosition="0"/>
    </format>
    <format dxfId="153">
      <pivotArea type="origin" dataOnly="0" labelOnly="1" outline="0" fieldPosition="0"/>
    </format>
    <format dxfId="152">
      <pivotArea field="4" type="button" dataOnly="0" labelOnly="1" outline="0" axis="axisCol" fieldPosition="0"/>
    </format>
    <format dxfId="151">
      <pivotArea type="topRight" dataOnly="0" labelOnly="1" outline="0" fieldPosition="0"/>
    </format>
    <format dxfId="150">
      <pivotArea field="5" type="button" dataOnly="0" labelOnly="1" outline="0" axis="axisRow" fieldPosition="0"/>
    </format>
    <format dxfId="149">
      <pivotArea dataOnly="0" labelOnly="1" fieldPosition="0">
        <references count="1">
          <reference field="5" count="0"/>
        </references>
      </pivotArea>
    </format>
    <format dxfId="148">
      <pivotArea dataOnly="0" labelOnly="1" grandRow="1" outline="0" fieldPosition="0"/>
    </format>
    <format dxfId="147">
      <pivotArea dataOnly="0" labelOnly="1" fieldPosition="0">
        <references count="1">
          <reference field="4" count="0"/>
        </references>
      </pivotArea>
    </format>
    <format dxfId="146">
      <pivotArea dataOnly="0" labelOnly="1" grandCol="1" outline="0" fieldPosition="0"/>
    </format>
  </formats>
  <chartFormats count="3">
    <chartFormat chart="3" format="6" series="1">
      <pivotArea type="data" outline="0" fieldPosition="0">
        <references count="2">
          <reference field="4294967294" count="1" selected="0">
            <x v="0"/>
          </reference>
          <reference field="4" count="1" selected="0">
            <x v="0"/>
          </reference>
        </references>
      </pivotArea>
    </chartFormat>
    <chartFormat chart="3" format="7" series="1">
      <pivotArea type="data" outline="0" fieldPosition="0">
        <references count="2">
          <reference field="4294967294" count="1" selected="0">
            <x v="0"/>
          </reference>
          <reference field="4" count="1" selected="0">
            <x v="1"/>
          </reference>
        </references>
      </pivotArea>
    </chartFormat>
    <chartFormat chart="3" format="8" series="1">
      <pivotArea type="data" outline="0" fieldPosition="0">
        <references count="2">
          <reference field="4294967294" count="1" selected="0">
            <x v="0"/>
          </reference>
          <reference field="4" count="1" selected="0">
            <x v="2"/>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7E5B84B-AC64-4278-AD2B-79BF218CD73E}" name="PivotTable1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56:N70" firstHeaderRow="1" firstDataRow="2" firstDataCol="1"/>
  <pivotFields count="13">
    <pivotField dataField="1" showAll="0">
      <items count="14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t="default"/>
      </items>
    </pivotField>
    <pivotField showAll="0"/>
    <pivotField numFmtId="14" showAll="0"/>
    <pivotField showAll="0"/>
    <pivotField showAll="0">
      <items count="4">
        <item x="1"/>
        <item x="0"/>
        <item x="2"/>
        <item t="default"/>
      </items>
    </pivotField>
    <pivotField showAll="0">
      <items count="6">
        <item x="3"/>
        <item x="2"/>
        <item x="1"/>
        <item x="4"/>
        <item x="0"/>
        <item t="default"/>
      </items>
    </pivotField>
    <pivotField showAll="0">
      <items count="3">
        <item x="0"/>
        <item x="1"/>
        <item t="default"/>
      </items>
    </pivotField>
    <pivotField showAll="0"/>
    <pivotField axis="axisRow" showAll="0">
      <items count="13">
        <item x="8"/>
        <item x="10"/>
        <item x="5"/>
        <item x="9"/>
        <item x="6"/>
        <item x="3"/>
        <item x="2"/>
        <item x="4"/>
        <item x="7"/>
        <item x="0"/>
        <item x="11"/>
        <item x="1"/>
        <item t="default"/>
      </items>
    </pivotField>
    <pivotField showAll="0">
      <items count="7">
        <item x="5"/>
        <item x="1"/>
        <item x="0"/>
        <item x="3"/>
        <item x="2"/>
        <item x="4"/>
        <item t="default"/>
      </items>
    </pivotField>
    <pivotField showAll="0">
      <items count="5">
        <item x="3"/>
        <item x="2"/>
        <item x="1"/>
        <item x="0"/>
        <item t="default"/>
      </items>
    </pivotField>
    <pivotField showAll="0"/>
    <pivotField axis="axisCol" showAll="0">
      <items count="3">
        <item x="1"/>
        <item x="0"/>
        <item t="default"/>
      </items>
    </pivotField>
  </pivotFields>
  <rowFields count="1">
    <field x="8"/>
  </rowFields>
  <rowItems count="13">
    <i>
      <x/>
    </i>
    <i>
      <x v="1"/>
    </i>
    <i>
      <x v="2"/>
    </i>
    <i>
      <x v="3"/>
    </i>
    <i>
      <x v="4"/>
    </i>
    <i>
      <x v="5"/>
    </i>
    <i>
      <x v="6"/>
    </i>
    <i>
      <x v="7"/>
    </i>
    <i>
      <x v="8"/>
    </i>
    <i>
      <x v="9"/>
    </i>
    <i>
      <x v="10"/>
    </i>
    <i>
      <x v="11"/>
    </i>
    <i t="grand">
      <x/>
    </i>
  </rowItems>
  <colFields count="1">
    <field x="12"/>
  </colFields>
  <colItems count="3">
    <i>
      <x/>
    </i>
    <i>
      <x v="1"/>
    </i>
    <i t="grand">
      <x/>
    </i>
  </colItems>
  <dataFields count="1">
    <dataField name="Count of claim_id" fld="0" subtotal="count" baseField="0" baseItem="0"/>
  </dataFields>
  <formats count="20">
    <format dxfId="185">
      <pivotArea type="all" dataOnly="0" outline="0" fieldPosition="0"/>
    </format>
    <format dxfId="184">
      <pivotArea outline="0" collapsedLevelsAreSubtotals="1" fieldPosition="0"/>
    </format>
    <format dxfId="183">
      <pivotArea type="origin" dataOnly="0" labelOnly="1" outline="0" fieldPosition="0"/>
    </format>
    <format dxfId="182">
      <pivotArea field="12" type="button" dataOnly="0" labelOnly="1" outline="0" axis="axisCol" fieldPosition="0"/>
    </format>
    <format dxfId="181">
      <pivotArea type="topRight" dataOnly="0" labelOnly="1" outline="0" fieldPosition="0"/>
    </format>
    <format dxfId="180">
      <pivotArea field="8" type="button" dataOnly="0" labelOnly="1" outline="0" axis="axisRow" fieldPosition="0"/>
    </format>
    <format dxfId="179">
      <pivotArea dataOnly="0" labelOnly="1" fieldPosition="0">
        <references count="1">
          <reference field="8" count="0"/>
        </references>
      </pivotArea>
    </format>
    <format dxfId="178">
      <pivotArea dataOnly="0" labelOnly="1" grandRow="1" outline="0" fieldPosition="0"/>
    </format>
    <format dxfId="177">
      <pivotArea dataOnly="0" labelOnly="1" fieldPosition="0">
        <references count="1">
          <reference field="12" count="0"/>
        </references>
      </pivotArea>
    </format>
    <format dxfId="176">
      <pivotArea dataOnly="0" labelOnly="1" grandCol="1" outline="0" fieldPosition="0"/>
    </format>
    <format dxfId="175">
      <pivotArea type="all" dataOnly="0" outline="0" fieldPosition="0"/>
    </format>
    <format dxfId="174">
      <pivotArea outline="0" collapsedLevelsAreSubtotals="1" fieldPosition="0"/>
    </format>
    <format dxfId="173">
      <pivotArea type="origin" dataOnly="0" labelOnly="1" outline="0" fieldPosition="0"/>
    </format>
    <format dxfId="172">
      <pivotArea field="12" type="button" dataOnly="0" labelOnly="1" outline="0" axis="axisCol" fieldPosition="0"/>
    </format>
    <format dxfId="171">
      <pivotArea type="topRight" dataOnly="0" labelOnly="1" outline="0" fieldPosition="0"/>
    </format>
    <format dxfId="170">
      <pivotArea field="8" type="button" dataOnly="0" labelOnly="1" outline="0" axis="axisRow" fieldPosition="0"/>
    </format>
    <format dxfId="169">
      <pivotArea dataOnly="0" labelOnly="1" fieldPosition="0">
        <references count="1">
          <reference field="8" count="0"/>
        </references>
      </pivotArea>
    </format>
    <format dxfId="168">
      <pivotArea dataOnly="0" labelOnly="1" grandRow="1" outline="0" fieldPosition="0"/>
    </format>
    <format dxfId="167">
      <pivotArea dataOnly="0" labelOnly="1" fieldPosition="0">
        <references count="1">
          <reference field="12" count="0"/>
        </references>
      </pivotArea>
    </format>
    <format dxfId="166">
      <pivotArea dataOnly="0" labelOnly="1" grandCol="1" outline="0"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DCC6AEB-A871-4F82-A0EE-702A8A68D95F}"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42:C48" firstHeaderRow="1" firstDataRow="1" firstDataCol="1"/>
  <pivotFields count="13">
    <pivotField showAll="0">
      <items count="14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t="default"/>
      </items>
    </pivotField>
    <pivotField showAll="0"/>
    <pivotField numFmtId="14" showAll="0"/>
    <pivotField showAll="0"/>
    <pivotField showAll="0">
      <items count="4">
        <item x="1"/>
        <item x="0"/>
        <item x="2"/>
        <item t="default"/>
      </items>
    </pivotField>
    <pivotField axis="axisRow" showAll="0">
      <items count="6">
        <item x="3"/>
        <item x="2"/>
        <item x="1"/>
        <item x="4"/>
        <item x="0"/>
        <item t="default"/>
      </items>
    </pivotField>
    <pivotField showAll="0">
      <items count="3">
        <item x="0"/>
        <item x="1"/>
        <item t="default"/>
      </items>
    </pivotField>
    <pivotField dataField="1" showAll="0"/>
    <pivotField showAll="0">
      <items count="13">
        <item x="8"/>
        <item x="10"/>
        <item x="5"/>
        <item x="9"/>
        <item x="6"/>
        <item x="3"/>
        <item x="2"/>
        <item x="4"/>
        <item x="7"/>
        <item x="0"/>
        <item x="11"/>
        <item x="1"/>
        <item t="default"/>
      </items>
    </pivotField>
    <pivotField showAll="0">
      <items count="7">
        <item x="5"/>
        <item x="1"/>
        <item x="0"/>
        <item x="3"/>
        <item x="2"/>
        <item x="4"/>
        <item t="default"/>
      </items>
    </pivotField>
    <pivotField showAll="0">
      <items count="5">
        <item x="3"/>
        <item x="2"/>
        <item x="1"/>
        <item x="0"/>
        <item t="default"/>
      </items>
    </pivotField>
    <pivotField showAll="0"/>
    <pivotField showAll="0"/>
  </pivotFields>
  <rowFields count="1">
    <field x="5"/>
  </rowFields>
  <rowItems count="6">
    <i>
      <x/>
    </i>
    <i>
      <x v="1"/>
    </i>
    <i>
      <x v="2"/>
    </i>
    <i>
      <x v="3"/>
    </i>
    <i>
      <x v="4"/>
    </i>
    <i t="grand">
      <x/>
    </i>
  </rowItems>
  <colItems count="1">
    <i/>
  </colItems>
  <dataFields count="1">
    <dataField name="Average of days_to_process" fld="7" subtotal="average" baseField="5" baseItem="3" numFmtId="2"/>
  </dataFields>
  <formats count="12">
    <format dxfId="197">
      <pivotArea type="all" dataOnly="0" outline="0" fieldPosition="0"/>
    </format>
    <format dxfId="196">
      <pivotArea outline="0" collapsedLevelsAreSubtotals="1" fieldPosition="0"/>
    </format>
    <format dxfId="195">
      <pivotArea field="5" type="button" dataOnly="0" labelOnly="1" outline="0" axis="axisRow" fieldPosition="0"/>
    </format>
    <format dxfId="194">
      <pivotArea dataOnly="0" labelOnly="1" fieldPosition="0">
        <references count="1">
          <reference field="5" count="0"/>
        </references>
      </pivotArea>
    </format>
    <format dxfId="193">
      <pivotArea dataOnly="0" labelOnly="1" grandRow="1" outline="0" fieldPosition="0"/>
    </format>
    <format dxfId="192">
      <pivotArea dataOnly="0" labelOnly="1" outline="0" axis="axisValues" fieldPosition="0"/>
    </format>
    <format dxfId="191">
      <pivotArea type="all" dataOnly="0" outline="0" fieldPosition="0"/>
    </format>
    <format dxfId="190">
      <pivotArea outline="0" collapsedLevelsAreSubtotals="1" fieldPosition="0"/>
    </format>
    <format dxfId="189">
      <pivotArea field="5" type="button" dataOnly="0" labelOnly="1" outline="0" axis="axisRow" fieldPosition="0"/>
    </format>
    <format dxfId="188">
      <pivotArea dataOnly="0" labelOnly="1" fieldPosition="0">
        <references count="1">
          <reference field="5" count="0"/>
        </references>
      </pivotArea>
    </format>
    <format dxfId="187">
      <pivotArea dataOnly="0" labelOnly="1" grandRow="1" outline="0" fieldPosition="0"/>
    </format>
    <format dxfId="186">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FF1BBDD-4870-4E33-BDC1-A181BC953BAA}" autoFormatId="16" applyNumberFormats="0" applyBorderFormats="0" applyFontFormats="0" applyPatternFormats="0" applyAlignmentFormats="0" applyWidthHeightFormats="0">
  <queryTableRefresh nextId="14" unboundColumnsRight="5">
    <queryTableFields count="13">
      <queryTableField id="1" name="claim_id" tableColumnId="1"/>
      <queryTableField id="2" name="policy_id" tableColumnId="2"/>
      <queryTableField id="3" name="claim_date" tableColumnId="3"/>
      <queryTableField id="4" name="claim_amount" tableColumnId="4"/>
      <queryTableField id="5" name="claim_status" tableColumnId="5"/>
      <queryTableField id="6" name="claim_type" tableColumnId="6"/>
      <queryTableField id="7" name="fraud_flag" tableColumnId="7"/>
      <queryTableField id="8" name="days_to_process" tableColumnId="8"/>
      <queryTableField id="9" dataBound="0" tableColumnId="9"/>
      <queryTableField id="10" dataBound="0" tableColumnId="10"/>
      <queryTableField id="11" dataBound="0" tableColumnId="11"/>
      <queryTableField id="12" dataBound="0" tableColumnId="12"/>
      <queryTableField id="13" dataBound="0"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2031203-F8C6-4EDD-A3C7-C6D2755085C7}" sourceName="Year">
  <pivotTables>
    <pivotTable tabId="3" name="PivotTable5"/>
    <pivotTable tabId="3" name="PivotTable10"/>
    <pivotTable tabId="3" name="PivotTable11"/>
    <pivotTable tabId="3" name="PivotTable12"/>
    <pivotTable tabId="3" name="PivotTable13"/>
    <pivotTable tabId="3" name="PivotTable14"/>
    <pivotTable tabId="3" name="PivotTable2"/>
    <pivotTable tabId="3" name="PivotTable3"/>
    <pivotTable tabId="3" name="PivotTable4"/>
    <pivotTable tabId="3" name="PivotTable6"/>
    <pivotTable tabId="3" name="PivotTable7"/>
    <pivotTable tabId="3" name="PivotTable8"/>
    <pivotTable tabId="3" name="PivotTable9"/>
  </pivotTables>
  <data>
    <tabular pivotCacheId="1724876427">
      <items count="6">
        <i x="5" s="1"/>
        <i x="1" s="1"/>
        <i x="0" s="1"/>
        <i x="3"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93B44514-94A2-4EC9-B049-F858F6B40345}" sourceName="Quarter">
  <pivotTables>
    <pivotTable tabId="3" name="PivotTable5"/>
    <pivotTable tabId="3" name="PivotTable10"/>
    <pivotTable tabId="3" name="PivotTable11"/>
    <pivotTable tabId="3" name="PivotTable12"/>
    <pivotTable tabId="3" name="PivotTable13"/>
    <pivotTable tabId="3" name="PivotTable14"/>
    <pivotTable tabId="3" name="PivotTable2"/>
    <pivotTable tabId="3" name="PivotTable3"/>
    <pivotTable tabId="3" name="PivotTable6"/>
    <pivotTable tabId="3" name="PivotTable7"/>
    <pivotTable tabId="3" name="PivotTable8"/>
    <pivotTable tabId="3" name="PivotTable9"/>
  </pivotTables>
  <data>
    <tabular pivotCacheId="1724876427">
      <items count="4">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im_type" xr10:uid="{40F2E4FC-6674-419F-998C-F3A615AA9260}" sourceName="claim_type">
  <pivotTables>
    <pivotTable tabId="3" name="PivotTable5"/>
    <pivotTable tabId="3" name="PivotTable10"/>
    <pivotTable tabId="3" name="PivotTable11"/>
    <pivotTable tabId="3" name="PivotTable12"/>
    <pivotTable tabId="3" name="PivotTable13"/>
    <pivotTable tabId="3" name="PivotTable14"/>
    <pivotTable tabId="3" name="PivotTable2"/>
    <pivotTable tabId="3" name="PivotTable3"/>
    <pivotTable tabId="3" name="PivotTable4"/>
    <pivotTable tabId="3" name="PivotTable6"/>
    <pivotTable tabId="3" name="PivotTable7"/>
    <pivotTable tabId="3" name="PivotTable8"/>
    <pivotTable tabId="3" name="PivotTable9"/>
  </pivotTables>
  <data>
    <tabular pivotCacheId="1724876427">
      <items count="5">
        <i x="3" s="1"/>
        <i x="2" s="1"/>
        <i x="1" s="1"/>
        <i x="4"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im_status" xr10:uid="{CE23E468-3D34-4BCC-9C33-930339DD6CFA}" sourceName="claim_status">
  <pivotTables>
    <pivotTable tabId="3" name="PivotTable5"/>
    <pivotTable tabId="3" name="PivotTable10"/>
    <pivotTable tabId="3" name="PivotTable11"/>
    <pivotTable tabId="3" name="PivotTable12"/>
    <pivotTable tabId="3" name="PivotTable13"/>
    <pivotTable tabId="3" name="PivotTable14"/>
    <pivotTable tabId="3" name="PivotTable2"/>
    <pivotTable tabId="3" name="PivotTable3"/>
    <pivotTable tabId="3" name="PivotTable4"/>
    <pivotTable tabId="3" name="PivotTable6"/>
    <pivotTable tabId="3" name="PivotTable7"/>
    <pivotTable tabId="3" name="PivotTable8"/>
    <pivotTable tabId="3" name="PivotTable9"/>
  </pivotTables>
  <data>
    <tabular pivotCacheId="1724876427">
      <items count="3">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aud_flag" xr10:uid="{94C93F74-F48C-4BA6-823E-2144CACD11FA}" sourceName="fraud_flag">
  <pivotTables>
    <pivotTable tabId="3" name="PivotTable5"/>
    <pivotTable tabId="3" name="PivotTable10"/>
    <pivotTable tabId="3" name="PivotTable11"/>
    <pivotTable tabId="3" name="PivotTable12"/>
    <pivotTable tabId="3" name="PivotTable13"/>
    <pivotTable tabId="3" name="PivotTable14"/>
    <pivotTable tabId="3" name="PivotTable2"/>
    <pivotTable tabId="3" name="PivotTable3"/>
    <pivotTable tabId="3" name="PivotTable4"/>
    <pivotTable tabId="3" name="PivotTable6"/>
    <pivotTable tabId="3" name="PivotTable7"/>
    <pivotTable tabId="3" name="PivotTable8"/>
    <pivotTable tabId="3" name="PivotTable9"/>
  </pivotTables>
  <data>
    <tabular pivotCacheId="172487642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C696320-8624-4CD4-8D92-EC05C9023A77}" cache="Slicer_Year" caption="Year" columnCount="2" rowHeight="234950"/>
  <slicer name="Quarter" xr10:uid="{42EE3779-6BA1-482A-B3D7-E810ADCFD31E}" cache="Slicer_Quarter" caption="Quarter" columnCount="2" rowHeight="234950"/>
  <slicer name="claim_type" xr10:uid="{B0BD49DB-B440-4E66-ADD1-5FF4C2E93408}" cache="Slicer_claim_type" caption="claim_type" columnCount="2" rowHeight="234950"/>
  <slicer name="claim_status" xr10:uid="{1B7C0063-7301-4E25-9C12-A3D722412522}" cache="Slicer_claim_status" caption="claim_status" columnCount="2" rowHeight="234950"/>
  <slicer name="fraud_flag" xr10:uid="{C1DAD4F8-3648-471D-89D5-CCBE9FEC5BB8}" cache="Slicer_fraud_flag" caption="fraud_flag" columnCount="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247157-C174-4C5B-82ED-5E629C001BD4}" name="Sheet1" displayName="Sheet1" ref="A1:M1407" tableType="queryTable" totalsRowShown="0">
  <autoFilter ref="A1:M1407" xr:uid="{4C247157-C174-4C5B-82ED-5E629C001BD4}"/>
  <tableColumns count="13">
    <tableColumn id="1" xr3:uid="{60242529-A548-4003-A3A8-14686F84E0A7}" uniqueName="1" name="claim_id" queryTableFieldId="1" dataDxfId="209"/>
    <tableColumn id="2" xr3:uid="{A7E6DA56-3B94-4210-92A4-14E8F670A8B5}" uniqueName="2" name="policy_id" queryTableFieldId="2" dataDxfId="208"/>
    <tableColumn id="3" xr3:uid="{A1B4906E-81CE-4257-8042-87FBC488048B}" uniqueName="3" name="claim_date" queryTableFieldId="3" dataDxfId="207"/>
    <tableColumn id="4" xr3:uid="{94350D07-967D-4C2B-B641-8A8665B19B8B}" uniqueName="4" name="claim_amount" queryTableFieldId="4" dataDxfId="206"/>
    <tableColumn id="5" xr3:uid="{5BC46DD3-9501-45F9-A6EC-4170CEB32DEA}" uniqueName="5" name="claim_status" queryTableFieldId="5" dataDxfId="205"/>
    <tableColumn id="6" xr3:uid="{3EF86F01-6F3C-4FFA-B248-A0E5006AEE85}" uniqueName="6" name="claim_type" queryTableFieldId="6" dataDxfId="204"/>
    <tableColumn id="7" xr3:uid="{9936D2C2-7DC7-4174-8799-349F07E8FC09}" uniqueName="7" name="fraud_flag" queryTableFieldId="7" dataDxfId="203"/>
    <tableColumn id="8" xr3:uid="{8373CAD6-1628-493B-8655-0889A5681830}" uniqueName="8" name="days_to_process" queryTableFieldId="8"/>
    <tableColumn id="9" xr3:uid="{D0B6F727-E8FF-4447-B016-73752FC883E3}" uniqueName="9" name="Month" queryTableFieldId="9" dataDxfId="202">
      <calculatedColumnFormula>TEXT(Sheet1[[#This Row],[claim_date]],"mmmm")</calculatedColumnFormula>
    </tableColumn>
    <tableColumn id="10" xr3:uid="{DD19E032-10C9-4A92-9F6F-DFF1452C99B0}" uniqueName="10" name="Year" queryTableFieldId="10" dataDxfId="201">
      <calculatedColumnFormula>YEAR(Sheet1[[#This Row],[claim_date]])</calculatedColumnFormula>
    </tableColumn>
    <tableColumn id="11" xr3:uid="{D00C3DC1-24F1-446D-A730-D3B7D1EB9764}" uniqueName="11" name="Quarter" queryTableFieldId="11" dataDxfId="200">
      <calculatedColumnFormula>"Q"&amp;ROUNDUP(MONTH(Sheet1[[#This Row],[claim_date]])/3,0)</calculatedColumnFormula>
    </tableColumn>
    <tableColumn id="12" xr3:uid="{C5F3366C-8E3E-4C3E-A665-EEB6BD0C0A34}" uniqueName="12" name="Claim Amount Category" queryTableFieldId="12" dataDxfId="199">
      <calculatedColumnFormula>IF(Sheet1[[#This Row],[claim_amount]]&lt;100000,"Low",IF(Sheet1[[#This Row],[claim_amount]]&lt;200000,"Medium","High"))</calculatedColumnFormula>
    </tableColumn>
    <tableColumn id="13" xr3:uid="{D7F825FE-D944-42FE-A935-3E792031984A}" uniqueName="13" name="Processing Speed" queryTableFieldId="13" dataDxfId="198">
      <calculatedColumnFormula>IF(Sheet1[[#This Row],[days_to_process]]&lt;=30,"Fast","Slow")</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E01D5-577C-4F69-BC37-371FC79F12DD}">
  <dimension ref="A1:H1407"/>
  <sheetViews>
    <sheetView workbookViewId="0">
      <selection activeCell="I8" sqref="I8"/>
    </sheetView>
  </sheetViews>
  <sheetFormatPr defaultRowHeight="14.4" x14ac:dyDescent="0.3"/>
  <cols>
    <col min="1" max="1" width="10.109375" customWidth="1"/>
    <col min="2" max="2" width="12.77734375" customWidth="1"/>
    <col min="3" max="3" width="18.109375" bestFit="1" customWidth="1"/>
    <col min="4" max="4" width="13.21875" bestFit="1" customWidth="1"/>
    <col min="5" max="5" width="11.44140625" bestFit="1" customWidth="1"/>
    <col min="6" max="6" width="10.21875" bestFit="1" customWidth="1"/>
    <col min="7" max="7" width="9.6640625" bestFit="1" customWidth="1"/>
    <col min="8" max="8" width="15.109375" bestFit="1" customWidth="1"/>
  </cols>
  <sheetData>
    <row r="1" spans="1:8" x14ac:dyDescent="0.3">
      <c r="A1" s="3" t="s">
        <v>0</v>
      </c>
      <c r="B1" s="3" t="s">
        <v>1</v>
      </c>
      <c r="C1" s="3" t="s">
        <v>2</v>
      </c>
      <c r="D1" s="3" t="s">
        <v>3</v>
      </c>
      <c r="E1" s="3" t="s">
        <v>4</v>
      </c>
      <c r="F1" s="3" t="s">
        <v>5</v>
      </c>
      <c r="G1" s="3" t="s">
        <v>6</v>
      </c>
      <c r="H1" s="3" t="s">
        <v>7</v>
      </c>
    </row>
    <row r="2" spans="1:8" x14ac:dyDescent="0.3">
      <c r="A2" t="s">
        <v>8</v>
      </c>
      <c r="B2" t="s">
        <v>9</v>
      </c>
      <c r="C2" s="4">
        <v>44844</v>
      </c>
      <c r="D2">
        <v>379127.79</v>
      </c>
      <c r="E2" t="s">
        <v>10</v>
      </c>
      <c r="F2" t="s">
        <v>11</v>
      </c>
      <c r="G2" t="s">
        <v>12</v>
      </c>
      <c r="H2">
        <v>40</v>
      </c>
    </row>
    <row r="3" spans="1:8" x14ac:dyDescent="0.3">
      <c r="A3" t="s">
        <v>13</v>
      </c>
      <c r="B3" t="s">
        <v>14</v>
      </c>
      <c r="C3" s="4">
        <v>44536</v>
      </c>
      <c r="D3">
        <v>431984.06</v>
      </c>
      <c r="E3" t="s">
        <v>15</v>
      </c>
      <c r="F3" t="s">
        <v>16</v>
      </c>
      <c r="G3" t="s">
        <v>12</v>
      </c>
      <c r="H3">
        <v>56</v>
      </c>
    </row>
    <row r="4" spans="1:8" x14ac:dyDescent="0.3">
      <c r="A4" t="s">
        <v>17</v>
      </c>
      <c r="B4" t="s">
        <v>18</v>
      </c>
      <c r="C4" s="4">
        <v>45490</v>
      </c>
      <c r="D4">
        <v>206765.82</v>
      </c>
      <c r="E4" t="s">
        <v>19</v>
      </c>
      <c r="F4" t="s">
        <v>20</v>
      </c>
      <c r="G4" t="s">
        <v>12</v>
      </c>
      <c r="H4">
        <v>39</v>
      </c>
    </row>
    <row r="5" spans="1:8" x14ac:dyDescent="0.3">
      <c r="A5" t="s">
        <v>21</v>
      </c>
      <c r="B5" t="s">
        <v>22</v>
      </c>
      <c r="C5" s="4">
        <v>45455</v>
      </c>
      <c r="D5">
        <v>225358.05</v>
      </c>
      <c r="E5" t="s">
        <v>15</v>
      </c>
      <c r="F5" t="s">
        <v>23</v>
      </c>
      <c r="G5" t="s">
        <v>24</v>
      </c>
      <c r="H5">
        <v>22</v>
      </c>
    </row>
    <row r="6" spans="1:8" x14ac:dyDescent="0.3">
      <c r="A6" t="s">
        <v>25</v>
      </c>
      <c r="B6" t="s">
        <v>26</v>
      </c>
      <c r="C6" s="4">
        <v>45456</v>
      </c>
      <c r="D6">
        <v>340208.27</v>
      </c>
      <c r="E6" t="s">
        <v>19</v>
      </c>
      <c r="F6" t="s">
        <v>11</v>
      </c>
      <c r="G6" t="s">
        <v>12</v>
      </c>
      <c r="H6">
        <v>31</v>
      </c>
    </row>
    <row r="7" spans="1:8" x14ac:dyDescent="0.3">
      <c r="A7" t="s">
        <v>27</v>
      </c>
      <c r="B7" t="s">
        <v>28</v>
      </c>
      <c r="C7" s="4">
        <v>44801</v>
      </c>
      <c r="D7">
        <v>124603.36</v>
      </c>
      <c r="E7" t="s">
        <v>29</v>
      </c>
      <c r="F7" t="s">
        <v>20</v>
      </c>
      <c r="G7" t="s">
        <v>12</v>
      </c>
      <c r="H7">
        <v>31</v>
      </c>
    </row>
    <row r="8" spans="1:8" x14ac:dyDescent="0.3">
      <c r="A8" t="s">
        <v>30</v>
      </c>
      <c r="B8" t="s">
        <v>31</v>
      </c>
      <c r="C8" s="4">
        <v>45145</v>
      </c>
      <c r="D8">
        <v>83575.259999999995</v>
      </c>
      <c r="E8" t="s">
        <v>15</v>
      </c>
      <c r="F8" t="s">
        <v>11</v>
      </c>
      <c r="G8" t="s">
        <v>24</v>
      </c>
      <c r="H8">
        <v>40</v>
      </c>
    </row>
    <row r="9" spans="1:8" x14ac:dyDescent="0.3">
      <c r="A9" t="s">
        <v>32</v>
      </c>
      <c r="B9" t="s">
        <v>33</v>
      </c>
      <c r="C9" s="4">
        <v>45832</v>
      </c>
      <c r="D9">
        <v>239279.38</v>
      </c>
      <c r="E9" t="s">
        <v>10</v>
      </c>
      <c r="F9" t="s">
        <v>34</v>
      </c>
      <c r="G9" t="s">
        <v>24</v>
      </c>
      <c r="H9">
        <v>58</v>
      </c>
    </row>
    <row r="10" spans="1:8" x14ac:dyDescent="0.3">
      <c r="A10" t="s">
        <v>35</v>
      </c>
      <c r="B10" t="s">
        <v>36</v>
      </c>
      <c r="C10" s="4">
        <v>45375</v>
      </c>
      <c r="D10">
        <v>394794.62</v>
      </c>
      <c r="E10" t="s">
        <v>19</v>
      </c>
      <c r="F10" t="s">
        <v>34</v>
      </c>
      <c r="G10" t="s">
        <v>12</v>
      </c>
      <c r="H10">
        <v>5</v>
      </c>
    </row>
    <row r="11" spans="1:8" x14ac:dyDescent="0.3">
      <c r="A11" t="s">
        <v>37</v>
      </c>
      <c r="B11" t="s">
        <v>38</v>
      </c>
      <c r="C11" s="4">
        <v>44472</v>
      </c>
      <c r="D11">
        <v>375987.61</v>
      </c>
      <c r="E11" t="s">
        <v>19</v>
      </c>
      <c r="F11" t="s">
        <v>20</v>
      </c>
      <c r="G11" t="s">
        <v>24</v>
      </c>
      <c r="H11">
        <v>25</v>
      </c>
    </row>
    <row r="12" spans="1:8" x14ac:dyDescent="0.3">
      <c r="A12" t="s">
        <v>39</v>
      </c>
      <c r="B12" t="s">
        <v>40</v>
      </c>
      <c r="C12" s="4">
        <v>45427</v>
      </c>
      <c r="D12">
        <v>495032.58</v>
      </c>
      <c r="E12" t="s">
        <v>10</v>
      </c>
      <c r="F12" t="s">
        <v>20</v>
      </c>
      <c r="G12" t="s">
        <v>12</v>
      </c>
      <c r="H12">
        <v>40</v>
      </c>
    </row>
    <row r="13" spans="1:8" x14ac:dyDescent="0.3">
      <c r="A13" t="s">
        <v>41</v>
      </c>
      <c r="B13" t="s">
        <v>42</v>
      </c>
      <c r="C13" s="4">
        <v>45185</v>
      </c>
      <c r="D13">
        <v>468259.32</v>
      </c>
      <c r="E13" t="s">
        <v>19</v>
      </c>
      <c r="F13" t="s">
        <v>23</v>
      </c>
      <c r="G13" t="s">
        <v>12</v>
      </c>
      <c r="H13">
        <v>11</v>
      </c>
    </row>
    <row r="14" spans="1:8" x14ac:dyDescent="0.3">
      <c r="A14" t="s">
        <v>43</v>
      </c>
      <c r="B14" t="s">
        <v>44</v>
      </c>
      <c r="C14" s="4">
        <v>45426</v>
      </c>
      <c r="D14">
        <v>470562.44</v>
      </c>
      <c r="E14" t="s">
        <v>29</v>
      </c>
      <c r="F14" t="s">
        <v>16</v>
      </c>
      <c r="G14" t="s">
        <v>24</v>
      </c>
      <c r="H14">
        <v>42</v>
      </c>
    </row>
    <row r="15" spans="1:8" x14ac:dyDescent="0.3">
      <c r="A15" t="s">
        <v>45</v>
      </c>
      <c r="B15" t="s">
        <v>46</v>
      </c>
      <c r="C15" s="4">
        <v>44951</v>
      </c>
      <c r="D15">
        <v>421414.85</v>
      </c>
      <c r="E15" t="s">
        <v>10</v>
      </c>
      <c r="F15" t="s">
        <v>20</v>
      </c>
      <c r="G15" t="s">
        <v>12</v>
      </c>
      <c r="H15">
        <v>27</v>
      </c>
    </row>
    <row r="16" spans="1:8" x14ac:dyDescent="0.3">
      <c r="A16" t="s">
        <v>47</v>
      </c>
      <c r="B16" t="s">
        <v>48</v>
      </c>
      <c r="C16" s="4">
        <v>45415</v>
      </c>
      <c r="D16">
        <v>155992.82</v>
      </c>
      <c r="E16" t="s">
        <v>15</v>
      </c>
      <c r="F16" t="s">
        <v>11</v>
      </c>
      <c r="G16" t="s">
        <v>12</v>
      </c>
      <c r="H16">
        <v>33</v>
      </c>
    </row>
    <row r="17" spans="1:8" x14ac:dyDescent="0.3">
      <c r="A17" t="s">
        <v>49</v>
      </c>
      <c r="B17" t="s">
        <v>50</v>
      </c>
      <c r="C17" s="4">
        <v>44666</v>
      </c>
      <c r="D17">
        <v>255073.2</v>
      </c>
      <c r="E17" t="s">
        <v>10</v>
      </c>
      <c r="F17" t="s">
        <v>34</v>
      </c>
      <c r="G17" t="s">
        <v>24</v>
      </c>
      <c r="H17">
        <v>29</v>
      </c>
    </row>
    <row r="18" spans="1:8" x14ac:dyDescent="0.3">
      <c r="A18" t="s">
        <v>51</v>
      </c>
      <c r="B18" t="s">
        <v>52</v>
      </c>
      <c r="C18" s="4">
        <v>45445</v>
      </c>
      <c r="D18">
        <v>67527.06</v>
      </c>
      <c r="E18" t="s">
        <v>10</v>
      </c>
      <c r="F18" t="s">
        <v>16</v>
      </c>
      <c r="G18" t="s">
        <v>12</v>
      </c>
      <c r="H18">
        <v>47</v>
      </c>
    </row>
    <row r="19" spans="1:8" x14ac:dyDescent="0.3">
      <c r="A19" t="s">
        <v>53</v>
      </c>
      <c r="B19" t="s">
        <v>54</v>
      </c>
      <c r="C19" s="4">
        <v>45190</v>
      </c>
      <c r="D19">
        <v>22088.7</v>
      </c>
      <c r="E19" t="s">
        <v>15</v>
      </c>
      <c r="F19" t="s">
        <v>11</v>
      </c>
      <c r="G19" t="s">
        <v>24</v>
      </c>
      <c r="H19">
        <v>56</v>
      </c>
    </row>
    <row r="20" spans="1:8" x14ac:dyDescent="0.3">
      <c r="A20" t="s">
        <v>55</v>
      </c>
      <c r="B20" t="s">
        <v>56</v>
      </c>
      <c r="C20" s="4">
        <v>45324</v>
      </c>
      <c r="D20">
        <v>350386.21</v>
      </c>
      <c r="E20" t="s">
        <v>15</v>
      </c>
      <c r="F20" t="s">
        <v>16</v>
      </c>
      <c r="G20" t="s">
        <v>12</v>
      </c>
      <c r="H20">
        <v>8</v>
      </c>
    </row>
    <row r="21" spans="1:8" x14ac:dyDescent="0.3">
      <c r="A21" t="s">
        <v>57</v>
      </c>
      <c r="B21" t="s">
        <v>58</v>
      </c>
      <c r="C21" s="4">
        <v>45401</v>
      </c>
      <c r="D21">
        <v>124876.51</v>
      </c>
      <c r="E21" t="s">
        <v>19</v>
      </c>
      <c r="F21" t="s">
        <v>11</v>
      </c>
      <c r="G21" t="s">
        <v>24</v>
      </c>
      <c r="H21">
        <v>10</v>
      </c>
    </row>
    <row r="22" spans="1:8" x14ac:dyDescent="0.3">
      <c r="A22" t="s">
        <v>59</v>
      </c>
      <c r="B22" t="s">
        <v>60</v>
      </c>
      <c r="C22" s="4">
        <v>45337</v>
      </c>
      <c r="D22">
        <v>401659.17</v>
      </c>
      <c r="E22" t="s">
        <v>10</v>
      </c>
      <c r="F22" t="s">
        <v>11</v>
      </c>
      <c r="G22" t="s">
        <v>24</v>
      </c>
      <c r="H22">
        <v>21</v>
      </c>
    </row>
    <row r="23" spans="1:8" x14ac:dyDescent="0.3">
      <c r="A23" t="s">
        <v>61</v>
      </c>
      <c r="B23" t="s">
        <v>62</v>
      </c>
      <c r="C23" s="4">
        <v>45193</v>
      </c>
      <c r="D23">
        <v>285832.96999999997</v>
      </c>
      <c r="E23" t="s">
        <v>19</v>
      </c>
      <c r="F23" t="s">
        <v>11</v>
      </c>
      <c r="G23" t="s">
        <v>12</v>
      </c>
      <c r="H23">
        <v>48</v>
      </c>
    </row>
    <row r="24" spans="1:8" x14ac:dyDescent="0.3">
      <c r="A24" t="s">
        <v>63</v>
      </c>
      <c r="B24" t="s">
        <v>64</v>
      </c>
      <c r="C24" s="4">
        <v>44984</v>
      </c>
      <c r="D24">
        <v>480795.2</v>
      </c>
      <c r="E24" t="s">
        <v>10</v>
      </c>
      <c r="F24" t="s">
        <v>23</v>
      </c>
      <c r="G24" t="s">
        <v>24</v>
      </c>
      <c r="H24">
        <v>33</v>
      </c>
    </row>
    <row r="25" spans="1:8" x14ac:dyDescent="0.3">
      <c r="A25" t="s">
        <v>65</v>
      </c>
      <c r="B25" t="s">
        <v>66</v>
      </c>
      <c r="C25" s="4">
        <v>45504</v>
      </c>
      <c r="D25">
        <v>367933.53</v>
      </c>
      <c r="E25" t="s">
        <v>15</v>
      </c>
      <c r="F25" t="s">
        <v>11</v>
      </c>
      <c r="G25" t="s">
        <v>12</v>
      </c>
      <c r="H25">
        <v>56</v>
      </c>
    </row>
    <row r="26" spans="1:8" x14ac:dyDescent="0.3">
      <c r="A26" t="s">
        <v>67</v>
      </c>
      <c r="B26" t="s">
        <v>68</v>
      </c>
      <c r="C26" s="4">
        <v>45436</v>
      </c>
      <c r="D26">
        <v>107721.44</v>
      </c>
      <c r="E26" t="s">
        <v>10</v>
      </c>
      <c r="F26" t="s">
        <v>34</v>
      </c>
      <c r="G26" t="s">
        <v>24</v>
      </c>
      <c r="H26">
        <v>4</v>
      </c>
    </row>
    <row r="27" spans="1:8" x14ac:dyDescent="0.3">
      <c r="A27" t="s">
        <v>69</v>
      </c>
      <c r="B27" t="s">
        <v>70</v>
      </c>
      <c r="C27" s="4">
        <v>45099</v>
      </c>
      <c r="D27">
        <v>397208.6</v>
      </c>
      <c r="E27" t="s">
        <v>10</v>
      </c>
      <c r="F27" t="s">
        <v>23</v>
      </c>
      <c r="G27" t="s">
        <v>24</v>
      </c>
      <c r="H27">
        <v>47</v>
      </c>
    </row>
    <row r="28" spans="1:8" x14ac:dyDescent="0.3">
      <c r="A28" t="s">
        <v>71</v>
      </c>
      <c r="B28" t="s">
        <v>72</v>
      </c>
      <c r="C28" s="4">
        <v>44802</v>
      </c>
      <c r="D28">
        <v>135683.89000000001</v>
      </c>
      <c r="E28" t="s">
        <v>10</v>
      </c>
      <c r="F28" t="s">
        <v>23</v>
      </c>
      <c r="G28" t="s">
        <v>24</v>
      </c>
      <c r="H28">
        <v>38</v>
      </c>
    </row>
    <row r="29" spans="1:8" x14ac:dyDescent="0.3">
      <c r="A29" t="s">
        <v>73</v>
      </c>
      <c r="B29" t="s">
        <v>74</v>
      </c>
      <c r="C29" s="4">
        <v>45201</v>
      </c>
      <c r="D29">
        <v>379326.31</v>
      </c>
      <c r="E29" t="s">
        <v>10</v>
      </c>
      <c r="F29" t="s">
        <v>23</v>
      </c>
      <c r="G29" t="s">
        <v>24</v>
      </c>
      <c r="H29">
        <v>25</v>
      </c>
    </row>
    <row r="30" spans="1:8" x14ac:dyDescent="0.3">
      <c r="A30" t="s">
        <v>75</v>
      </c>
      <c r="B30" t="s">
        <v>76</v>
      </c>
      <c r="C30" s="4">
        <v>45364</v>
      </c>
      <c r="D30">
        <v>446549.2</v>
      </c>
      <c r="E30" t="s">
        <v>19</v>
      </c>
      <c r="F30" t="s">
        <v>11</v>
      </c>
      <c r="G30" t="s">
        <v>12</v>
      </c>
      <c r="H30">
        <v>48</v>
      </c>
    </row>
    <row r="31" spans="1:8" x14ac:dyDescent="0.3">
      <c r="A31" t="s">
        <v>77</v>
      </c>
      <c r="B31" t="s">
        <v>78</v>
      </c>
      <c r="C31" s="4">
        <v>45063</v>
      </c>
      <c r="D31">
        <v>127488.96000000001</v>
      </c>
      <c r="E31" t="s">
        <v>10</v>
      </c>
      <c r="F31" t="s">
        <v>11</v>
      </c>
      <c r="G31" t="s">
        <v>24</v>
      </c>
      <c r="H31">
        <v>33</v>
      </c>
    </row>
    <row r="32" spans="1:8" x14ac:dyDescent="0.3">
      <c r="A32" t="s">
        <v>79</v>
      </c>
      <c r="B32" t="s">
        <v>80</v>
      </c>
      <c r="C32" s="4">
        <v>45531</v>
      </c>
      <c r="D32">
        <v>365730.12</v>
      </c>
      <c r="E32" t="s">
        <v>15</v>
      </c>
      <c r="F32" t="s">
        <v>34</v>
      </c>
      <c r="G32" t="s">
        <v>24</v>
      </c>
      <c r="H32">
        <v>17</v>
      </c>
    </row>
    <row r="33" spans="1:8" x14ac:dyDescent="0.3">
      <c r="A33" t="s">
        <v>81</v>
      </c>
      <c r="B33" t="s">
        <v>82</v>
      </c>
      <c r="C33" s="4">
        <v>45654</v>
      </c>
      <c r="D33">
        <v>486508.65</v>
      </c>
      <c r="E33" t="s">
        <v>15</v>
      </c>
      <c r="F33" t="s">
        <v>23</v>
      </c>
      <c r="G33" t="s">
        <v>24</v>
      </c>
      <c r="H33">
        <v>7</v>
      </c>
    </row>
    <row r="34" spans="1:8" x14ac:dyDescent="0.3">
      <c r="A34" t="s">
        <v>83</v>
      </c>
      <c r="B34" t="s">
        <v>84</v>
      </c>
      <c r="C34" s="4">
        <v>45702</v>
      </c>
      <c r="D34">
        <v>27907.74</v>
      </c>
      <c r="E34" t="s">
        <v>15</v>
      </c>
      <c r="F34" t="s">
        <v>16</v>
      </c>
      <c r="G34" t="s">
        <v>24</v>
      </c>
      <c r="H34">
        <v>9</v>
      </c>
    </row>
    <row r="35" spans="1:8" x14ac:dyDescent="0.3">
      <c r="A35" t="s">
        <v>85</v>
      </c>
      <c r="B35" t="s">
        <v>86</v>
      </c>
      <c r="C35" s="4">
        <v>45428</v>
      </c>
      <c r="D35">
        <v>489315.33</v>
      </c>
      <c r="E35" t="s">
        <v>87</v>
      </c>
      <c r="F35" t="s">
        <v>23</v>
      </c>
      <c r="G35" t="s">
        <v>12</v>
      </c>
      <c r="H35">
        <v>50</v>
      </c>
    </row>
    <row r="36" spans="1:8" x14ac:dyDescent="0.3">
      <c r="A36" t="s">
        <v>88</v>
      </c>
      <c r="B36" t="s">
        <v>89</v>
      </c>
      <c r="C36" s="4">
        <v>45322</v>
      </c>
      <c r="D36">
        <v>274741.44</v>
      </c>
      <c r="E36" t="s">
        <v>19</v>
      </c>
      <c r="F36" t="s">
        <v>11</v>
      </c>
      <c r="G36" t="s">
        <v>24</v>
      </c>
      <c r="H36">
        <v>53</v>
      </c>
    </row>
    <row r="37" spans="1:8" x14ac:dyDescent="0.3">
      <c r="A37" t="s">
        <v>90</v>
      </c>
      <c r="B37" t="s">
        <v>91</v>
      </c>
      <c r="C37" s="4">
        <v>44922</v>
      </c>
      <c r="D37">
        <v>301554.48</v>
      </c>
      <c r="E37" t="s">
        <v>19</v>
      </c>
      <c r="F37" t="s">
        <v>34</v>
      </c>
      <c r="G37" t="s">
        <v>24</v>
      </c>
      <c r="H37">
        <v>32</v>
      </c>
    </row>
    <row r="38" spans="1:8" x14ac:dyDescent="0.3">
      <c r="A38" t="s">
        <v>92</v>
      </c>
      <c r="B38" t="s">
        <v>93</v>
      </c>
      <c r="C38" s="4">
        <v>45061</v>
      </c>
      <c r="D38">
        <v>155059.69</v>
      </c>
      <c r="E38" t="s">
        <v>10</v>
      </c>
      <c r="F38" t="s">
        <v>34</v>
      </c>
      <c r="G38" t="s">
        <v>12</v>
      </c>
      <c r="H38">
        <v>2</v>
      </c>
    </row>
    <row r="39" spans="1:8" x14ac:dyDescent="0.3">
      <c r="A39" t="s">
        <v>94</v>
      </c>
      <c r="B39" t="s">
        <v>95</v>
      </c>
      <c r="C39" s="4">
        <v>45444</v>
      </c>
      <c r="D39">
        <v>487345.7</v>
      </c>
      <c r="E39" t="s">
        <v>19</v>
      </c>
      <c r="F39" t="s">
        <v>20</v>
      </c>
      <c r="G39" t="s">
        <v>24</v>
      </c>
      <c r="H39">
        <v>33</v>
      </c>
    </row>
    <row r="40" spans="1:8" x14ac:dyDescent="0.3">
      <c r="A40" t="s">
        <v>96</v>
      </c>
      <c r="B40" t="s">
        <v>97</v>
      </c>
      <c r="C40" s="4">
        <v>44617</v>
      </c>
      <c r="D40">
        <v>122203.19</v>
      </c>
      <c r="E40" t="s">
        <v>10</v>
      </c>
      <c r="F40" t="s">
        <v>11</v>
      </c>
      <c r="G40" t="s">
        <v>12</v>
      </c>
      <c r="H40">
        <v>35</v>
      </c>
    </row>
    <row r="41" spans="1:8" x14ac:dyDescent="0.3">
      <c r="A41" t="s">
        <v>98</v>
      </c>
      <c r="B41" t="s">
        <v>99</v>
      </c>
      <c r="C41" s="4">
        <v>44372</v>
      </c>
      <c r="D41">
        <v>23474.7</v>
      </c>
      <c r="E41" t="s">
        <v>10</v>
      </c>
      <c r="F41" t="s">
        <v>34</v>
      </c>
      <c r="G41" t="s">
        <v>12</v>
      </c>
      <c r="H41">
        <v>19</v>
      </c>
    </row>
    <row r="42" spans="1:8" x14ac:dyDescent="0.3">
      <c r="A42" t="s">
        <v>100</v>
      </c>
      <c r="B42" t="s">
        <v>101</v>
      </c>
      <c r="C42" s="4">
        <v>45261</v>
      </c>
      <c r="D42">
        <v>156041.48000000001</v>
      </c>
      <c r="E42" t="s">
        <v>15</v>
      </c>
      <c r="F42" t="s">
        <v>20</v>
      </c>
      <c r="G42" t="s">
        <v>24</v>
      </c>
      <c r="H42">
        <v>51</v>
      </c>
    </row>
    <row r="43" spans="1:8" x14ac:dyDescent="0.3">
      <c r="A43" t="s">
        <v>102</v>
      </c>
      <c r="B43" t="s">
        <v>103</v>
      </c>
      <c r="C43" s="4">
        <v>45087</v>
      </c>
      <c r="D43">
        <v>189563.24</v>
      </c>
      <c r="E43" t="s">
        <v>15</v>
      </c>
      <c r="F43" t="s">
        <v>23</v>
      </c>
      <c r="G43" t="s">
        <v>24</v>
      </c>
      <c r="H43">
        <v>12</v>
      </c>
    </row>
    <row r="44" spans="1:8" x14ac:dyDescent="0.3">
      <c r="A44" t="s">
        <v>104</v>
      </c>
      <c r="B44" t="s">
        <v>105</v>
      </c>
      <c r="C44" s="4">
        <v>45177</v>
      </c>
      <c r="D44">
        <v>413787.2</v>
      </c>
      <c r="E44" t="s">
        <v>19</v>
      </c>
      <c r="F44" t="s">
        <v>16</v>
      </c>
      <c r="G44" t="s">
        <v>12</v>
      </c>
      <c r="H44">
        <v>9</v>
      </c>
    </row>
    <row r="45" spans="1:8" x14ac:dyDescent="0.3">
      <c r="A45" t="s">
        <v>106</v>
      </c>
      <c r="B45" t="s">
        <v>107</v>
      </c>
      <c r="C45" s="4">
        <v>44642</v>
      </c>
      <c r="D45">
        <v>445095.51</v>
      </c>
      <c r="E45" t="s">
        <v>29</v>
      </c>
      <c r="F45" t="s">
        <v>11</v>
      </c>
      <c r="G45" t="s">
        <v>24</v>
      </c>
      <c r="H45">
        <v>16</v>
      </c>
    </row>
    <row r="46" spans="1:8" x14ac:dyDescent="0.3">
      <c r="A46" t="s">
        <v>108</v>
      </c>
      <c r="B46" t="s">
        <v>109</v>
      </c>
      <c r="C46" s="4">
        <v>45322</v>
      </c>
      <c r="D46">
        <v>79263.210000000006</v>
      </c>
      <c r="E46" t="s">
        <v>87</v>
      </c>
      <c r="F46" t="s">
        <v>34</v>
      </c>
      <c r="G46" t="s">
        <v>24</v>
      </c>
      <c r="H46">
        <v>30</v>
      </c>
    </row>
    <row r="47" spans="1:8" x14ac:dyDescent="0.3">
      <c r="A47" t="s">
        <v>110</v>
      </c>
      <c r="B47" t="s">
        <v>111</v>
      </c>
      <c r="C47" s="4">
        <v>45629</v>
      </c>
      <c r="D47">
        <v>172221.13</v>
      </c>
      <c r="E47" t="s">
        <v>15</v>
      </c>
      <c r="F47" t="s">
        <v>16</v>
      </c>
      <c r="G47" t="s">
        <v>12</v>
      </c>
      <c r="H47">
        <v>59</v>
      </c>
    </row>
    <row r="48" spans="1:8" x14ac:dyDescent="0.3">
      <c r="A48" t="s">
        <v>112</v>
      </c>
      <c r="B48" t="s">
        <v>113</v>
      </c>
      <c r="C48" s="4">
        <v>45626</v>
      </c>
      <c r="D48">
        <v>191244.94</v>
      </c>
      <c r="E48" t="s">
        <v>10</v>
      </c>
      <c r="F48" t="s">
        <v>16</v>
      </c>
      <c r="G48" t="s">
        <v>24</v>
      </c>
      <c r="H48">
        <v>48</v>
      </c>
    </row>
    <row r="49" spans="1:8" x14ac:dyDescent="0.3">
      <c r="A49" t="s">
        <v>114</v>
      </c>
      <c r="B49" t="s">
        <v>115</v>
      </c>
      <c r="C49" s="4">
        <v>45517</v>
      </c>
      <c r="D49">
        <v>267667.93</v>
      </c>
      <c r="E49" t="s">
        <v>29</v>
      </c>
      <c r="F49" t="s">
        <v>11</v>
      </c>
      <c r="G49" t="s">
        <v>24</v>
      </c>
      <c r="H49">
        <v>58</v>
      </c>
    </row>
    <row r="50" spans="1:8" x14ac:dyDescent="0.3">
      <c r="A50" t="s">
        <v>116</v>
      </c>
      <c r="B50" t="s">
        <v>117</v>
      </c>
      <c r="C50" s="4">
        <v>44831</v>
      </c>
      <c r="D50">
        <v>422381.21</v>
      </c>
      <c r="E50" t="s">
        <v>10</v>
      </c>
      <c r="F50" t="s">
        <v>20</v>
      </c>
      <c r="G50" t="s">
        <v>24</v>
      </c>
      <c r="H50">
        <v>13</v>
      </c>
    </row>
    <row r="51" spans="1:8" x14ac:dyDescent="0.3">
      <c r="A51" t="s">
        <v>118</v>
      </c>
      <c r="B51" t="s">
        <v>119</v>
      </c>
      <c r="C51" s="4">
        <v>45731</v>
      </c>
      <c r="D51">
        <v>435372.41</v>
      </c>
      <c r="E51" t="s">
        <v>15</v>
      </c>
      <c r="F51" t="s">
        <v>23</v>
      </c>
      <c r="G51" t="s">
        <v>24</v>
      </c>
      <c r="H51">
        <v>11</v>
      </c>
    </row>
    <row r="52" spans="1:8" x14ac:dyDescent="0.3">
      <c r="A52" t="s">
        <v>120</v>
      </c>
      <c r="B52" t="s">
        <v>121</v>
      </c>
      <c r="C52" s="4">
        <v>44955</v>
      </c>
      <c r="D52">
        <v>342793.84</v>
      </c>
      <c r="E52" t="s">
        <v>15</v>
      </c>
      <c r="F52" t="s">
        <v>16</v>
      </c>
      <c r="G52" t="s">
        <v>12</v>
      </c>
      <c r="H52">
        <v>5</v>
      </c>
    </row>
    <row r="53" spans="1:8" x14ac:dyDescent="0.3">
      <c r="A53" t="s">
        <v>122</v>
      </c>
      <c r="B53" t="s">
        <v>123</v>
      </c>
      <c r="C53" s="4">
        <v>44799</v>
      </c>
      <c r="D53">
        <v>271007.14</v>
      </c>
      <c r="E53" t="s">
        <v>10</v>
      </c>
      <c r="F53" t="s">
        <v>11</v>
      </c>
      <c r="G53" t="s">
        <v>12</v>
      </c>
      <c r="H53">
        <v>16</v>
      </c>
    </row>
    <row r="54" spans="1:8" x14ac:dyDescent="0.3">
      <c r="A54" t="s">
        <v>124</v>
      </c>
      <c r="B54" t="s">
        <v>125</v>
      </c>
      <c r="C54" s="4">
        <v>45767</v>
      </c>
      <c r="D54">
        <v>389411.04</v>
      </c>
      <c r="E54" t="s">
        <v>15</v>
      </c>
      <c r="F54" t="s">
        <v>16</v>
      </c>
      <c r="G54" t="s">
        <v>12</v>
      </c>
      <c r="H54">
        <v>56</v>
      </c>
    </row>
    <row r="55" spans="1:8" x14ac:dyDescent="0.3">
      <c r="A55" t="s">
        <v>126</v>
      </c>
      <c r="B55" t="s">
        <v>127</v>
      </c>
      <c r="C55" s="4">
        <v>44961</v>
      </c>
      <c r="D55">
        <v>112536.24</v>
      </c>
      <c r="E55" t="s">
        <v>19</v>
      </c>
      <c r="F55" t="s">
        <v>16</v>
      </c>
      <c r="G55" t="s">
        <v>12</v>
      </c>
      <c r="H55">
        <v>53</v>
      </c>
    </row>
    <row r="56" spans="1:8" x14ac:dyDescent="0.3">
      <c r="A56" t="s">
        <v>128</v>
      </c>
      <c r="B56" t="s">
        <v>129</v>
      </c>
      <c r="C56" s="4">
        <v>44985</v>
      </c>
      <c r="D56">
        <v>296977.2</v>
      </c>
      <c r="E56" t="s">
        <v>15</v>
      </c>
      <c r="F56" t="s">
        <v>11</v>
      </c>
      <c r="G56" t="s">
        <v>12</v>
      </c>
      <c r="H56">
        <v>35</v>
      </c>
    </row>
    <row r="57" spans="1:8" x14ac:dyDescent="0.3">
      <c r="A57" t="s">
        <v>130</v>
      </c>
      <c r="B57" t="s">
        <v>131</v>
      </c>
      <c r="C57" s="4">
        <v>45153</v>
      </c>
      <c r="D57">
        <v>386747.78</v>
      </c>
      <c r="E57" t="s">
        <v>10</v>
      </c>
      <c r="F57" t="s">
        <v>11</v>
      </c>
      <c r="G57" t="s">
        <v>12</v>
      </c>
      <c r="H57">
        <v>45</v>
      </c>
    </row>
    <row r="58" spans="1:8" x14ac:dyDescent="0.3">
      <c r="A58" t="s">
        <v>132</v>
      </c>
      <c r="B58" t="s">
        <v>133</v>
      </c>
      <c r="C58" s="4">
        <v>45330</v>
      </c>
      <c r="D58">
        <v>182099.71</v>
      </c>
      <c r="E58" t="s">
        <v>15</v>
      </c>
      <c r="F58" t="s">
        <v>34</v>
      </c>
      <c r="G58" t="s">
        <v>12</v>
      </c>
      <c r="H58">
        <v>12</v>
      </c>
    </row>
    <row r="59" spans="1:8" x14ac:dyDescent="0.3">
      <c r="A59" t="s">
        <v>134</v>
      </c>
      <c r="B59" t="s">
        <v>135</v>
      </c>
      <c r="C59" s="4">
        <v>45568</v>
      </c>
      <c r="D59">
        <v>405963.06</v>
      </c>
      <c r="E59" t="s">
        <v>15</v>
      </c>
      <c r="F59" t="s">
        <v>23</v>
      </c>
      <c r="G59" t="s">
        <v>12</v>
      </c>
      <c r="H59">
        <v>26</v>
      </c>
    </row>
    <row r="60" spans="1:8" x14ac:dyDescent="0.3">
      <c r="A60" t="s">
        <v>136</v>
      </c>
      <c r="B60" t="s">
        <v>137</v>
      </c>
      <c r="C60" s="4">
        <v>44889</v>
      </c>
      <c r="D60">
        <v>243607.52</v>
      </c>
      <c r="E60" t="s">
        <v>19</v>
      </c>
      <c r="F60" t="s">
        <v>16</v>
      </c>
      <c r="G60" t="s">
        <v>24</v>
      </c>
      <c r="H60">
        <v>52</v>
      </c>
    </row>
    <row r="61" spans="1:8" x14ac:dyDescent="0.3">
      <c r="A61" t="s">
        <v>138</v>
      </c>
      <c r="B61" t="s">
        <v>139</v>
      </c>
      <c r="C61" s="4">
        <v>44427</v>
      </c>
      <c r="D61">
        <v>498110.26</v>
      </c>
      <c r="E61" t="s">
        <v>15</v>
      </c>
      <c r="F61" t="s">
        <v>16</v>
      </c>
      <c r="G61" t="s">
        <v>24</v>
      </c>
      <c r="H61">
        <v>29</v>
      </c>
    </row>
    <row r="62" spans="1:8" x14ac:dyDescent="0.3">
      <c r="A62" t="s">
        <v>140</v>
      </c>
      <c r="B62" t="s">
        <v>141</v>
      </c>
      <c r="C62" s="4">
        <v>45515</v>
      </c>
      <c r="D62">
        <v>269337.03000000003</v>
      </c>
      <c r="E62" t="s">
        <v>19</v>
      </c>
      <c r="F62" t="s">
        <v>34</v>
      </c>
      <c r="G62" t="s">
        <v>12</v>
      </c>
      <c r="H62">
        <v>59</v>
      </c>
    </row>
    <row r="63" spans="1:8" x14ac:dyDescent="0.3">
      <c r="A63" t="s">
        <v>142</v>
      </c>
      <c r="B63" t="s">
        <v>143</v>
      </c>
      <c r="C63" s="4">
        <v>45698</v>
      </c>
      <c r="D63">
        <v>86152.38</v>
      </c>
      <c r="E63" t="s">
        <v>19</v>
      </c>
      <c r="F63" t="s">
        <v>34</v>
      </c>
      <c r="G63" t="s">
        <v>12</v>
      </c>
      <c r="H63">
        <v>36</v>
      </c>
    </row>
    <row r="64" spans="1:8" x14ac:dyDescent="0.3">
      <c r="A64" t="s">
        <v>144</v>
      </c>
      <c r="B64" t="s">
        <v>145</v>
      </c>
      <c r="C64" s="4">
        <v>45457</v>
      </c>
      <c r="D64">
        <v>411616.47</v>
      </c>
      <c r="E64" t="s">
        <v>15</v>
      </c>
      <c r="F64" t="s">
        <v>16</v>
      </c>
      <c r="G64" t="s">
        <v>24</v>
      </c>
      <c r="H64">
        <v>8</v>
      </c>
    </row>
    <row r="65" spans="1:8" x14ac:dyDescent="0.3">
      <c r="A65" t="s">
        <v>146</v>
      </c>
      <c r="B65" t="s">
        <v>147</v>
      </c>
      <c r="C65" s="4">
        <v>45628</v>
      </c>
      <c r="D65">
        <v>345978.75</v>
      </c>
      <c r="E65" t="s">
        <v>10</v>
      </c>
      <c r="F65" t="s">
        <v>11</v>
      </c>
      <c r="G65" t="s">
        <v>12</v>
      </c>
      <c r="H65">
        <v>9</v>
      </c>
    </row>
    <row r="66" spans="1:8" x14ac:dyDescent="0.3">
      <c r="A66" t="s">
        <v>148</v>
      </c>
      <c r="B66" t="s">
        <v>149</v>
      </c>
      <c r="C66" s="4">
        <v>45531</v>
      </c>
      <c r="D66">
        <v>48118.03</v>
      </c>
      <c r="E66" t="s">
        <v>19</v>
      </c>
      <c r="F66" t="s">
        <v>34</v>
      </c>
      <c r="G66" t="s">
        <v>12</v>
      </c>
      <c r="H66">
        <v>18</v>
      </c>
    </row>
    <row r="67" spans="1:8" x14ac:dyDescent="0.3">
      <c r="A67" t="s">
        <v>150</v>
      </c>
      <c r="B67" t="s">
        <v>151</v>
      </c>
      <c r="C67" s="4">
        <v>45482</v>
      </c>
      <c r="D67">
        <v>308159.53999999998</v>
      </c>
      <c r="E67" t="s">
        <v>15</v>
      </c>
      <c r="F67" t="s">
        <v>20</v>
      </c>
      <c r="G67" t="s">
        <v>12</v>
      </c>
      <c r="H67">
        <v>17</v>
      </c>
    </row>
    <row r="68" spans="1:8" x14ac:dyDescent="0.3">
      <c r="A68" t="s">
        <v>152</v>
      </c>
      <c r="B68" t="s">
        <v>153</v>
      </c>
      <c r="C68" s="4">
        <v>45469</v>
      </c>
      <c r="D68">
        <v>97264.45</v>
      </c>
      <c r="E68" t="s">
        <v>19</v>
      </c>
      <c r="F68" t="s">
        <v>20</v>
      </c>
      <c r="G68" t="s">
        <v>24</v>
      </c>
      <c r="H68">
        <v>10</v>
      </c>
    </row>
    <row r="69" spans="1:8" x14ac:dyDescent="0.3">
      <c r="A69" t="s">
        <v>154</v>
      </c>
      <c r="B69" t="s">
        <v>155</v>
      </c>
      <c r="C69" s="4">
        <v>45154</v>
      </c>
      <c r="D69">
        <v>128300.14</v>
      </c>
      <c r="E69" t="s">
        <v>15</v>
      </c>
      <c r="F69" t="s">
        <v>20</v>
      </c>
      <c r="G69" t="s">
        <v>12</v>
      </c>
      <c r="H69">
        <v>42</v>
      </c>
    </row>
    <row r="70" spans="1:8" x14ac:dyDescent="0.3">
      <c r="A70" t="s">
        <v>156</v>
      </c>
      <c r="B70" t="s">
        <v>157</v>
      </c>
      <c r="C70" s="4">
        <v>45205</v>
      </c>
      <c r="D70">
        <v>462147.09</v>
      </c>
      <c r="E70" t="s">
        <v>10</v>
      </c>
      <c r="F70" t="s">
        <v>11</v>
      </c>
      <c r="G70" t="s">
        <v>12</v>
      </c>
      <c r="H70">
        <v>44</v>
      </c>
    </row>
    <row r="71" spans="1:8" x14ac:dyDescent="0.3">
      <c r="A71" t="s">
        <v>158</v>
      </c>
      <c r="B71" t="s">
        <v>159</v>
      </c>
      <c r="C71" s="4">
        <v>45341</v>
      </c>
      <c r="D71">
        <v>192823.07</v>
      </c>
      <c r="E71" t="s">
        <v>19</v>
      </c>
      <c r="F71" t="s">
        <v>23</v>
      </c>
      <c r="G71" t="s">
        <v>24</v>
      </c>
      <c r="H71">
        <v>50</v>
      </c>
    </row>
    <row r="72" spans="1:8" x14ac:dyDescent="0.3">
      <c r="A72" t="s">
        <v>160</v>
      </c>
      <c r="B72" t="s">
        <v>161</v>
      </c>
      <c r="C72" s="4">
        <v>45459</v>
      </c>
      <c r="D72">
        <v>88266.82</v>
      </c>
      <c r="E72" t="s">
        <v>15</v>
      </c>
      <c r="F72" t="s">
        <v>16</v>
      </c>
      <c r="G72" t="s">
        <v>12</v>
      </c>
      <c r="H72">
        <v>12</v>
      </c>
    </row>
    <row r="73" spans="1:8" x14ac:dyDescent="0.3">
      <c r="A73" t="s">
        <v>162</v>
      </c>
      <c r="B73" t="s">
        <v>163</v>
      </c>
      <c r="C73" s="4">
        <v>45458</v>
      </c>
      <c r="D73">
        <v>16861.39</v>
      </c>
      <c r="E73" t="s">
        <v>10</v>
      </c>
      <c r="F73" t="s">
        <v>11</v>
      </c>
      <c r="G73" t="s">
        <v>12</v>
      </c>
      <c r="H73">
        <v>19</v>
      </c>
    </row>
    <row r="74" spans="1:8" x14ac:dyDescent="0.3">
      <c r="A74" t="s">
        <v>164</v>
      </c>
      <c r="B74" t="s">
        <v>165</v>
      </c>
      <c r="C74" s="4">
        <v>45527</v>
      </c>
      <c r="D74">
        <v>309197.71000000002</v>
      </c>
      <c r="E74" t="s">
        <v>19</v>
      </c>
      <c r="F74" t="s">
        <v>23</v>
      </c>
      <c r="G74" t="s">
        <v>12</v>
      </c>
      <c r="H74">
        <v>4</v>
      </c>
    </row>
    <row r="75" spans="1:8" x14ac:dyDescent="0.3">
      <c r="A75" t="s">
        <v>166</v>
      </c>
      <c r="B75" t="s">
        <v>167</v>
      </c>
      <c r="C75" s="4">
        <v>45545</v>
      </c>
      <c r="D75">
        <v>50005.2</v>
      </c>
      <c r="E75" t="s">
        <v>10</v>
      </c>
      <c r="F75" t="s">
        <v>34</v>
      </c>
      <c r="G75" t="s">
        <v>12</v>
      </c>
      <c r="H75">
        <v>42</v>
      </c>
    </row>
    <row r="76" spans="1:8" x14ac:dyDescent="0.3">
      <c r="A76" t="s">
        <v>168</v>
      </c>
      <c r="B76" t="s">
        <v>169</v>
      </c>
      <c r="C76" s="4">
        <v>45157</v>
      </c>
      <c r="D76">
        <v>26489.24</v>
      </c>
      <c r="E76" t="s">
        <v>15</v>
      </c>
      <c r="F76" t="s">
        <v>23</v>
      </c>
      <c r="G76" t="s">
        <v>24</v>
      </c>
      <c r="H76">
        <v>32</v>
      </c>
    </row>
    <row r="77" spans="1:8" x14ac:dyDescent="0.3">
      <c r="A77" t="s">
        <v>170</v>
      </c>
      <c r="B77" t="s">
        <v>171</v>
      </c>
      <c r="C77" s="4">
        <v>45210</v>
      </c>
      <c r="D77">
        <v>336815.69</v>
      </c>
      <c r="E77" t="s">
        <v>19</v>
      </c>
      <c r="F77" t="s">
        <v>20</v>
      </c>
      <c r="G77" t="s">
        <v>24</v>
      </c>
      <c r="H77">
        <v>32</v>
      </c>
    </row>
    <row r="78" spans="1:8" x14ac:dyDescent="0.3">
      <c r="A78" t="s">
        <v>172</v>
      </c>
      <c r="B78" t="s">
        <v>173</v>
      </c>
      <c r="C78" s="4">
        <v>45562</v>
      </c>
      <c r="D78">
        <v>453099.96</v>
      </c>
      <c r="E78" t="s">
        <v>10</v>
      </c>
      <c r="F78" t="s">
        <v>23</v>
      </c>
      <c r="G78" t="s">
        <v>12</v>
      </c>
      <c r="H78">
        <v>21</v>
      </c>
    </row>
    <row r="79" spans="1:8" x14ac:dyDescent="0.3">
      <c r="A79" t="s">
        <v>174</v>
      </c>
      <c r="B79" t="s">
        <v>175</v>
      </c>
      <c r="C79" s="4">
        <v>45262</v>
      </c>
      <c r="D79">
        <v>133918.39999999999</v>
      </c>
      <c r="E79" t="s">
        <v>10</v>
      </c>
      <c r="F79" t="s">
        <v>16</v>
      </c>
      <c r="G79" t="s">
        <v>12</v>
      </c>
      <c r="H79">
        <v>18</v>
      </c>
    </row>
    <row r="80" spans="1:8" x14ac:dyDescent="0.3">
      <c r="A80" t="s">
        <v>176</v>
      </c>
      <c r="B80" t="s">
        <v>177</v>
      </c>
      <c r="C80" s="4">
        <v>45541</v>
      </c>
      <c r="D80">
        <v>121826.81</v>
      </c>
      <c r="E80" t="s">
        <v>10</v>
      </c>
      <c r="F80" t="s">
        <v>34</v>
      </c>
      <c r="G80" t="s">
        <v>12</v>
      </c>
      <c r="H80">
        <v>25</v>
      </c>
    </row>
    <row r="81" spans="1:8" x14ac:dyDescent="0.3">
      <c r="A81" t="s">
        <v>178</v>
      </c>
      <c r="B81" t="s">
        <v>179</v>
      </c>
      <c r="C81" s="4">
        <v>45251</v>
      </c>
      <c r="D81">
        <v>239290.7</v>
      </c>
      <c r="E81" t="s">
        <v>10</v>
      </c>
      <c r="F81" t="s">
        <v>23</v>
      </c>
      <c r="G81" t="s">
        <v>12</v>
      </c>
      <c r="H81">
        <v>57</v>
      </c>
    </row>
    <row r="82" spans="1:8" x14ac:dyDescent="0.3">
      <c r="A82" t="s">
        <v>180</v>
      </c>
      <c r="B82" t="s">
        <v>181</v>
      </c>
      <c r="C82" s="4">
        <v>45344</v>
      </c>
      <c r="D82">
        <v>39974.79</v>
      </c>
      <c r="E82" t="s">
        <v>15</v>
      </c>
      <c r="F82" t="s">
        <v>11</v>
      </c>
      <c r="G82" t="s">
        <v>12</v>
      </c>
      <c r="H82">
        <v>31</v>
      </c>
    </row>
    <row r="83" spans="1:8" x14ac:dyDescent="0.3">
      <c r="A83" t="s">
        <v>182</v>
      </c>
      <c r="B83" t="s">
        <v>183</v>
      </c>
      <c r="C83" s="4">
        <v>45594</v>
      </c>
      <c r="D83">
        <v>40452.32</v>
      </c>
      <c r="E83" t="s">
        <v>10</v>
      </c>
      <c r="F83" t="s">
        <v>23</v>
      </c>
      <c r="G83" t="s">
        <v>24</v>
      </c>
      <c r="H83">
        <v>36</v>
      </c>
    </row>
    <row r="84" spans="1:8" x14ac:dyDescent="0.3">
      <c r="A84" t="s">
        <v>184</v>
      </c>
      <c r="B84" t="s">
        <v>185</v>
      </c>
      <c r="C84" s="4">
        <v>45175</v>
      </c>
      <c r="D84">
        <v>263130.25</v>
      </c>
      <c r="E84" t="s">
        <v>19</v>
      </c>
      <c r="F84" t="s">
        <v>11</v>
      </c>
      <c r="G84" t="s">
        <v>12</v>
      </c>
      <c r="H84">
        <v>43</v>
      </c>
    </row>
    <row r="85" spans="1:8" x14ac:dyDescent="0.3">
      <c r="A85" t="s">
        <v>186</v>
      </c>
      <c r="B85" t="s">
        <v>179</v>
      </c>
      <c r="C85" s="4">
        <v>45313</v>
      </c>
      <c r="D85">
        <v>29898.86</v>
      </c>
      <c r="E85" t="s">
        <v>15</v>
      </c>
      <c r="F85" t="s">
        <v>16</v>
      </c>
      <c r="G85" t="s">
        <v>12</v>
      </c>
      <c r="H85">
        <v>8</v>
      </c>
    </row>
    <row r="86" spans="1:8" x14ac:dyDescent="0.3">
      <c r="A86" t="s">
        <v>187</v>
      </c>
      <c r="B86" t="s">
        <v>188</v>
      </c>
      <c r="C86" s="4">
        <v>44662</v>
      </c>
      <c r="D86">
        <v>259993.08</v>
      </c>
      <c r="E86" t="s">
        <v>10</v>
      </c>
      <c r="F86" t="s">
        <v>23</v>
      </c>
      <c r="G86" t="s">
        <v>24</v>
      </c>
      <c r="H86">
        <v>10</v>
      </c>
    </row>
    <row r="87" spans="1:8" x14ac:dyDescent="0.3">
      <c r="A87" t="s">
        <v>189</v>
      </c>
      <c r="B87" t="s">
        <v>190</v>
      </c>
      <c r="C87" s="4">
        <v>44834</v>
      </c>
      <c r="D87">
        <v>282324.3</v>
      </c>
      <c r="E87" t="s">
        <v>10</v>
      </c>
      <c r="F87" t="s">
        <v>11</v>
      </c>
      <c r="G87" t="s">
        <v>12</v>
      </c>
      <c r="H87">
        <v>16</v>
      </c>
    </row>
    <row r="88" spans="1:8" x14ac:dyDescent="0.3">
      <c r="A88" t="s">
        <v>191</v>
      </c>
      <c r="B88" t="s">
        <v>192</v>
      </c>
      <c r="C88" s="4">
        <v>44565</v>
      </c>
      <c r="D88">
        <v>415196.39</v>
      </c>
      <c r="E88" t="s">
        <v>15</v>
      </c>
      <c r="F88" t="s">
        <v>20</v>
      </c>
      <c r="G88" t="s">
        <v>12</v>
      </c>
      <c r="H88">
        <v>29</v>
      </c>
    </row>
    <row r="89" spans="1:8" x14ac:dyDescent="0.3">
      <c r="A89" t="s">
        <v>193</v>
      </c>
      <c r="B89" t="s">
        <v>194</v>
      </c>
      <c r="C89" s="4">
        <v>45276</v>
      </c>
      <c r="D89">
        <v>362825.55</v>
      </c>
      <c r="E89" t="s">
        <v>19</v>
      </c>
      <c r="F89" t="s">
        <v>20</v>
      </c>
      <c r="G89" t="s">
        <v>24</v>
      </c>
      <c r="H89">
        <v>6</v>
      </c>
    </row>
    <row r="90" spans="1:8" x14ac:dyDescent="0.3">
      <c r="A90" t="s">
        <v>195</v>
      </c>
      <c r="B90" t="s">
        <v>196</v>
      </c>
      <c r="C90" s="4">
        <v>45739</v>
      </c>
      <c r="D90">
        <v>109215.32</v>
      </c>
      <c r="E90" t="s">
        <v>10</v>
      </c>
      <c r="F90" t="s">
        <v>23</v>
      </c>
      <c r="G90" t="s">
        <v>24</v>
      </c>
      <c r="H90">
        <v>46</v>
      </c>
    </row>
    <row r="91" spans="1:8" x14ac:dyDescent="0.3">
      <c r="A91" t="s">
        <v>197</v>
      </c>
      <c r="B91" t="s">
        <v>198</v>
      </c>
      <c r="C91" s="4">
        <v>45475</v>
      </c>
      <c r="D91">
        <v>426039.67</v>
      </c>
      <c r="E91" t="s">
        <v>15</v>
      </c>
      <c r="F91" t="s">
        <v>20</v>
      </c>
      <c r="G91" t="s">
        <v>24</v>
      </c>
      <c r="H91">
        <v>55</v>
      </c>
    </row>
    <row r="92" spans="1:8" x14ac:dyDescent="0.3">
      <c r="A92" t="s">
        <v>199</v>
      </c>
      <c r="B92" t="s">
        <v>119</v>
      </c>
      <c r="C92" s="4">
        <v>45801</v>
      </c>
      <c r="D92">
        <v>102228.31</v>
      </c>
      <c r="E92" t="s">
        <v>19</v>
      </c>
      <c r="F92" t="s">
        <v>23</v>
      </c>
      <c r="G92" t="s">
        <v>12</v>
      </c>
      <c r="H92">
        <v>9</v>
      </c>
    </row>
    <row r="93" spans="1:8" x14ac:dyDescent="0.3">
      <c r="A93" t="s">
        <v>200</v>
      </c>
      <c r="B93" t="s">
        <v>201</v>
      </c>
      <c r="C93" s="4">
        <v>44404</v>
      </c>
      <c r="D93">
        <v>164633.69</v>
      </c>
      <c r="E93" t="s">
        <v>10</v>
      </c>
      <c r="F93" t="s">
        <v>23</v>
      </c>
      <c r="G93" t="s">
        <v>12</v>
      </c>
      <c r="H93">
        <v>28</v>
      </c>
    </row>
    <row r="94" spans="1:8" x14ac:dyDescent="0.3">
      <c r="A94" t="s">
        <v>202</v>
      </c>
      <c r="B94" t="s">
        <v>203</v>
      </c>
      <c r="C94" s="4">
        <v>44792</v>
      </c>
      <c r="D94">
        <v>436651.52000000002</v>
      </c>
      <c r="E94" t="s">
        <v>15</v>
      </c>
      <c r="F94" t="s">
        <v>23</v>
      </c>
      <c r="G94" t="s">
        <v>24</v>
      </c>
      <c r="H94">
        <v>59</v>
      </c>
    </row>
    <row r="95" spans="1:8" x14ac:dyDescent="0.3">
      <c r="A95" t="s">
        <v>204</v>
      </c>
      <c r="B95" t="s">
        <v>205</v>
      </c>
      <c r="C95" s="4">
        <v>45201</v>
      </c>
      <c r="D95">
        <v>217480.8</v>
      </c>
      <c r="E95" t="s">
        <v>15</v>
      </c>
      <c r="F95" t="s">
        <v>16</v>
      </c>
      <c r="G95" t="s">
        <v>12</v>
      </c>
      <c r="H95">
        <v>30</v>
      </c>
    </row>
    <row r="96" spans="1:8" x14ac:dyDescent="0.3">
      <c r="A96" t="s">
        <v>206</v>
      </c>
      <c r="B96" t="s">
        <v>207</v>
      </c>
      <c r="C96" s="4">
        <v>45139</v>
      </c>
      <c r="D96">
        <v>341474.05</v>
      </c>
      <c r="E96" t="s">
        <v>19</v>
      </c>
      <c r="F96" t="s">
        <v>20</v>
      </c>
      <c r="G96" t="s">
        <v>24</v>
      </c>
      <c r="H96">
        <v>12</v>
      </c>
    </row>
    <row r="97" spans="1:8" x14ac:dyDescent="0.3">
      <c r="A97" t="s">
        <v>208</v>
      </c>
      <c r="B97" t="s">
        <v>209</v>
      </c>
      <c r="C97" s="4">
        <v>45207</v>
      </c>
      <c r="D97">
        <v>256398.09</v>
      </c>
      <c r="E97" t="s">
        <v>15</v>
      </c>
      <c r="F97" t="s">
        <v>34</v>
      </c>
      <c r="G97" t="s">
        <v>24</v>
      </c>
      <c r="H97">
        <v>44</v>
      </c>
    </row>
    <row r="98" spans="1:8" x14ac:dyDescent="0.3">
      <c r="A98" t="s">
        <v>210</v>
      </c>
      <c r="B98" t="s">
        <v>211</v>
      </c>
      <c r="C98" s="4">
        <v>44787</v>
      </c>
      <c r="D98">
        <v>10635.02</v>
      </c>
      <c r="E98" t="s">
        <v>15</v>
      </c>
      <c r="F98" t="s">
        <v>34</v>
      </c>
      <c r="G98" t="s">
        <v>12</v>
      </c>
      <c r="H98">
        <v>4</v>
      </c>
    </row>
    <row r="99" spans="1:8" x14ac:dyDescent="0.3">
      <c r="A99" t="s">
        <v>212</v>
      </c>
      <c r="B99" t="s">
        <v>213</v>
      </c>
      <c r="C99" s="4">
        <v>44870</v>
      </c>
      <c r="D99">
        <v>107740.44</v>
      </c>
      <c r="E99" t="s">
        <v>10</v>
      </c>
      <c r="F99" t="s">
        <v>23</v>
      </c>
      <c r="G99" t="s">
        <v>24</v>
      </c>
      <c r="H99">
        <v>12</v>
      </c>
    </row>
    <row r="100" spans="1:8" x14ac:dyDescent="0.3">
      <c r="A100" t="s">
        <v>214</v>
      </c>
      <c r="B100" t="s">
        <v>215</v>
      </c>
      <c r="C100" s="4">
        <v>45328</v>
      </c>
      <c r="D100">
        <v>256866.78</v>
      </c>
      <c r="E100" t="s">
        <v>15</v>
      </c>
      <c r="F100" t="s">
        <v>34</v>
      </c>
      <c r="G100" t="s">
        <v>12</v>
      </c>
      <c r="H100">
        <v>16</v>
      </c>
    </row>
    <row r="101" spans="1:8" x14ac:dyDescent="0.3">
      <c r="A101" t="s">
        <v>216</v>
      </c>
      <c r="B101" t="s">
        <v>217</v>
      </c>
      <c r="C101" s="4">
        <v>45503</v>
      </c>
      <c r="D101">
        <v>458792.01</v>
      </c>
      <c r="E101" t="s">
        <v>10</v>
      </c>
      <c r="F101" t="s">
        <v>34</v>
      </c>
      <c r="G101" t="s">
        <v>24</v>
      </c>
      <c r="H101">
        <v>29</v>
      </c>
    </row>
    <row r="102" spans="1:8" x14ac:dyDescent="0.3">
      <c r="A102" t="s">
        <v>218</v>
      </c>
      <c r="B102" t="s">
        <v>219</v>
      </c>
      <c r="C102" s="4">
        <v>44592</v>
      </c>
      <c r="D102">
        <v>152733.62</v>
      </c>
      <c r="E102" t="s">
        <v>10</v>
      </c>
      <c r="F102" t="s">
        <v>16</v>
      </c>
      <c r="G102" t="s">
        <v>24</v>
      </c>
      <c r="H102">
        <v>9</v>
      </c>
    </row>
    <row r="103" spans="1:8" x14ac:dyDescent="0.3">
      <c r="A103" t="s">
        <v>220</v>
      </c>
      <c r="B103" t="s">
        <v>221</v>
      </c>
      <c r="C103" s="4">
        <v>44971</v>
      </c>
      <c r="D103">
        <v>61139.51</v>
      </c>
      <c r="E103" t="s">
        <v>10</v>
      </c>
      <c r="F103" t="s">
        <v>34</v>
      </c>
      <c r="G103" t="s">
        <v>12</v>
      </c>
      <c r="H103">
        <v>39</v>
      </c>
    </row>
    <row r="104" spans="1:8" x14ac:dyDescent="0.3">
      <c r="A104" t="s">
        <v>222</v>
      </c>
      <c r="B104" t="s">
        <v>223</v>
      </c>
      <c r="C104" s="4">
        <v>45470</v>
      </c>
      <c r="D104">
        <v>476174.32</v>
      </c>
      <c r="E104" t="s">
        <v>19</v>
      </c>
      <c r="F104" t="s">
        <v>34</v>
      </c>
      <c r="G104" t="s">
        <v>12</v>
      </c>
      <c r="H104">
        <v>28</v>
      </c>
    </row>
    <row r="105" spans="1:8" x14ac:dyDescent="0.3">
      <c r="A105" t="s">
        <v>224</v>
      </c>
      <c r="B105" t="s">
        <v>225</v>
      </c>
      <c r="C105" s="4">
        <v>45485</v>
      </c>
      <c r="D105">
        <v>92787.13</v>
      </c>
      <c r="E105" t="s">
        <v>10</v>
      </c>
      <c r="F105" t="s">
        <v>34</v>
      </c>
      <c r="G105" t="s">
        <v>12</v>
      </c>
      <c r="H105">
        <v>28</v>
      </c>
    </row>
    <row r="106" spans="1:8" x14ac:dyDescent="0.3">
      <c r="A106" t="s">
        <v>226</v>
      </c>
      <c r="B106" t="s">
        <v>227</v>
      </c>
      <c r="C106" s="4">
        <v>45369</v>
      </c>
      <c r="D106">
        <v>295545.45</v>
      </c>
      <c r="E106" t="s">
        <v>19</v>
      </c>
      <c r="F106" t="s">
        <v>20</v>
      </c>
      <c r="G106" t="s">
        <v>12</v>
      </c>
      <c r="H106">
        <v>12</v>
      </c>
    </row>
    <row r="107" spans="1:8" x14ac:dyDescent="0.3">
      <c r="A107" t="s">
        <v>228</v>
      </c>
      <c r="B107" t="s">
        <v>229</v>
      </c>
      <c r="C107" s="4">
        <v>45541</v>
      </c>
      <c r="D107">
        <v>306260.24</v>
      </c>
      <c r="E107" t="s">
        <v>15</v>
      </c>
      <c r="F107" t="s">
        <v>23</v>
      </c>
      <c r="G107" t="s">
        <v>12</v>
      </c>
      <c r="H107">
        <v>3</v>
      </c>
    </row>
    <row r="108" spans="1:8" x14ac:dyDescent="0.3">
      <c r="A108" t="s">
        <v>230</v>
      </c>
      <c r="B108" t="s">
        <v>231</v>
      </c>
      <c r="C108" s="4">
        <v>44967</v>
      </c>
      <c r="D108">
        <v>364034.51</v>
      </c>
      <c r="E108" t="s">
        <v>19</v>
      </c>
      <c r="F108" t="s">
        <v>20</v>
      </c>
      <c r="G108" t="s">
        <v>12</v>
      </c>
      <c r="H108">
        <v>28</v>
      </c>
    </row>
    <row r="109" spans="1:8" x14ac:dyDescent="0.3">
      <c r="A109" t="s">
        <v>232</v>
      </c>
      <c r="B109" t="s">
        <v>233</v>
      </c>
      <c r="C109" s="4">
        <v>45774</v>
      </c>
      <c r="D109">
        <v>184869.23</v>
      </c>
      <c r="E109" t="s">
        <v>10</v>
      </c>
      <c r="F109" t="s">
        <v>11</v>
      </c>
      <c r="G109" t="s">
        <v>12</v>
      </c>
      <c r="H109">
        <v>8</v>
      </c>
    </row>
    <row r="110" spans="1:8" x14ac:dyDescent="0.3">
      <c r="A110" t="s">
        <v>234</v>
      </c>
      <c r="B110" t="s">
        <v>235</v>
      </c>
      <c r="C110" s="4">
        <v>44787</v>
      </c>
      <c r="D110">
        <v>221156.11</v>
      </c>
      <c r="E110" t="s">
        <v>19</v>
      </c>
      <c r="F110" t="s">
        <v>23</v>
      </c>
      <c r="G110" t="s">
        <v>24</v>
      </c>
      <c r="H110">
        <v>23</v>
      </c>
    </row>
    <row r="111" spans="1:8" x14ac:dyDescent="0.3">
      <c r="A111" t="s">
        <v>236</v>
      </c>
      <c r="B111" t="s">
        <v>237</v>
      </c>
      <c r="C111" s="4">
        <v>45403</v>
      </c>
      <c r="D111">
        <v>258943.83</v>
      </c>
      <c r="E111" t="s">
        <v>15</v>
      </c>
      <c r="F111" t="s">
        <v>16</v>
      </c>
      <c r="G111" t="s">
        <v>24</v>
      </c>
      <c r="H111">
        <v>52</v>
      </c>
    </row>
    <row r="112" spans="1:8" x14ac:dyDescent="0.3">
      <c r="A112" t="s">
        <v>238</v>
      </c>
      <c r="B112" t="s">
        <v>239</v>
      </c>
      <c r="C112" s="4">
        <v>44115</v>
      </c>
      <c r="D112">
        <v>213356.52</v>
      </c>
      <c r="E112" t="s">
        <v>15</v>
      </c>
      <c r="F112" t="s">
        <v>20</v>
      </c>
      <c r="G112" t="s">
        <v>24</v>
      </c>
      <c r="H112">
        <v>50</v>
      </c>
    </row>
    <row r="113" spans="1:8" x14ac:dyDescent="0.3">
      <c r="A113" t="s">
        <v>240</v>
      </c>
      <c r="B113" t="s">
        <v>241</v>
      </c>
      <c r="C113" s="4">
        <v>45444</v>
      </c>
      <c r="D113">
        <v>112452.52</v>
      </c>
      <c r="E113" t="s">
        <v>19</v>
      </c>
      <c r="F113" t="s">
        <v>34</v>
      </c>
      <c r="G113" t="s">
        <v>12</v>
      </c>
      <c r="H113">
        <v>14</v>
      </c>
    </row>
    <row r="114" spans="1:8" x14ac:dyDescent="0.3">
      <c r="A114" t="s">
        <v>242</v>
      </c>
      <c r="B114" t="s">
        <v>243</v>
      </c>
      <c r="C114" s="4">
        <v>44186</v>
      </c>
      <c r="D114">
        <v>488577.23</v>
      </c>
      <c r="E114" t="s">
        <v>15</v>
      </c>
      <c r="F114" t="s">
        <v>11</v>
      </c>
      <c r="G114" t="s">
        <v>12</v>
      </c>
      <c r="H114">
        <v>12</v>
      </c>
    </row>
    <row r="115" spans="1:8" x14ac:dyDescent="0.3">
      <c r="A115" t="s">
        <v>244</v>
      </c>
      <c r="B115" t="s">
        <v>245</v>
      </c>
      <c r="C115" s="4">
        <v>44907</v>
      </c>
      <c r="D115">
        <v>327390.71000000002</v>
      </c>
      <c r="E115" t="s">
        <v>15</v>
      </c>
      <c r="F115" t="s">
        <v>23</v>
      </c>
      <c r="G115" t="s">
        <v>24</v>
      </c>
      <c r="H115">
        <v>24</v>
      </c>
    </row>
    <row r="116" spans="1:8" x14ac:dyDescent="0.3">
      <c r="A116" t="s">
        <v>246</v>
      </c>
      <c r="B116" t="s">
        <v>70</v>
      </c>
      <c r="C116" s="4">
        <v>45496</v>
      </c>
      <c r="D116">
        <v>135977.79999999999</v>
      </c>
      <c r="E116" t="s">
        <v>19</v>
      </c>
      <c r="F116" t="s">
        <v>34</v>
      </c>
      <c r="G116" t="s">
        <v>12</v>
      </c>
      <c r="H116">
        <v>40</v>
      </c>
    </row>
    <row r="117" spans="1:8" x14ac:dyDescent="0.3">
      <c r="A117" t="s">
        <v>247</v>
      </c>
      <c r="B117" t="s">
        <v>248</v>
      </c>
      <c r="C117" s="4">
        <v>45361</v>
      </c>
      <c r="D117">
        <v>394219.55</v>
      </c>
      <c r="E117" t="s">
        <v>15</v>
      </c>
      <c r="F117" t="s">
        <v>20</v>
      </c>
      <c r="G117" t="s">
        <v>24</v>
      </c>
      <c r="H117">
        <v>42</v>
      </c>
    </row>
    <row r="118" spans="1:8" x14ac:dyDescent="0.3">
      <c r="A118" t="s">
        <v>249</v>
      </c>
      <c r="B118" t="s">
        <v>250</v>
      </c>
      <c r="C118" s="4">
        <v>45372</v>
      </c>
      <c r="D118">
        <v>336857.47</v>
      </c>
      <c r="E118" t="s">
        <v>10</v>
      </c>
      <c r="F118" t="s">
        <v>20</v>
      </c>
      <c r="G118" t="s">
        <v>12</v>
      </c>
      <c r="H118">
        <v>22</v>
      </c>
    </row>
    <row r="119" spans="1:8" x14ac:dyDescent="0.3">
      <c r="A119" t="s">
        <v>251</v>
      </c>
      <c r="B119" t="s">
        <v>252</v>
      </c>
      <c r="C119" s="4">
        <v>45599</v>
      </c>
      <c r="D119">
        <v>247989.67</v>
      </c>
      <c r="E119" t="s">
        <v>19</v>
      </c>
      <c r="F119" t="s">
        <v>11</v>
      </c>
      <c r="G119" t="s">
        <v>24</v>
      </c>
      <c r="H119">
        <v>28</v>
      </c>
    </row>
    <row r="120" spans="1:8" x14ac:dyDescent="0.3">
      <c r="A120" t="s">
        <v>253</v>
      </c>
      <c r="B120" t="s">
        <v>254</v>
      </c>
      <c r="C120" s="4">
        <v>44508</v>
      </c>
      <c r="D120">
        <v>273144.38</v>
      </c>
      <c r="E120" t="s">
        <v>15</v>
      </c>
      <c r="F120" t="s">
        <v>23</v>
      </c>
      <c r="G120" t="s">
        <v>12</v>
      </c>
      <c r="H120">
        <v>46</v>
      </c>
    </row>
    <row r="121" spans="1:8" x14ac:dyDescent="0.3">
      <c r="A121" t="s">
        <v>255</v>
      </c>
      <c r="B121" t="s">
        <v>256</v>
      </c>
      <c r="C121" s="4">
        <v>45395</v>
      </c>
      <c r="D121">
        <v>154687.21</v>
      </c>
      <c r="E121" t="s">
        <v>19</v>
      </c>
      <c r="F121" t="s">
        <v>23</v>
      </c>
      <c r="G121" t="s">
        <v>24</v>
      </c>
      <c r="H121">
        <v>56</v>
      </c>
    </row>
    <row r="122" spans="1:8" x14ac:dyDescent="0.3">
      <c r="A122" t="s">
        <v>257</v>
      </c>
      <c r="B122" t="s">
        <v>258</v>
      </c>
      <c r="C122" s="4">
        <v>45339</v>
      </c>
      <c r="D122">
        <v>457612.09</v>
      </c>
      <c r="E122" t="s">
        <v>15</v>
      </c>
      <c r="F122" t="s">
        <v>11</v>
      </c>
      <c r="G122" t="s">
        <v>12</v>
      </c>
      <c r="H122">
        <v>42</v>
      </c>
    </row>
    <row r="123" spans="1:8" x14ac:dyDescent="0.3">
      <c r="A123" t="s">
        <v>259</v>
      </c>
      <c r="B123" t="s">
        <v>260</v>
      </c>
      <c r="C123" s="4">
        <v>44882</v>
      </c>
      <c r="D123">
        <v>488187.59</v>
      </c>
      <c r="E123" t="s">
        <v>10</v>
      </c>
      <c r="F123" t="s">
        <v>20</v>
      </c>
      <c r="G123" t="s">
        <v>24</v>
      </c>
      <c r="H123">
        <v>34</v>
      </c>
    </row>
    <row r="124" spans="1:8" x14ac:dyDescent="0.3">
      <c r="A124" t="s">
        <v>261</v>
      </c>
      <c r="B124" t="s">
        <v>262</v>
      </c>
      <c r="C124" s="4">
        <v>45582</v>
      </c>
      <c r="D124">
        <v>29479.3</v>
      </c>
      <c r="E124" t="s">
        <v>15</v>
      </c>
      <c r="F124" t="s">
        <v>11</v>
      </c>
      <c r="G124" t="s">
        <v>24</v>
      </c>
      <c r="H124">
        <v>24</v>
      </c>
    </row>
    <row r="125" spans="1:8" x14ac:dyDescent="0.3">
      <c r="A125" t="s">
        <v>263</v>
      </c>
      <c r="B125" t="s">
        <v>264</v>
      </c>
      <c r="C125" s="4">
        <v>45138</v>
      </c>
      <c r="D125">
        <v>163193.93</v>
      </c>
      <c r="E125" t="s">
        <v>10</v>
      </c>
      <c r="F125" t="s">
        <v>20</v>
      </c>
      <c r="G125" t="s">
        <v>12</v>
      </c>
      <c r="H125">
        <v>24</v>
      </c>
    </row>
    <row r="126" spans="1:8" x14ac:dyDescent="0.3">
      <c r="A126" t="s">
        <v>265</v>
      </c>
      <c r="B126" t="s">
        <v>266</v>
      </c>
      <c r="C126" s="4">
        <v>45440</v>
      </c>
      <c r="D126">
        <v>189978.06</v>
      </c>
      <c r="E126" t="s">
        <v>19</v>
      </c>
      <c r="F126" t="s">
        <v>11</v>
      </c>
      <c r="G126" t="s">
        <v>24</v>
      </c>
      <c r="H126">
        <v>7</v>
      </c>
    </row>
    <row r="127" spans="1:8" x14ac:dyDescent="0.3">
      <c r="A127" t="s">
        <v>267</v>
      </c>
      <c r="B127" t="s">
        <v>268</v>
      </c>
      <c r="C127" s="4">
        <v>45477</v>
      </c>
      <c r="D127">
        <v>328753.52</v>
      </c>
      <c r="E127" t="s">
        <v>15</v>
      </c>
      <c r="F127" t="s">
        <v>11</v>
      </c>
      <c r="G127" t="s">
        <v>12</v>
      </c>
      <c r="H127">
        <v>3</v>
      </c>
    </row>
    <row r="128" spans="1:8" x14ac:dyDescent="0.3">
      <c r="A128" t="s">
        <v>269</v>
      </c>
      <c r="B128" t="s">
        <v>270</v>
      </c>
      <c r="C128" s="4">
        <v>45435</v>
      </c>
      <c r="D128">
        <v>321517.03999999998</v>
      </c>
      <c r="E128" t="s">
        <v>10</v>
      </c>
      <c r="F128" t="s">
        <v>20</v>
      </c>
      <c r="G128" t="s">
        <v>24</v>
      </c>
      <c r="H128">
        <v>58</v>
      </c>
    </row>
    <row r="129" spans="1:8" x14ac:dyDescent="0.3">
      <c r="A129" t="s">
        <v>271</v>
      </c>
      <c r="B129" t="s">
        <v>272</v>
      </c>
      <c r="C129" s="4">
        <v>45587</v>
      </c>
      <c r="D129">
        <v>262646.40999999997</v>
      </c>
      <c r="E129" t="s">
        <v>19</v>
      </c>
      <c r="F129" t="s">
        <v>11</v>
      </c>
      <c r="G129" t="s">
        <v>12</v>
      </c>
      <c r="H129">
        <v>59</v>
      </c>
    </row>
    <row r="130" spans="1:8" x14ac:dyDescent="0.3">
      <c r="A130" t="s">
        <v>273</v>
      </c>
      <c r="B130" t="s">
        <v>274</v>
      </c>
      <c r="C130" s="4">
        <v>45184</v>
      </c>
      <c r="D130">
        <v>33763.5</v>
      </c>
      <c r="E130" t="s">
        <v>19</v>
      </c>
      <c r="F130" t="s">
        <v>11</v>
      </c>
      <c r="G130" t="s">
        <v>24</v>
      </c>
      <c r="H130">
        <v>43</v>
      </c>
    </row>
    <row r="131" spans="1:8" x14ac:dyDescent="0.3">
      <c r="A131" t="s">
        <v>275</v>
      </c>
      <c r="B131" t="s">
        <v>276</v>
      </c>
      <c r="C131" s="4">
        <v>45120</v>
      </c>
      <c r="D131">
        <v>77044.320000000007</v>
      </c>
      <c r="E131" t="s">
        <v>15</v>
      </c>
      <c r="F131" t="s">
        <v>16</v>
      </c>
      <c r="G131" t="s">
        <v>24</v>
      </c>
      <c r="H131">
        <v>53</v>
      </c>
    </row>
    <row r="132" spans="1:8" x14ac:dyDescent="0.3">
      <c r="A132" t="s">
        <v>277</v>
      </c>
      <c r="B132" t="s">
        <v>278</v>
      </c>
      <c r="C132" s="4">
        <v>45703</v>
      </c>
      <c r="D132">
        <v>339920.91</v>
      </c>
      <c r="E132" t="s">
        <v>10</v>
      </c>
      <c r="F132" t="s">
        <v>11</v>
      </c>
      <c r="G132" t="s">
        <v>12</v>
      </c>
      <c r="H132">
        <v>4</v>
      </c>
    </row>
    <row r="133" spans="1:8" x14ac:dyDescent="0.3">
      <c r="A133" t="s">
        <v>279</v>
      </c>
      <c r="B133" t="s">
        <v>280</v>
      </c>
      <c r="C133" s="4">
        <v>44643</v>
      </c>
      <c r="D133">
        <v>372678.92</v>
      </c>
      <c r="E133" t="s">
        <v>10</v>
      </c>
      <c r="F133" t="s">
        <v>16</v>
      </c>
      <c r="G133" t="s">
        <v>12</v>
      </c>
      <c r="H133">
        <v>33</v>
      </c>
    </row>
    <row r="134" spans="1:8" x14ac:dyDescent="0.3">
      <c r="A134" t="s">
        <v>281</v>
      </c>
      <c r="B134" t="s">
        <v>282</v>
      </c>
      <c r="C134" s="4">
        <v>44798</v>
      </c>
      <c r="D134">
        <v>31637.5</v>
      </c>
      <c r="E134" t="s">
        <v>10</v>
      </c>
      <c r="F134" t="s">
        <v>20</v>
      </c>
      <c r="G134" t="s">
        <v>24</v>
      </c>
      <c r="H134">
        <v>26</v>
      </c>
    </row>
    <row r="135" spans="1:8" x14ac:dyDescent="0.3">
      <c r="A135" t="s">
        <v>283</v>
      </c>
      <c r="B135" t="s">
        <v>284</v>
      </c>
      <c r="C135" s="4">
        <v>45020</v>
      </c>
      <c r="D135">
        <v>149235.4</v>
      </c>
      <c r="E135" t="s">
        <v>10</v>
      </c>
      <c r="F135" t="s">
        <v>34</v>
      </c>
      <c r="G135" t="s">
        <v>24</v>
      </c>
      <c r="H135">
        <v>20</v>
      </c>
    </row>
    <row r="136" spans="1:8" x14ac:dyDescent="0.3">
      <c r="A136" t="s">
        <v>285</v>
      </c>
      <c r="B136" t="s">
        <v>286</v>
      </c>
      <c r="C136" s="4">
        <v>44813</v>
      </c>
      <c r="D136">
        <v>48669.74</v>
      </c>
      <c r="E136" t="s">
        <v>19</v>
      </c>
      <c r="F136" t="s">
        <v>16</v>
      </c>
      <c r="G136" t="s">
        <v>24</v>
      </c>
      <c r="H136">
        <v>48</v>
      </c>
    </row>
    <row r="137" spans="1:8" x14ac:dyDescent="0.3">
      <c r="A137" t="s">
        <v>287</v>
      </c>
      <c r="B137" t="s">
        <v>288</v>
      </c>
      <c r="C137" s="4">
        <v>44562</v>
      </c>
      <c r="D137">
        <v>482295.33</v>
      </c>
      <c r="E137" t="s">
        <v>19</v>
      </c>
      <c r="F137" t="s">
        <v>11</v>
      </c>
      <c r="G137" t="s">
        <v>24</v>
      </c>
      <c r="H137">
        <v>52</v>
      </c>
    </row>
    <row r="138" spans="1:8" x14ac:dyDescent="0.3">
      <c r="A138" t="s">
        <v>289</v>
      </c>
      <c r="B138" t="s">
        <v>290</v>
      </c>
      <c r="C138" s="4">
        <v>44789</v>
      </c>
      <c r="D138">
        <v>67178.490000000005</v>
      </c>
      <c r="E138" t="s">
        <v>19</v>
      </c>
      <c r="F138" t="s">
        <v>16</v>
      </c>
      <c r="G138" t="s">
        <v>24</v>
      </c>
      <c r="H138">
        <v>9</v>
      </c>
    </row>
    <row r="139" spans="1:8" x14ac:dyDescent="0.3">
      <c r="A139" t="s">
        <v>291</v>
      </c>
      <c r="B139" t="s">
        <v>292</v>
      </c>
      <c r="C139" s="4">
        <v>45322</v>
      </c>
      <c r="D139">
        <v>440231.31</v>
      </c>
      <c r="E139" t="s">
        <v>19</v>
      </c>
      <c r="F139" t="s">
        <v>20</v>
      </c>
      <c r="G139" t="s">
        <v>24</v>
      </c>
      <c r="H139">
        <v>34</v>
      </c>
    </row>
    <row r="140" spans="1:8" x14ac:dyDescent="0.3">
      <c r="A140" t="s">
        <v>293</v>
      </c>
      <c r="B140" t="s">
        <v>294</v>
      </c>
      <c r="C140" s="4">
        <v>44677</v>
      </c>
      <c r="D140">
        <v>194724.57</v>
      </c>
      <c r="E140" t="s">
        <v>10</v>
      </c>
      <c r="F140" t="s">
        <v>34</v>
      </c>
      <c r="G140" t="s">
        <v>12</v>
      </c>
      <c r="H140">
        <v>19</v>
      </c>
    </row>
    <row r="141" spans="1:8" x14ac:dyDescent="0.3">
      <c r="A141" t="s">
        <v>295</v>
      </c>
      <c r="B141" t="s">
        <v>155</v>
      </c>
      <c r="C141" s="4">
        <v>45209</v>
      </c>
      <c r="D141">
        <v>152037.89000000001</v>
      </c>
      <c r="E141" t="s">
        <v>15</v>
      </c>
      <c r="F141" t="s">
        <v>20</v>
      </c>
      <c r="G141" t="s">
        <v>24</v>
      </c>
      <c r="H141">
        <v>16</v>
      </c>
    </row>
    <row r="142" spans="1:8" x14ac:dyDescent="0.3">
      <c r="A142" t="s">
        <v>296</v>
      </c>
      <c r="B142" t="s">
        <v>297</v>
      </c>
      <c r="C142" s="4">
        <v>45273</v>
      </c>
      <c r="D142">
        <v>330986.68</v>
      </c>
      <c r="E142" t="s">
        <v>10</v>
      </c>
      <c r="F142" t="s">
        <v>34</v>
      </c>
      <c r="G142" t="s">
        <v>12</v>
      </c>
      <c r="H142">
        <v>54</v>
      </c>
    </row>
    <row r="143" spans="1:8" x14ac:dyDescent="0.3">
      <c r="A143" t="s">
        <v>298</v>
      </c>
      <c r="B143" t="s">
        <v>299</v>
      </c>
      <c r="C143" s="4">
        <v>44972</v>
      </c>
      <c r="D143">
        <v>56257.37</v>
      </c>
      <c r="E143" t="s">
        <v>15</v>
      </c>
      <c r="F143" t="s">
        <v>34</v>
      </c>
      <c r="G143" t="s">
        <v>12</v>
      </c>
      <c r="H143">
        <v>3</v>
      </c>
    </row>
    <row r="144" spans="1:8" x14ac:dyDescent="0.3">
      <c r="A144" t="s">
        <v>300</v>
      </c>
      <c r="B144" t="s">
        <v>301</v>
      </c>
      <c r="C144" s="4">
        <v>45240</v>
      </c>
      <c r="D144">
        <v>261627.82</v>
      </c>
      <c r="E144" t="s">
        <v>15</v>
      </c>
      <c r="F144" t="s">
        <v>16</v>
      </c>
      <c r="G144" t="s">
        <v>24</v>
      </c>
      <c r="H144">
        <v>17</v>
      </c>
    </row>
    <row r="145" spans="1:8" x14ac:dyDescent="0.3">
      <c r="A145" t="s">
        <v>302</v>
      </c>
      <c r="B145" t="s">
        <v>303</v>
      </c>
      <c r="C145" s="4">
        <v>45466</v>
      </c>
      <c r="D145">
        <v>101663.74</v>
      </c>
      <c r="E145" t="s">
        <v>10</v>
      </c>
      <c r="F145" t="s">
        <v>16</v>
      </c>
      <c r="G145" t="s">
        <v>12</v>
      </c>
      <c r="H145">
        <v>17</v>
      </c>
    </row>
    <row r="146" spans="1:8" x14ac:dyDescent="0.3">
      <c r="A146" t="s">
        <v>304</v>
      </c>
      <c r="B146" t="s">
        <v>305</v>
      </c>
      <c r="C146" s="4">
        <v>45308</v>
      </c>
      <c r="D146">
        <v>308304.73</v>
      </c>
      <c r="E146" t="s">
        <v>19</v>
      </c>
      <c r="F146" t="s">
        <v>23</v>
      </c>
      <c r="G146" t="s">
        <v>12</v>
      </c>
      <c r="H146">
        <v>18</v>
      </c>
    </row>
    <row r="147" spans="1:8" x14ac:dyDescent="0.3">
      <c r="A147" t="s">
        <v>306</v>
      </c>
      <c r="B147" t="s">
        <v>307</v>
      </c>
      <c r="C147" s="4">
        <v>44960</v>
      </c>
      <c r="D147">
        <v>207683.66</v>
      </c>
      <c r="E147" t="s">
        <v>15</v>
      </c>
      <c r="F147" t="s">
        <v>16</v>
      </c>
      <c r="G147" t="s">
        <v>12</v>
      </c>
      <c r="H147">
        <v>42</v>
      </c>
    </row>
    <row r="148" spans="1:8" x14ac:dyDescent="0.3">
      <c r="A148" t="s">
        <v>308</v>
      </c>
      <c r="B148" t="s">
        <v>309</v>
      </c>
      <c r="C148" s="4">
        <v>45104</v>
      </c>
      <c r="D148">
        <v>356339.89</v>
      </c>
      <c r="E148" t="s">
        <v>15</v>
      </c>
      <c r="F148" t="s">
        <v>20</v>
      </c>
      <c r="G148" t="s">
        <v>24</v>
      </c>
      <c r="H148">
        <v>34</v>
      </c>
    </row>
    <row r="149" spans="1:8" x14ac:dyDescent="0.3">
      <c r="A149" t="s">
        <v>310</v>
      </c>
      <c r="B149" t="s">
        <v>311</v>
      </c>
      <c r="C149" s="4">
        <v>44553</v>
      </c>
      <c r="D149">
        <v>447750.98</v>
      </c>
      <c r="E149" t="s">
        <v>15</v>
      </c>
      <c r="F149" t="s">
        <v>11</v>
      </c>
      <c r="G149" t="s">
        <v>12</v>
      </c>
      <c r="H149">
        <v>44</v>
      </c>
    </row>
    <row r="150" spans="1:8" x14ac:dyDescent="0.3">
      <c r="A150" t="s">
        <v>312</v>
      </c>
      <c r="B150" t="s">
        <v>313</v>
      </c>
      <c r="C150" s="4">
        <v>45578</v>
      </c>
      <c r="D150">
        <v>455651.57</v>
      </c>
      <c r="E150" t="s">
        <v>19</v>
      </c>
      <c r="F150" t="s">
        <v>34</v>
      </c>
      <c r="G150" t="s">
        <v>24</v>
      </c>
      <c r="H150">
        <v>4</v>
      </c>
    </row>
    <row r="151" spans="1:8" x14ac:dyDescent="0.3">
      <c r="A151" t="s">
        <v>314</v>
      </c>
      <c r="B151" t="s">
        <v>270</v>
      </c>
      <c r="C151" s="4">
        <v>45083</v>
      </c>
      <c r="D151">
        <v>450164.55</v>
      </c>
      <c r="E151" t="s">
        <v>19</v>
      </c>
      <c r="F151" t="s">
        <v>20</v>
      </c>
      <c r="G151" t="s">
        <v>24</v>
      </c>
      <c r="H151">
        <v>3</v>
      </c>
    </row>
    <row r="152" spans="1:8" x14ac:dyDescent="0.3">
      <c r="A152" t="s">
        <v>315</v>
      </c>
      <c r="B152" t="s">
        <v>316</v>
      </c>
      <c r="C152" s="4">
        <v>45490</v>
      </c>
      <c r="D152">
        <v>81896.600000000006</v>
      </c>
      <c r="E152" t="s">
        <v>19</v>
      </c>
      <c r="F152" t="s">
        <v>23</v>
      </c>
      <c r="G152" t="s">
        <v>12</v>
      </c>
      <c r="H152">
        <v>2</v>
      </c>
    </row>
    <row r="153" spans="1:8" x14ac:dyDescent="0.3">
      <c r="A153" t="s">
        <v>317</v>
      </c>
      <c r="B153" t="s">
        <v>318</v>
      </c>
      <c r="C153" s="4">
        <v>45142</v>
      </c>
      <c r="D153">
        <v>353734.5</v>
      </c>
      <c r="E153" t="s">
        <v>15</v>
      </c>
      <c r="F153" t="s">
        <v>34</v>
      </c>
      <c r="G153" t="s">
        <v>24</v>
      </c>
      <c r="H153">
        <v>37</v>
      </c>
    </row>
    <row r="154" spans="1:8" x14ac:dyDescent="0.3">
      <c r="A154" t="s">
        <v>319</v>
      </c>
      <c r="B154" t="s">
        <v>320</v>
      </c>
      <c r="C154" s="4">
        <v>45451</v>
      </c>
      <c r="D154">
        <v>395342.72</v>
      </c>
      <c r="E154" t="s">
        <v>10</v>
      </c>
      <c r="F154" t="s">
        <v>23</v>
      </c>
      <c r="G154" t="s">
        <v>24</v>
      </c>
      <c r="H154">
        <v>47</v>
      </c>
    </row>
    <row r="155" spans="1:8" x14ac:dyDescent="0.3">
      <c r="A155" t="s">
        <v>321</v>
      </c>
      <c r="B155" t="s">
        <v>322</v>
      </c>
      <c r="C155" s="4">
        <v>44321</v>
      </c>
      <c r="D155">
        <v>494578.94</v>
      </c>
      <c r="E155" t="s">
        <v>15</v>
      </c>
      <c r="F155" t="s">
        <v>11</v>
      </c>
      <c r="G155" t="s">
        <v>24</v>
      </c>
      <c r="H155">
        <v>22</v>
      </c>
    </row>
    <row r="156" spans="1:8" x14ac:dyDescent="0.3">
      <c r="A156" t="s">
        <v>323</v>
      </c>
      <c r="B156" t="s">
        <v>324</v>
      </c>
      <c r="C156" s="4">
        <v>44756</v>
      </c>
      <c r="D156">
        <v>245270.42</v>
      </c>
      <c r="E156" t="s">
        <v>15</v>
      </c>
      <c r="F156" t="s">
        <v>20</v>
      </c>
      <c r="G156" t="s">
        <v>12</v>
      </c>
      <c r="H156">
        <v>29</v>
      </c>
    </row>
    <row r="157" spans="1:8" x14ac:dyDescent="0.3">
      <c r="A157" t="s">
        <v>325</v>
      </c>
      <c r="B157" t="s">
        <v>243</v>
      </c>
      <c r="C157" s="4">
        <v>45212</v>
      </c>
      <c r="D157">
        <v>101342.84</v>
      </c>
      <c r="E157" t="s">
        <v>15</v>
      </c>
      <c r="F157" t="s">
        <v>23</v>
      </c>
      <c r="G157" t="s">
        <v>12</v>
      </c>
      <c r="H157">
        <v>28</v>
      </c>
    </row>
    <row r="158" spans="1:8" x14ac:dyDescent="0.3">
      <c r="A158" t="s">
        <v>326</v>
      </c>
      <c r="B158" t="s">
        <v>327</v>
      </c>
      <c r="C158" s="4">
        <v>45496</v>
      </c>
      <c r="D158">
        <v>340497.59</v>
      </c>
      <c r="E158" t="s">
        <v>10</v>
      </c>
      <c r="F158" t="s">
        <v>34</v>
      </c>
      <c r="G158" t="s">
        <v>24</v>
      </c>
      <c r="H158">
        <v>52</v>
      </c>
    </row>
    <row r="159" spans="1:8" x14ac:dyDescent="0.3">
      <c r="A159" t="s">
        <v>328</v>
      </c>
      <c r="B159" t="s">
        <v>211</v>
      </c>
      <c r="C159" s="4">
        <v>44820</v>
      </c>
      <c r="D159">
        <v>114187.16</v>
      </c>
      <c r="E159" t="s">
        <v>15</v>
      </c>
      <c r="F159" t="s">
        <v>16</v>
      </c>
      <c r="G159" t="s">
        <v>12</v>
      </c>
      <c r="H159">
        <v>35</v>
      </c>
    </row>
    <row r="160" spans="1:8" x14ac:dyDescent="0.3">
      <c r="A160" t="s">
        <v>329</v>
      </c>
      <c r="B160" t="s">
        <v>330</v>
      </c>
      <c r="C160" s="4">
        <v>44974</v>
      </c>
      <c r="D160">
        <v>282092.68</v>
      </c>
      <c r="E160" t="s">
        <v>10</v>
      </c>
      <c r="F160" t="s">
        <v>20</v>
      </c>
      <c r="G160" t="s">
        <v>12</v>
      </c>
      <c r="H160">
        <v>13</v>
      </c>
    </row>
    <row r="161" spans="1:8" x14ac:dyDescent="0.3">
      <c r="A161" t="s">
        <v>331</v>
      </c>
      <c r="B161" t="s">
        <v>332</v>
      </c>
      <c r="C161" s="4">
        <v>44751</v>
      </c>
      <c r="D161">
        <v>336832.73</v>
      </c>
      <c r="E161" t="s">
        <v>10</v>
      </c>
      <c r="F161" t="s">
        <v>11</v>
      </c>
      <c r="G161" t="s">
        <v>12</v>
      </c>
      <c r="H161">
        <v>55</v>
      </c>
    </row>
    <row r="162" spans="1:8" x14ac:dyDescent="0.3">
      <c r="A162" t="s">
        <v>333</v>
      </c>
      <c r="B162" t="s">
        <v>334</v>
      </c>
      <c r="C162" s="4">
        <v>44412</v>
      </c>
      <c r="D162">
        <v>291861</v>
      </c>
      <c r="E162" t="s">
        <v>15</v>
      </c>
      <c r="F162" t="s">
        <v>16</v>
      </c>
      <c r="G162" t="s">
        <v>12</v>
      </c>
      <c r="H162">
        <v>3</v>
      </c>
    </row>
    <row r="163" spans="1:8" x14ac:dyDescent="0.3">
      <c r="A163" t="s">
        <v>335</v>
      </c>
      <c r="B163" t="s">
        <v>336</v>
      </c>
      <c r="C163" s="4">
        <v>45513</v>
      </c>
      <c r="D163">
        <v>427818.99</v>
      </c>
      <c r="E163" t="s">
        <v>10</v>
      </c>
      <c r="F163" t="s">
        <v>23</v>
      </c>
      <c r="G163" t="s">
        <v>12</v>
      </c>
      <c r="H163">
        <v>44</v>
      </c>
    </row>
    <row r="164" spans="1:8" x14ac:dyDescent="0.3">
      <c r="A164" t="s">
        <v>337</v>
      </c>
      <c r="B164" t="s">
        <v>338</v>
      </c>
      <c r="C164" s="4">
        <v>45318</v>
      </c>
      <c r="D164">
        <v>457507.89</v>
      </c>
      <c r="E164" t="s">
        <v>15</v>
      </c>
      <c r="F164" t="s">
        <v>20</v>
      </c>
      <c r="G164" t="s">
        <v>12</v>
      </c>
      <c r="H164">
        <v>35</v>
      </c>
    </row>
    <row r="165" spans="1:8" x14ac:dyDescent="0.3">
      <c r="A165" t="s">
        <v>339</v>
      </c>
      <c r="B165" t="s">
        <v>340</v>
      </c>
      <c r="C165" s="4">
        <v>45448</v>
      </c>
      <c r="D165">
        <v>493129.9</v>
      </c>
      <c r="E165" t="s">
        <v>15</v>
      </c>
      <c r="F165" t="s">
        <v>16</v>
      </c>
      <c r="G165" t="s">
        <v>24</v>
      </c>
      <c r="H165">
        <v>38</v>
      </c>
    </row>
    <row r="166" spans="1:8" x14ac:dyDescent="0.3">
      <c r="A166" t="s">
        <v>341</v>
      </c>
      <c r="B166" t="s">
        <v>342</v>
      </c>
      <c r="C166" s="4">
        <v>45405</v>
      </c>
      <c r="D166">
        <v>185218.51</v>
      </c>
      <c r="E166" t="s">
        <v>19</v>
      </c>
      <c r="F166" t="s">
        <v>20</v>
      </c>
      <c r="G166" t="s">
        <v>12</v>
      </c>
      <c r="H166">
        <v>9</v>
      </c>
    </row>
    <row r="167" spans="1:8" x14ac:dyDescent="0.3">
      <c r="A167" t="s">
        <v>343</v>
      </c>
      <c r="B167" t="s">
        <v>344</v>
      </c>
      <c r="C167" s="4">
        <v>44741</v>
      </c>
      <c r="D167">
        <v>115903.76</v>
      </c>
      <c r="E167" t="s">
        <v>15</v>
      </c>
      <c r="F167" t="s">
        <v>34</v>
      </c>
      <c r="G167" t="s">
        <v>12</v>
      </c>
      <c r="H167">
        <v>35</v>
      </c>
    </row>
    <row r="168" spans="1:8" x14ac:dyDescent="0.3">
      <c r="A168" t="s">
        <v>345</v>
      </c>
      <c r="B168" t="s">
        <v>346</v>
      </c>
      <c r="C168" s="4">
        <v>45413</v>
      </c>
      <c r="D168">
        <v>393178.33</v>
      </c>
      <c r="E168" t="s">
        <v>15</v>
      </c>
      <c r="F168" t="s">
        <v>20</v>
      </c>
      <c r="G168" t="s">
        <v>24</v>
      </c>
      <c r="H168">
        <v>7</v>
      </c>
    </row>
    <row r="169" spans="1:8" x14ac:dyDescent="0.3">
      <c r="A169" t="s">
        <v>347</v>
      </c>
      <c r="B169" t="s">
        <v>348</v>
      </c>
      <c r="C169" s="4">
        <v>45305</v>
      </c>
      <c r="D169">
        <v>190001.79</v>
      </c>
      <c r="E169" t="s">
        <v>15</v>
      </c>
      <c r="F169" t="s">
        <v>20</v>
      </c>
      <c r="G169" t="s">
        <v>24</v>
      </c>
      <c r="H169">
        <v>51</v>
      </c>
    </row>
    <row r="170" spans="1:8" x14ac:dyDescent="0.3">
      <c r="A170" t="s">
        <v>349</v>
      </c>
      <c r="B170" t="s">
        <v>350</v>
      </c>
      <c r="C170" s="4">
        <v>45439</v>
      </c>
      <c r="D170">
        <v>366097.3</v>
      </c>
      <c r="E170" t="s">
        <v>19</v>
      </c>
      <c r="F170" t="s">
        <v>20</v>
      </c>
      <c r="G170" t="s">
        <v>24</v>
      </c>
      <c r="H170">
        <v>49</v>
      </c>
    </row>
    <row r="171" spans="1:8" x14ac:dyDescent="0.3">
      <c r="A171" t="s">
        <v>351</v>
      </c>
      <c r="B171" t="s">
        <v>352</v>
      </c>
      <c r="C171" s="4">
        <v>44218</v>
      </c>
      <c r="D171">
        <v>433352.03</v>
      </c>
      <c r="E171" t="s">
        <v>19</v>
      </c>
      <c r="F171" t="s">
        <v>16</v>
      </c>
      <c r="G171" t="s">
        <v>12</v>
      </c>
      <c r="H171">
        <v>29</v>
      </c>
    </row>
    <row r="172" spans="1:8" x14ac:dyDescent="0.3">
      <c r="A172" t="s">
        <v>353</v>
      </c>
      <c r="B172" t="s">
        <v>354</v>
      </c>
      <c r="C172" s="4">
        <v>45279</v>
      </c>
      <c r="D172">
        <v>412188.8</v>
      </c>
      <c r="E172" t="s">
        <v>10</v>
      </c>
      <c r="F172" t="s">
        <v>23</v>
      </c>
      <c r="G172" t="s">
        <v>12</v>
      </c>
      <c r="H172">
        <v>25</v>
      </c>
    </row>
    <row r="173" spans="1:8" x14ac:dyDescent="0.3">
      <c r="A173" t="s">
        <v>355</v>
      </c>
      <c r="B173" t="s">
        <v>356</v>
      </c>
      <c r="C173" s="4">
        <v>45318</v>
      </c>
      <c r="D173">
        <v>467606.14</v>
      </c>
      <c r="E173" t="s">
        <v>15</v>
      </c>
      <c r="F173" t="s">
        <v>11</v>
      </c>
      <c r="G173" t="s">
        <v>24</v>
      </c>
      <c r="H173">
        <v>15</v>
      </c>
    </row>
    <row r="174" spans="1:8" x14ac:dyDescent="0.3">
      <c r="A174" t="s">
        <v>357</v>
      </c>
      <c r="B174" t="s">
        <v>358</v>
      </c>
      <c r="C174" s="4">
        <v>45182</v>
      </c>
      <c r="D174">
        <v>126099.15</v>
      </c>
      <c r="E174" t="s">
        <v>19</v>
      </c>
      <c r="F174" t="s">
        <v>23</v>
      </c>
      <c r="G174" t="s">
        <v>12</v>
      </c>
      <c r="H174">
        <v>50</v>
      </c>
    </row>
    <row r="175" spans="1:8" x14ac:dyDescent="0.3">
      <c r="A175" t="s">
        <v>359</v>
      </c>
      <c r="B175" t="s">
        <v>360</v>
      </c>
      <c r="C175" s="4">
        <v>45434</v>
      </c>
      <c r="D175">
        <v>449234.45</v>
      </c>
      <c r="E175" t="s">
        <v>15</v>
      </c>
      <c r="F175" t="s">
        <v>16</v>
      </c>
      <c r="G175" t="s">
        <v>12</v>
      </c>
      <c r="H175">
        <v>50</v>
      </c>
    </row>
    <row r="176" spans="1:8" x14ac:dyDescent="0.3">
      <c r="A176" t="s">
        <v>361</v>
      </c>
      <c r="B176" t="s">
        <v>362</v>
      </c>
      <c r="C176" s="4">
        <v>44691</v>
      </c>
      <c r="D176">
        <v>405661.21</v>
      </c>
      <c r="E176" t="s">
        <v>10</v>
      </c>
      <c r="F176" t="s">
        <v>20</v>
      </c>
      <c r="G176" t="s">
        <v>12</v>
      </c>
      <c r="H176">
        <v>31</v>
      </c>
    </row>
    <row r="177" spans="1:8" x14ac:dyDescent="0.3">
      <c r="A177" t="s">
        <v>363</v>
      </c>
      <c r="B177" t="s">
        <v>364</v>
      </c>
      <c r="C177" s="4">
        <v>45300</v>
      </c>
      <c r="D177">
        <v>272997.51</v>
      </c>
      <c r="E177" t="s">
        <v>10</v>
      </c>
      <c r="F177" t="s">
        <v>34</v>
      </c>
      <c r="G177" t="s">
        <v>12</v>
      </c>
      <c r="H177">
        <v>43</v>
      </c>
    </row>
    <row r="178" spans="1:8" x14ac:dyDescent="0.3">
      <c r="A178" t="s">
        <v>365</v>
      </c>
      <c r="B178" t="s">
        <v>366</v>
      </c>
      <c r="C178" s="4">
        <v>44987</v>
      </c>
      <c r="D178">
        <v>49245.39</v>
      </c>
      <c r="E178" t="s">
        <v>19</v>
      </c>
      <c r="F178" t="s">
        <v>34</v>
      </c>
      <c r="G178" t="s">
        <v>12</v>
      </c>
      <c r="H178">
        <v>57</v>
      </c>
    </row>
    <row r="179" spans="1:8" x14ac:dyDescent="0.3">
      <c r="A179" t="s">
        <v>367</v>
      </c>
      <c r="B179" t="s">
        <v>368</v>
      </c>
      <c r="C179" s="4">
        <v>45174</v>
      </c>
      <c r="D179">
        <v>447811.8</v>
      </c>
      <c r="E179" t="s">
        <v>15</v>
      </c>
      <c r="F179" t="s">
        <v>23</v>
      </c>
      <c r="G179" t="s">
        <v>24</v>
      </c>
      <c r="H179">
        <v>57</v>
      </c>
    </row>
    <row r="180" spans="1:8" x14ac:dyDescent="0.3">
      <c r="A180" t="s">
        <v>369</v>
      </c>
      <c r="B180" t="s">
        <v>370</v>
      </c>
      <c r="C180" s="4">
        <v>44610</v>
      </c>
      <c r="D180">
        <v>184987.88</v>
      </c>
      <c r="E180" t="s">
        <v>15</v>
      </c>
      <c r="F180" t="s">
        <v>34</v>
      </c>
      <c r="G180" t="s">
        <v>24</v>
      </c>
      <c r="H180">
        <v>50</v>
      </c>
    </row>
    <row r="181" spans="1:8" x14ac:dyDescent="0.3">
      <c r="A181" t="s">
        <v>371</v>
      </c>
      <c r="B181" t="s">
        <v>372</v>
      </c>
      <c r="C181" s="4">
        <v>45481</v>
      </c>
      <c r="D181">
        <v>406639.31</v>
      </c>
      <c r="E181" t="s">
        <v>19</v>
      </c>
      <c r="F181" t="s">
        <v>11</v>
      </c>
      <c r="G181" t="s">
        <v>12</v>
      </c>
      <c r="H181">
        <v>36</v>
      </c>
    </row>
    <row r="182" spans="1:8" x14ac:dyDescent="0.3">
      <c r="A182" t="s">
        <v>373</v>
      </c>
      <c r="B182" t="s">
        <v>374</v>
      </c>
      <c r="C182" s="4">
        <v>45530</v>
      </c>
      <c r="D182">
        <v>457481.83</v>
      </c>
      <c r="E182" t="s">
        <v>15</v>
      </c>
      <c r="F182" t="s">
        <v>20</v>
      </c>
      <c r="G182" t="s">
        <v>24</v>
      </c>
      <c r="H182">
        <v>44</v>
      </c>
    </row>
    <row r="183" spans="1:8" x14ac:dyDescent="0.3">
      <c r="A183" t="s">
        <v>375</v>
      </c>
      <c r="B183" t="s">
        <v>376</v>
      </c>
      <c r="C183" s="4">
        <v>45183</v>
      </c>
      <c r="D183">
        <v>59758.77</v>
      </c>
      <c r="E183" t="s">
        <v>19</v>
      </c>
      <c r="F183" t="s">
        <v>34</v>
      </c>
      <c r="G183" t="s">
        <v>24</v>
      </c>
      <c r="H183">
        <v>50</v>
      </c>
    </row>
    <row r="184" spans="1:8" x14ac:dyDescent="0.3">
      <c r="A184" t="s">
        <v>377</v>
      </c>
      <c r="B184" t="s">
        <v>378</v>
      </c>
      <c r="C184" s="4">
        <v>45466</v>
      </c>
      <c r="D184">
        <v>78435.73</v>
      </c>
      <c r="E184" t="s">
        <v>10</v>
      </c>
      <c r="F184" t="s">
        <v>20</v>
      </c>
      <c r="G184" t="s">
        <v>12</v>
      </c>
      <c r="H184">
        <v>28</v>
      </c>
    </row>
    <row r="185" spans="1:8" x14ac:dyDescent="0.3">
      <c r="A185" t="s">
        <v>379</v>
      </c>
      <c r="B185" t="s">
        <v>380</v>
      </c>
      <c r="C185" s="4">
        <v>45342</v>
      </c>
      <c r="D185">
        <v>402854.59</v>
      </c>
      <c r="E185" t="s">
        <v>19</v>
      </c>
      <c r="F185" t="s">
        <v>20</v>
      </c>
      <c r="G185" t="s">
        <v>24</v>
      </c>
      <c r="H185">
        <v>34</v>
      </c>
    </row>
    <row r="186" spans="1:8" x14ac:dyDescent="0.3">
      <c r="A186" t="s">
        <v>381</v>
      </c>
      <c r="B186" t="s">
        <v>382</v>
      </c>
      <c r="C186" s="4">
        <v>45732</v>
      </c>
      <c r="D186">
        <v>318254.95</v>
      </c>
      <c r="E186" t="s">
        <v>19</v>
      </c>
      <c r="F186" t="s">
        <v>11</v>
      </c>
      <c r="G186" t="s">
        <v>12</v>
      </c>
      <c r="H186">
        <v>22</v>
      </c>
    </row>
    <row r="187" spans="1:8" x14ac:dyDescent="0.3">
      <c r="A187" t="s">
        <v>383</v>
      </c>
      <c r="B187" t="s">
        <v>384</v>
      </c>
      <c r="C187" s="4">
        <v>45219</v>
      </c>
      <c r="D187">
        <v>267764.89</v>
      </c>
      <c r="E187" t="s">
        <v>19</v>
      </c>
      <c r="F187" t="s">
        <v>23</v>
      </c>
      <c r="G187" t="s">
        <v>24</v>
      </c>
      <c r="H187">
        <v>35</v>
      </c>
    </row>
    <row r="188" spans="1:8" x14ac:dyDescent="0.3">
      <c r="A188" t="s">
        <v>385</v>
      </c>
      <c r="B188" t="s">
        <v>386</v>
      </c>
      <c r="C188" s="4">
        <v>44463</v>
      </c>
      <c r="D188">
        <v>309627.51</v>
      </c>
      <c r="E188" t="s">
        <v>10</v>
      </c>
      <c r="F188" t="s">
        <v>16</v>
      </c>
      <c r="G188" t="s">
        <v>24</v>
      </c>
      <c r="H188">
        <v>21</v>
      </c>
    </row>
    <row r="189" spans="1:8" x14ac:dyDescent="0.3">
      <c r="A189" t="s">
        <v>387</v>
      </c>
      <c r="B189" t="s">
        <v>388</v>
      </c>
      <c r="C189" s="4">
        <v>44790</v>
      </c>
      <c r="D189">
        <v>133966.5</v>
      </c>
      <c r="E189" t="s">
        <v>15</v>
      </c>
      <c r="F189" t="s">
        <v>11</v>
      </c>
      <c r="G189" t="s">
        <v>24</v>
      </c>
      <c r="H189">
        <v>16</v>
      </c>
    </row>
    <row r="190" spans="1:8" x14ac:dyDescent="0.3">
      <c r="A190" t="s">
        <v>389</v>
      </c>
      <c r="B190" t="s">
        <v>390</v>
      </c>
      <c r="C190" s="4">
        <v>44749</v>
      </c>
      <c r="D190">
        <v>304419.8</v>
      </c>
      <c r="E190" t="s">
        <v>15</v>
      </c>
      <c r="F190" t="s">
        <v>11</v>
      </c>
      <c r="G190" t="s">
        <v>24</v>
      </c>
      <c r="H190">
        <v>58</v>
      </c>
    </row>
    <row r="191" spans="1:8" x14ac:dyDescent="0.3">
      <c r="A191" t="s">
        <v>391</v>
      </c>
      <c r="B191" t="s">
        <v>392</v>
      </c>
      <c r="C191" s="4">
        <v>44817</v>
      </c>
      <c r="D191">
        <v>57482.06</v>
      </c>
      <c r="E191" t="s">
        <v>10</v>
      </c>
      <c r="F191" t="s">
        <v>20</v>
      </c>
      <c r="G191" t="s">
        <v>12</v>
      </c>
      <c r="H191">
        <v>58</v>
      </c>
    </row>
    <row r="192" spans="1:8" x14ac:dyDescent="0.3">
      <c r="A192" t="s">
        <v>393</v>
      </c>
      <c r="B192" t="s">
        <v>394</v>
      </c>
      <c r="C192" s="4">
        <v>45541</v>
      </c>
      <c r="D192">
        <v>455029.32</v>
      </c>
      <c r="E192" t="s">
        <v>15</v>
      </c>
      <c r="F192" t="s">
        <v>23</v>
      </c>
      <c r="G192" t="s">
        <v>12</v>
      </c>
      <c r="H192">
        <v>39</v>
      </c>
    </row>
    <row r="193" spans="1:8" x14ac:dyDescent="0.3">
      <c r="A193" t="s">
        <v>395</v>
      </c>
      <c r="B193" t="s">
        <v>396</v>
      </c>
      <c r="C193" s="4">
        <v>45749</v>
      </c>
      <c r="D193">
        <v>476956.81</v>
      </c>
      <c r="E193" t="s">
        <v>15</v>
      </c>
      <c r="F193" t="s">
        <v>20</v>
      </c>
      <c r="G193" t="s">
        <v>24</v>
      </c>
      <c r="H193">
        <v>18</v>
      </c>
    </row>
    <row r="194" spans="1:8" x14ac:dyDescent="0.3">
      <c r="A194" t="s">
        <v>397</v>
      </c>
      <c r="B194" t="s">
        <v>398</v>
      </c>
      <c r="C194" s="4">
        <v>45043</v>
      </c>
      <c r="D194">
        <v>94138.78</v>
      </c>
      <c r="E194" t="s">
        <v>10</v>
      </c>
      <c r="F194" t="s">
        <v>20</v>
      </c>
      <c r="G194" t="s">
        <v>12</v>
      </c>
      <c r="H194">
        <v>41</v>
      </c>
    </row>
    <row r="195" spans="1:8" x14ac:dyDescent="0.3">
      <c r="A195" t="s">
        <v>399</v>
      </c>
      <c r="B195" t="s">
        <v>400</v>
      </c>
      <c r="C195" s="4">
        <v>44640</v>
      </c>
      <c r="D195">
        <v>356676.7</v>
      </c>
      <c r="E195" t="s">
        <v>15</v>
      </c>
      <c r="F195" t="s">
        <v>20</v>
      </c>
      <c r="G195" t="s">
        <v>12</v>
      </c>
      <c r="H195">
        <v>39</v>
      </c>
    </row>
    <row r="196" spans="1:8" x14ac:dyDescent="0.3">
      <c r="A196" t="s">
        <v>401</v>
      </c>
      <c r="B196" t="s">
        <v>402</v>
      </c>
      <c r="C196" s="4">
        <v>45004</v>
      </c>
      <c r="D196">
        <v>367641.93</v>
      </c>
      <c r="E196" t="s">
        <v>10</v>
      </c>
      <c r="F196" t="s">
        <v>34</v>
      </c>
      <c r="G196" t="s">
        <v>24</v>
      </c>
      <c r="H196">
        <v>38</v>
      </c>
    </row>
    <row r="197" spans="1:8" x14ac:dyDescent="0.3">
      <c r="A197" t="s">
        <v>403</v>
      </c>
      <c r="B197" t="s">
        <v>404</v>
      </c>
      <c r="C197" s="4">
        <v>45121</v>
      </c>
      <c r="D197">
        <v>484327.59</v>
      </c>
      <c r="E197" t="s">
        <v>15</v>
      </c>
      <c r="F197" t="s">
        <v>20</v>
      </c>
      <c r="G197" t="s">
        <v>24</v>
      </c>
      <c r="H197">
        <v>2</v>
      </c>
    </row>
    <row r="198" spans="1:8" x14ac:dyDescent="0.3">
      <c r="A198" t="s">
        <v>405</v>
      </c>
      <c r="B198" t="s">
        <v>406</v>
      </c>
      <c r="C198" s="4">
        <v>45189</v>
      </c>
      <c r="D198">
        <v>38339.699999999997</v>
      </c>
      <c r="E198" t="s">
        <v>15</v>
      </c>
      <c r="F198" t="s">
        <v>23</v>
      </c>
      <c r="G198" t="s">
        <v>12</v>
      </c>
      <c r="H198">
        <v>3</v>
      </c>
    </row>
    <row r="199" spans="1:8" x14ac:dyDescent="0.3">
      <c r="A199" t="s">
        <v>407</v>
      </c>
      <c r="B199" t="s">
        <v>408</v>
      </c>
      <c r="C199" s="4">
        <v>45236</v>
      </c>
      <c r="D199">
        <v>264250.76</v>
      </c>
      <c r="E199" t="s">
        <v>19</v>
      </c>
      <c r="F199" t="s">
        <v>20</v>
      </c>
      <c r="G199" t="s">
        <v>12</v>
      </c>
      <c r="H199">
        <v>13</v>
      </c>
    </row>
    <row r="200" spans="1:8" x14ac:dyDescent="0.3">
      <c r="A200" t="s">
        <v>409</v>
      </c>
      <c r="B200" t="s">
        <v>410</v>
      </c>
      <c r="C200" s="4">
        <v>45197</v>
      </c>
      <c r="D200">
        <v>287492.87</v>
      </c>
      <c r="E200" t="s">
        <v>10</v>
      </c>
      <c r="F200" t="s">
        <v>34</v>
      </c>
      <c r="G200" t="s">
        <v>24</v>
      </c>
      <c r="H200">
        <v>58</v>
      </c>
    </row>
    <row r="201" spans="1:8" x14ac:dyDescent="0.3">
      <c r="A201" t="s">
        <v>411</v>
      </c>
      <c r="B201" t="s">
        <v>412</v>
      </c>
      <c r="C201" s="4">
        <v>45476</v>
      </c>
      <c r="D201">
        <v>104562.49</v>
      </c>
      <c r="E201" t="s">
        <v>15</v>
      </c>
      <c r="F201" t="s">
        <v>23</v>
      </c>
      <c r="G201" t="s">
        <v>12</v>
      </c>
      <c r="H201">
        <v>11</v>
      </c>
    </row>
    <row r="202" spans="1:8" x14ac:dyDescent="0.3">
      <c r="A202" t="s">
        <v>413</v>
      </c>
      <c r="B202" t="s">
        <v>414</v>
      </c>
      <c r="C202" s="4">
        <v>45209</v>
      </c>
      <c r="D202">
        <v>129279.97</v>
      </c>
      <c r="E202" t="s">
        <v>19</v>
      </c>
      <c r="F202" t="s">
        <v>16</v>
      </c>
      <c r="G202" t="s">
        <v>12</v>
      </c>
      <c r="H202">
        <v>30</v>
      </c>
    </row>
    <row r="203" spans="1:8" x14ac:dyDescent="0.3">
      <c r="A203" t="s">
        <v>415</v>
      </c>
      <c r="B203" t="s">
        <v>416</v>
      </c>
      <c r="C203" s="4">
        <v>44667</v>
      </c>
      <c r="D203">
        <v>37067.339999999997</v>
      </c>
      <c r="E203" t="s">
        <v>15</v>
      </c>
      <c r="F203" t="s">
        <v>23</v>
      </c>
      <c r="G203" t="s">
        <v>24</v>
      </c>
      <c r="H203">
        <v>46</v>
      </c>
    </row>
    <row r="204" spans="1:8" x14ac:dyDescent="0.3">
      <c r="A204" t="s">
        <v>417</v>
      </c>
      <c r="B204" t="s">
        <v>418</v>
      </c>
      <c r="C204" s="4">
        <v>45428</v>
      </c>
      <c r="D204">
        <v>493334.36</v>
      </c>
      <c r="E204" t="s">
        <v>10</v>
      </c>
      <c r="F204" t="s">
        <v>23</v>
      </c>
      <c r="G204" t="s">
        <v>24</v>
      </c>
      <c r="H204">
        <v>30</v>
      </c>
    </row>
    <row r="205" spans="1:8" x14ac:dyDescent="0.3">
      <c r="A205" t="s">
        <v>419</v>
      </c>
      <c r="B205" t="s">
        <v>420</v>
      </c>
      <c r="C205" s="4">
        <v>45303</v>
      </c>
      <c r="D205">
        <v>73512.63</v>
      </c>
      <c r="E205" t="s">
        <v>15</v>
      </c>
      <c r="F205" t="s">
        <v>20</v>
      </c>
      <c r="G205" t="s">
        <v>24</v>
      </c>
      <c r="H205">
        <v>22</v>
      </c>
    </row>
    <row r="206" spans="1:8" x14ac:dyDescent="0.3">
      <c r="A206" t="s">
        <v>421</v>
      </c>
      <c r="B206" t="s">
        <v>422</v>
      </c>
      <c r="C206" s="4">
        <v>45054</v>
      </c>
      <c r="D206">
        <v>85769.61</v>
      </c>
      <c r="E206" t="s">
        <v>10</v>
      </c>
      <c r="F206" t="s">
        <v>23</v>
      </c>
      <c r="G206" t="s">
        <v>24</v>
      </c>
      <c r="H206">
        <v>32</v>
      </c>
    </row>
    <row r="207" spans="1:8" x14ac:dyDescent="0.3">
      <c r="A207" t="s">
        <v>423</v>
      </c>
      <c r="B207" t="s">
        <v>424</v>
      </c>
      <c r="C207" s="4">
        <v>45261</v>
      </c>
      <c r="D207">
        <v>233959.67999999999</v>
      </c>
      <c r="E207" t="s">
        <v>10</v>
      </c>
      <c r="F207" t="s">
        <v>20</v>
      </c>
      <c r="G207" t="s">
        <v>24</v>
      </c>
      <c r="H207">
        <v>41</v>
      </c>
    </row>
    <row r="208" spans="1:8" x14ac:dyDescent="0.3">
      <c r="A208" t="s">
        <v>425</v>
      </c>
      <c r="B208" t="s">
        <v>426</v>
      </c>
      <c r="C208" s="4">
        <v>45462</v>
      </c>
      <c r="D208">
        <v>114582.05</v>
      </c>
      <c r="E208" t="s">
        <v>15</v>
      </c>
      <c r="F208" t="s">
        <v>23</v>
      </c>
      <c r="G208" t="s">
        <v>24</v>
      </c>
      <c r="H208">
        <v>29</v>
      </c>
    </row>
    <row r="209" spans="1:8" x14ac:dyDescent="0.3">
      <c r="A209" t="s">
        <v>427</v>
      </c>
      <c r="B209" t="s">
        <v>428</v>
      </c>
      <c r="C209" s="4">
        <v>45553</v>
      </c>
      <c r="D209">
        <v>387845.4</v>
      </c>
      <c r="E209" t="s">
        <v>10</v>
      </c>
      <c r="F209" t="s">
        <v>34</v>
      </c>
      <c r="G209" t="s">
        <v>12</v>
      </c>
      <c r="H209">
        <v>59</v>
      </c>
    </row>
    <row r="210" spans="1:8" x14ac:dyDescent="0.3">
      <c r="A210" t="s">
        <v>429</v>
      </c>
      <c r="B210" t="s">
        <v>430</v>
      </c>
      <c r="C210" s="4">
        <v>44765</v>
      </c>
      <c r="D210">
        <v>258879.73</v>
      </c>
      <c r="E210" t="s">
        <v>10</v>
      </c>
      <c r="F210" t="s">
        <v>23</v>
      </c>
      <c r="G210" t="s">
        <v>12</v>
      </c>
      <c r="H210">
        <v>45</v>
      </c>
    </row>
    <row r="211" spans="1:8" x14ac:dyDescent="0.3">
      <c r="A211" t="s">
        <v>431</v>
      </c>
      <c r="B211" t="s">
        <v>432</v>
      </c>
      <c r="C211" s="4">
        <v>45015</v>
      </c>
      <c r="D211">
        <v>65520.15</v>
      </c>
      <c r="E211" t="s">
        <v>19</v>
      </c>
      <c r="F211" t="s">
        <v>11</v>
      </c>
      <c r="G211" t="s">
        <v>12</v>
      </c>
      <c r="H211">
        <v>39</v>
      </c>
    </row>
    <row r="212" spans="1:8" x14ac:dyDescent="0.3">
      <c r="A212" t="s">
        <v>433</v>
      </c>
      <c r="B212" t="s">
        <v>434</v>
      </c>
      <c r="C212" s="4">
        <v>45410</v>
      </c>
      <c r="D212">
        <v>196494.94</v>
      </c>
      <c r="E212" t="s">
        <v>10</v>
      </c>
      <c r="F212" t="s">
        <v>20</v>
      </c>
      <c r="G212" t="s">
        <v>24</v>
      </c>
      <c r="H212">
        <v>43</v>
      </c>
    </row>
    <row r="213" spans="1:8" x14ac:dyDescent="0.3">
      <c r="A213" t="s">
        <v>435</v>
      </c>
      <c r="B213" t="s">
        <v>368</v>
      </c>
      <c r="C213" s="4">
        <v>44953</v>
      </c>
      <c r="D213">
        <v>322079.89</v>
      </c>
      <c r="E213" t="s">
        <v>10</v>
      </c>
      <c r="F213" t="s">
        <v>34</v>
      </c>
      <c r="G213" t="s">
        <v>12</v>
      </c>
      <c r="H213">
        <v>35</v>
      </c>
    </row>
    <row r="214" spans="1:8" x14ac:dyDescent="0.3">
      <c r="A214" t="s">
        <v>436</v>
      </c>
      <c r="B214" t="s">
        <v>437</v>
      </c>
      <c r="C214" s="4">
        <v>45249</v>
      </c>
      <c r="D214">
        <v>214631.35</v>
      </c>
      <c r="E214" t="s">
        <v>10</v>
      </c>
      <c r="F214" t="s">
        <v>16</v>
      </c>
      <c r="G214" t="s">
        <v>12</v>
      </c>
      <c r="H214">
        <v>7</v>
      </c>
    </row>
    <row r="215" spans="1:8" x14ac:dyDescent="0.3">
      <c r="A215" t="s">
        <v>438</v>
      </c>
      <c r="B215" t="s">
        <v>439</v>
      </c>
      <c r="C215" s="4">
        <v>45514</v>
      </c>
      <c r="D215">
        <v>277848.06</v>
      </c>
      <c r="E215" t="s">
        <v>10</v>
      </c>
      <c r="F215" t="s">
        <v>20</v>
      </c>
      <c r="G215" t="s">
        <v>24</v>
      </c>
      <c r="H215">
        <v>42</v>
      </c>
    </row>
    <row r="216" spans="1:8" x14ac:dyDescent="0.3">
      <c r="A216" t="s">
        <v>440</v>
      </c>
      <c r="B216" t="s">
        <v>441</v>
      </c>
      <c r="C216" s="4">
        <v>45425</v>
      </c>
      <c r="D216">
        <v>292666.33</v>
      </c>
      <c r="E216" t="s">
        <v>15</v>
      </c>
      <c r="F216" t="s">
        <v>20</v>
      </c>
      <c r="G216" t="s">
        <v>12</v>
      </c>
      <c r="H216">
        <v>27</v>
      </c>
    </row>
    <row r="217" spans="1:8" x14ac:dyDescent="0.3">
      <c r="A217" t="s">
        <v>442</v>
      </c>
      <c r="B217" t="s">
        <v>443</v>
      </c>
      <c r="C217" s="4">
        <v>45643</v>
      </c>
      <c r="D217">
        <v>148607.14000000001</v>
      </c>
      <c r="E217" t="s">
        <v>19</v>
      </c>
      <c r="F217" t="s">
        <v>20</v>
      </c>
      <c r="G217" t="s">
        <v>24</v>
      </c>
      <c r="H217">
        <v>33</v>
      </c>
    </row>
    <row r="218" spans="1:8" x14ac:dyDescent="0.3">
      <c r="A218" t="s">
        <v>444</v>
      </c>
      <c r="B218" t="s">
        <v>445</v>
      </c>
      <c r="C218" s="4">
        <v>45369</v>
      </c>
      <c r="D218">
        <v>452035.42</v>
      </c>
      <c r="E218" t="s">
        <v>10</v>
      </c>
      <c r="F218" t="s">
        <v>23</v>
      </c>
      <c r="G218" t="s">
        <v>12</v>
      </c>
      <c r="H218">
        <v>48</v>
      </c>
    </row>
    <row r="219" spans="1:8" x14ac:dyDescent="0.3">
      <c r="A219" t="s">
        <v>446</v>
      </c>
      <c r="B219" t="s">
        <v>447</v>
      </c>
      <c r="C219" s="4">
        <v>45348</v>
      </c>
      <c r="D219">
        <v>195376.45</v>
      </c>
      <c r="E219" t="s">
        <v>19</v>
      </c>
      <c r="F219" t="s">
        <v>11</v>
      </c>
      <c r="G219" t="s">
        <v>24</v>
      </c>
      <c r="H219">
        <v>55</v>
      </c>
    </row>
    <row r="220" spans="1:8" x14ac:dyDescent="0.3">
      <c r="A220" t="s">
        <v>448</v>
      </c>
      <c r="B220" t="s">
        <v>449</v>
      </c>
      <c r="C220" s="4">
        <v>45376</v>
      </c>
      <c r="D220">
        <v>461141.71</v>
      </c>
      <c r="E220" t="s">
        <v>19</v>
      </c>
      <c r="F220" t="s">
        <v>20</v>
      </c>
      <c r="G220" t="s">
        <v>12</v>
      </c>
      <c r="H220">
        <v>35</v>
      </c>
    </row>
    <row r="221" spans="1:8" x14ac:dyDescent="0.3">
      <c r="A221" t="s">
        <v>450</v>
      </c>
      <c r="B221" t="s">
        <v>451</v>
      </c>
      <c r="C221" s="4">
        <v>45837</v>
      </c>
      <c r="D221">
        <v>45462.26</v>
      </c>
      <c r="E221" t="s">
        <v>15</v>
      </c>
      <c r="F221" t="s">
        <v>34</v>
      </c>
      <c r="G221" t="s">
        <v>24</v>
      </c>
      <c r="H221">
        <v>10</v>
      </c>
    </row>
    <row r="222" spans="1:8" x14ac:dyDescent="0.3">
      <c r="A222" t="s">
        <v>452</v>
      </c>
      <c r="B222" t="s">
        <v>453</v>
      </c>
      <c r="C222" s="4">
        <v>44176</v>
      </c>
      <c r="D222">
        <v>56771.81</v>
      </c>
      <c r="E222" t="s">
        <v>15</v>
      </c>
      <c r="F222" t="s">
        <v>34</v>
      </c>
      <c r="G222" t="s">
        <v>12</v>
      </c>
      <c r="H222">
        <v>31</v>
      </c>
    </row>
    <row r="223" spans="1:8" x14ac:dyDescent="0.3">
      <c r="A223" t="s">
        <v>454</v>
      </c>
      <c r="B223" t="s">
        <v>455</v>
      </c>
      <c r="C223" s="4">
        <v>44556</v>
      </c>
      <c r="D223">
        <v>411558.37</v>
      </c>
      <c r="E223" t="s">
        <v>15</v>
      </c>
      <c r="F223" t="s">
        <v>11</v>
      </c>
      <c r="G223" t="s">
        <v>12</v>
      </c>
      <c r="H223">
        <v>49</v>
      </c>
    </row>
    <row r="224" spans="1:8" x14ac:dyDescent="0.3">
      <c r="A224" t="s">
        <v>456</v>
      </c>
      <c r="B224" t="s">
        <v>457</v>
      </c>
      <c r="C224" s="4">
        <v>44421</v>
      </c>
      <c r="D224">
        <v>466337.77</v>
      </c>
      <c r="E224" t="s">
        <v>19</v>
      </c>
      <c r="F224" t="s">
        <v>23</v>
      </c>
      <c r="G224" t="s">
        <v>24</v>
      </c>
      <c r="H224">
        <v>43</v>
      </c>
    </row>
    <row r="225" spans="1:8" x14ac:dyDescent="0.3">
      <c r="A225" t="s">
        <v>458</v>
      </c>
      <c r="B225" t="s">
        <v>459</v>
      </c>
      <c r="C225" s="4">
        <v>44669</v>
      </c>
      <c r="D225">
        <v>185521.49</v>
      </c>
      <c r="E225" t="s">
        <v>19</v>
      </c>
      <c r="F225" t="s">
        <v>23</v>
      </c>
      <c r="G225" t="s">
        <v>24</v>
      </c>
      <c r="H225">
        <v>45</v>
      </c>
    </row>
    <row r="226" spans="1:8" x14ac:dyDescent="0.3">
      <c r="A226" t="s">
        <v>460</v>
      </c>
      <c r="B226" t="s">
        <v>461</v>
      </c>
      <c r="C226" s="4">
        <v>45304</v>
      </c>
      <c r="D226">
        <v>439452.89</v>
      </c>
      <c r="E226" t="s">
        <v>10</v>
      </c>
      <c r="F226" t="s">
        <v>16</v>
      </c>
      <c r="G226" t="s">
        <v>24</v>
      </c>
      <c r="H226">
        <v>9</v>
      </c>
    </row>
    <row r="227" spans="1:8" x14ac:dyDescent="0.3">
      <c r="A227" t="s">
        <v>462</v>
      </c>
      <c r="B227" t="s">
        <v>463</v>
      </c>
      <c r="C227" s="4">
        <v>44506</v>
      </c>
      <c r="D227">
        <v>52119.21</v>
      </c>
      <c r="E227" t="s">
        <v>19</v>
      </c>
      <c r="F227" t="s">
        <v>34</v>
      </c>
      <c r="G227" t="s">
        <v>24</v>
      </c>
      <c r="H227">
        <v>48</v>
      </c>
    </row>
    <row r="228" spans="1:8" x14ac:dyDescent="0.3">
      <c r="A228" t="s">
        <v>464</v>
      </c>
      <c r="B228" t="s">
        <v>465</v>
      </c>
      <c r="C228" s="4">
        <v>45390</v>
      </c>
      <c r="D228">
        <v>66734.87</v>
      </c>
      <c r="E228" t="s">
        <v>19</v>
      </c>
      <c r="F228" t="s">
        <v>34</v>
      </c>
      <c r="G228" t="s">
        <v>12</v>
      </c>
      <c r="H228">
        <v>53</v>
      </c>
    </row>
    <row r="229" spans="1:8" x14ac:dyDescent="0.3">
      <c r="A229" t="s">
        <v>466</v>
      </c>
      <c r="B229" t="s">
        <v>467</v>
      </c>
      <c r="C229" s="4">
        <v>45339</v>
      </c>
      <c r="D229">
        <v>338952.13</v>
      </c>
      <c r="E229" t="s">
        <v>19</v>
      </c>
      <c r="F229" t="s">
        <v>16</v>
      </c>
      <c r="G229" t="s">
        <v>12</v>
      </c>
      <c r="H229">
        <v>22</v>
      </c>
    </row>
    <row r="230" spans="1:8" x14ac:dyDescent="0.3">
      <c r="A230" t="s">
        <v>468</v>
      </c>
      <c r="B230" t="s">
        <v>469</v>
      </c>
      <c r="C230" s="4">
        <v>44435</v>
      </c>
      <c r="D230">
        <v>12604.61</v>
      </c>
      <c r="E230" t="s">
        <v>19</v>
      </c>
      <c r="F230" t="s">
        <v>20</v>
      </c>
      <c r="G230" t="s">
        <v>12</v>
      </c>
      <c r="H230">
        <v>25</v>
      </c>
    </row>
    <row r="231" spans="1:8" x14ac:dyDescent="0.3">
      <c r="A231" t="s">
        <v>470</v>
      </c>
      <c r="B231" t="s">
        <v>471</v>
      </c>
      <c r="C231" s="4">
        <v>45064</v>
      </c>
      <c r="D231">
        <v>34321.730000000003</v>
      </c>
      <c r="E231" t="s">
        <v>19</v>
      </c>
      <c r="F231" t="s">
        <v>11</v>
      </c>
      <c r="G231" t="s">
        <v>12</v>
      </c>
      <c r="H231">
        <v>2</v>
      </c>
    </row>
    <row r="232" spans="1:8" x14ac:dyDescent="0.3">
      <c r="A232" t="s">
        <v>472</v>
      </c>
      <c r="B232" t="s">
        <v>473</v>
      </c>
      <c r="C232" s="4">
        <v>45458</v>
      </c>
      <c r="D232">
        <v>56954.14</v>
      </c>
      <c r="E232" t="s">
        <v>19</v>
      </c>
      <c r="F232" t="s">
        <v>20</v>
      </c>
      <c r="G232" t="s">
        <v>24</v>
      </c>
      <c r="H232">
        <v>24</v>
      </c>
    </row>
    <row r="233" spans="1:8" x14ac:dyDescent="0.3">
      <c r="A233" t="s">
        <v>474</v>
      </c>
      <c r="B233" t="s">
        <v>475</v>
      </c>
      <c r="C233" s="4">
        <v>45515</v>
      </c>
      <c r="D233">
        <v>168832.54</v>
      </c>
      <c r="E233" t="s">
        <v>19</v>
      </c>
      <c r="F233" t="s">
        <v>20</v>
      </c>
      <c r="G233" t="s">
        <v>24</v>
      </c>
      <c r="H233">
        <v>11</v>
      </c>
    </row>
    <row r="234" spans="1:8" x14ac:dyDescent="0.3">
      <c r="A234" t="s">
        <v>476</v>
      </c>
      <c r="B234" t="s">
        <v>477</v>
      </c>
      <c r="C234" s="4">
        <v>45519</v>
      </c>
      <c r="D234">
        <v>253134.89</v>
      </c>
      <c r="E234" t="s">
        <v>10</v>
      </c>
      <c r="F234" t="s">
        <v>23</v>
      </c>
      <c r="G234" t="s">
        <v>12</v>
      </c>
      <c r="H234">
        <v>22</v>
      </c>
    </row>
    <row r="235" spans="1:8" x14ac:dyDescent="0.3">
      <c r="A235" t="s">
        <v>478</v>
      </c>
      <c r="B235" t="s">
        <v>479</v>
      </c>
      <c r="C235" s="4">
        <v>45224</v>
      </c>
      <c r="D235">
        <v>244964.94</v>
      </c>
      <c r="E235" t="s">
        <v>19</v>
      </c>
      <c r="F235" t="s">
        <v>11</v>
      </c>
      <c r="G235" t="s">
        <v>24</v>
      </c>
      <c r="H235">
        <v>5</v>
      </c>
    </row>
    <row r="236" spans="1:8" x14ac:dyDescent="0.3">
      <c r="A236" t="s">
        <v>480</v>
      </c>
      <c r="B236" t="s">
        <v>481</v>
      </c>
      <c r="C236" s="4">
        <v>45670</v>
      </c>
      <c r="D236">
        <v>479361.52</v>
      </c>
      <c r="E236" t="s">
        <v>10</v>
      </c>
      <c r="F236" t="s">
        <v>23</v>
      </c>
      <c r="G236" t="s">
        <v>24</v>
      </c>
      <c r="H236">
        <v>10</v>
      </c>
    </row>
    <row r="237" spans="1:8" x14ac:dyDescent="0.3">
      <c r="A237" t="s">
        <v>482</v>
      </c>
      <c r="B237" t="s">
        <v>483</v>
      </c>
      <c r="C237" s="4">
        <v>44929</v>
      </c>
      <c r="D237">
        <v>453898.36</v>
      </c>
      <c r="E237" t="s">
        <v>19</v>
      </c>
      <c r="F237" t="s">
        <v>34</v>
      </c>
      <c r="G237" t="s">
        <v>12</v>
      </c>
      <c r="H237">
        <v>18</v>
      </c>
    </row>
    <row r="238" spans="1:8" x14ac:dyDescent="0.3">
      <c r="A238" t="s">
        <v>484</v>
      </c>
      <c r="B238" t="s">
        <v>485</v>
      </c>
      <c r="C238" s="4">
        <v>45065</v>
      </c>
      <c r="D238">
        <v>425694.53</v>
      </c>
      <c r="E238" t="s">
        <v>19</v>
      </c>
      <c r="F238" t="s">
        <v>20</v>
      </c>
      <c r="G238" t="s">
        <v>24</v>
      </c>
      <c r="H238">
        <v>48</v>
      </c>
    </row>
    <row r="239" spans="1:8" x14ac:dyDescent="0.3">
      <c r="A239" t="s">
        <v>486</v>
      </c>
      <c r="B239" t="s">
        <v>487</v>
      </c>
      <c r="C239" s="4">
        <v>44474</v>
      </c>
      <c r="D239">
        <v>379946.05</v>
      </c>
      <c r="E239" t="s">
        <v>19</v>
      </c>
      <c r="F239" t="s">
        <v>34</v>
      </c>
      <c r="G239" t="s">
        <v>24</v>
      </c>
      <c r="H239">
        <v>8</v>
      </c>
    </row>
    <row r="240" spans="1:8" x14ac:dyDescent="0.3">
      <c r="A240" t="s">
        <v>488</v>
      </c>
      <c r="B240" t="s">
        <v>489</v>
      </c>
      <c r="C240" s="4">
        <v>45647</v>
      </c>
      <c r="D240">
        <v>436254.47</v>
      </c>
      <c r="E240" t="s">
        <v>15</v>
      </c>
      <c r="F240" t="s">
        <v>23</v>
      </c>
      <c r="G240" t="s">
        <v>24</v>
      </c>
      <c r="H240">
        <v>32</v>
      </c>
    </row>
    <row r="241" spans="1:8" x14ac:dyDescent="0.3">
      <c r="A241" t="s">
        <v>490</v>
      </c>
      <c r="B241" t="s">
        <v>491</v>
      </c>
      <c r="C241" s="4">
        <v>45727</v>
      </c>
      <c r="D241">
        <v>78660.289999999994</v>
      </c>
      <c r="E241" t="s">
        <v>10</v>
      </c>
      <c r="F241" t="s">
        <v>20</v>
      </c>
      <c r="G241" t="s">
        <v>12</v>
      </c>
      <c r="H241">
        <v>55</v>
      </c>
    </row>
    <row r="242" spans="1:8" x14ac:dyDescent="0.3">
      <c r="A242" t="s">
        <v>492</v>
      </c>
      <c r="B242" t="s">
        <v>493</v>
      </c>
      <c r="C242" s="4">
        <v>45343</v>
      </c>
      <c r="D242">
        <v>406097.65</v>
      </c>
      <c r="E242" t="s">
        <v>19</v>
      </c>
      <c r="F242" t="s">
        <v>16</v>
      </c>
      <c r="G242" t="s">
        <v>12</v>
      </c>
      <c r="H242">
        <v>42</v>
      </c>
    </row>
    <row r="243" spans="1:8" x14ac:dyDescent="0.3">
      <c r="A243" t="s">
        <v>494</v>
      </c>
      <c r="B243" t="s">
        <v>318</v>
      </c>
      <c r="C243" s="4">
        <v>45113</v>
      </c>
      <c r="D243">
        <v>71824.289999999994</v>
      </c>
      <c r="E243" t="s">
        <v>10</v>
      </c>
      <c r="F243" t="s">
        <v>11</v>
      </c>
      <c r="G243" t="s">
        <v>12</v>
      </c>
      <c r="H243">
        <v>58</v>
      </c>
    </row>
    <row r="244" spans="1:8" x14ac:dyDescent="0.3">
      <c r="A244" t="s">
        <v>495</v>
      </c>
      <c r="B244" t="s">
        <v>496</v>
      </c>
      <c r="C244" s="4">
        <v>45644</v>
      </c>
      <c r="D244">
        <v>417200.51</v>
      </c>
      <c r="E244" t="s">
        <v>19</v>
      </c>
      <c r="F244" t="s">
        <v>20</v>
      </c>
      <c r="G244" t="s">
        <v>12</v>
      </c>
      <c r="H244">
        <v>7</v>
      </c>
    </row>
    <row r="245" spans="1:8" x14ac:dyDescent="0.3">
      <c r="A245" t="s">
        <v>497</v>
      </c>
      <c r="B245" t="s">
        <v>498</v>
      </c>
      <c r="C245" s="4">
        <v>44750</v>
      </c>
      <c r="D245">
        <v>181390.99</v>
      </c>
      <c r="E245" t="s">
        <v>15</v>
      </c>
      <c r="F245" t="s">
        <v>23</v>
      </c>
      <c r="G245" t="s">
        <v>12</v>
      </c>
      <c r="H245">
        <v>21</v>
      </c>
    </row>
    <row r="246" spans="1:8" x14ac:dyDescent="0.3">
      <c r="A246" t="s">
        <v>499</v>
      </c>
      <c r="B246" t="s">
        <v>500</v>
      </c>
      <c r="C246" s="4">
        <v>45477</v>
      </c>
      <c r="D246">
        <v>12370.26</v>
      </c>
      <c r="E246" t="s">
        <v>10</v>
      </c>
      <c r="F246" t="s">
        <v>34</v>
      </c>
      <c r="G246" t="s">
        <v>24</v>
      </c>
      <c r="H246">
        <v>24</v>
      </c>
    </row>
    <row r="247" spans="1:8" x14ac:dyDescent="0.3">
      <c r="A247" t="s">
        <v>501</v>
      </c>
      <c r="B247" t="s">
        <v>502</v>
      </c>
      <c r="C247" s="4">
        <v>44364</v>
      </c>
      <c r="D247">
        <v>26383.02</v>
      </c>
      <c r="E247" t="s">
        <v>10</v>
      </c>
      <c r="F247" t="s">
        <v>23</v>
      </c>
      <c r="G247" t="s">
        <v>24</v>
      </c>
      <c r="H247">
        <v>52</v>
      </c>
    </row>
    <row r="248" spans="1:8" x14ac:dyDescent="0.3">
      <c r="A248" t="s">
        <v>503</v>
      </c>
      <c r="B248" t="s">
        <v>504</v>
      </c>
      <c r="C248" s="4">
        <v>45001</v>
      </c>
      <c r="D248">
        <v>39795.760000000002</v>
      </c>
      <c r="E248" t="s">
        <v>10</v>
      </c>
      <c r="F248" t="s">
        <v>23</v>
      </c>
      <c r="G248" t="s">
        <v>24</v>
      </c>
      <c r="H248">
        <v>18</v>
      </c>
    </row>
    <row r="249" spans="1:8" x14ac:dyDescent="0.3">
      <c r="A249" t="s">
        <v>505</v>
      </c>
      <c r="B249" t="s">
        <v>506</v>
      </c>
      <c r="C249" s="4">
        <v>45585</v>
      </c>
      <c r="D249">
        <v>477370.67</v>
      </c>
      <c r="E249" t="s">
        <v>10</v>
      </c>
      <c r="F249" t="s">
        <v>34</v>
      </c>
      <c r="G249" t="s">
        <v>12</v>
      </c>
      <c r="H249">
        <v>40</v>
      </c>
    </row>
    <row r="250" spans="1:8" x14ac:dyDescent="0.3">
      <c r="A250" t="s">
        <v>507</v>
      </c>
      <c r="B250" t="s">
        <v>508</v>
      </c>
      <c r="C250" s="4">
        <v>45257</v>
      </c>
      <c r="D250">
        <v>150690.37</v>
      </c>
      <c r="E250" t="s">
        <v>19</v>
      </c>
      <c r="F250" t="s">
        <v>34</v>
      </c>
      <c r="G250" t="s">
        <v>12</v>
      </c>
      <c r="H250">
        <v>27</v>
      </c>
    </row>
    <row r="251" spans="1:8" x14ac:dyDescent="0.3">
      <c r="A251" t="s">
        <v>509</v>
      </c>
      <c r="B251" t="s">
        <v>510</v>
      </c>
      <c r="C251" s="4">
        <v>45406</v>
      </c>
      <c r="D251">
        <v>241520.88</v>
      </c>
      <c r="E251" t="s">
        <v>10</v>
      </c>
      <c r="F251" t="s">
        <v>11</v>
      </c>
      <c r="G251" t="s">
        <v>24</v>
      </c>
      <c r="H251">
        <v>42</v>
      </c>
    </row>
    <row r="252" spans="1:8" x14ac:dyDescent="0.3">
      <c r="A252" t="s">
        <v>511</v>
      </c>
      <c r="B252" t="s">
        <v>512</v>
      </c>
      <c r="C252" s="4">
        <v>45382</v>
      </c>
      <c r="D252">
        <v>140627.29</v>
      </c>
      <c r="E252" t="s">
        <v>15</v>
      </c>
      <c r="F252" t="s">
        <v>11</v>
      </c>
      <c r="G252" t="s">
        <v>12</v>
      </c>
      <c r="H252">
        <v>3</v>
      </c>
    </row>
    <row r="253" spans="1:8" x14ac:dyDescent="0.3">
      <c r="A253" t="s">
        <v>513</v>
      </c>
      <c r="B253" t="s">
        <v>514</v>
      </c>
      <c r="C253" s="4">
        <v>45065</v>
      </c>
      <c r="D253">
        <v>436313.09</v>
      </c>
      <c r="E253" t="s">
        <v>19</v>
      </c>
      <c r="F253" t="s">
        <v>16</v>
      </c>
      <c r="G253" t="s">
        <v>24</v>
      </c>
      <c r="H253">
        <v>5</v>
      </c>
    </row>
    <row r="254" spans="1:8" x14ac:dyDescent="0.3">
      <c r="A254" t="s">
        <v>515</v>
      </c>
      <c r="B254" t="s">
        <v>516</v>
      </c>
      <c r="C254" s="4">
        <v>44649</v>
      </c>
      <c r="D254">
        <v>124872.37</v>
      </c>
      <c r="E254" t="s">
        <v>19</v>
      </c>
      <c r="F254" t="s">
        <v>34</v>
      </c>
      <c r="G254" t="s">
        <v>12</v>
      </c>
      <c r="H254">
        <v>38</v>
      </c>
    </row>
    <row r="255" spans="1:8" x14ac:dyDescent="0.3">
      <c r="A255" t="s">
        <v>517</v>
      </c>
      <c r="B255" t="s">
        <v>518</v>
      </c>
      <c r="C255" s="4">
        <v>45321</v>
      </c>
      <c r="D255">
        <v>169556.1</v>
      </c>
      <c r="E255" t="s">
        <v>10</v>
      </c>
      <c r="F255" t="s">
        <v>16</v>
      </c>
      <c r="G255" t="s">
        <v>24</v>
      </c>
      <c r="H255">
        <v>41</v>
      </c>
    </row>
    <row r="256" spans="1:8" x14ac:dyDescent="0.3">
      <c r="A256" t="s">
        <v>519</v>
      </c>
      <c r="B256" t="s">
        <v>520</v>
      </c>
      <c r="C256" s="4">
        <v>45415</v>
      </c>
      <c r="D256">
        <v>208210.04</v>
      </c>
      <c r="E256" t="s">
        <v>19</v>
      </c>
      <c r="F256" t="s">
        <v>23</v>
      </c>
      <c r="G256" t="s">
        <v>12</v>
      </c>
      <c r="H256">
        <v>52</v>
      </c>
    </row>
    <row r="257" spans="1:8" x14ac:dyDescent="0.3">
      <c r="A257" t="s">
        <v>521</v>
      </c>
      <c r="B257" t="s">
        <v>522</v>
      </c>
      <c r="C257" s="4">
        <v>44792</v>
      </c>
      <c r="D257">
        <v>191858.29</v>
      </c>
      <c r="E257" t="s">
        <v>10</v>
      </c>
      <c r="F257" t="s">
        <v>34</v>
      </c>
      <c r="G257" t="s">
        <v>12</v>
      </c>
      <c r="H257">
        <v>30</v>
      </c>
    </row>
    <row r="258" spans="1:8" x14ac:dyDescent="0.3">
      <c r="A258" t="s">
        <v>523</v>
      </c>
      <c r="B258" t="s">
        <v>147</v>
      </c>
      <c r="C258" s="4">
        <v>44763</v>
      </c>
      <c r="D258">
        <v>475162.44</v>
      </c>
      <c r="E258" t="s">
        <v>10</v>
      </c>
      <c r="F258" t="s">
        <v>34</v>
      </c>
      <c r="G258" t="s">
        <v>12</v>
      </c>
      <c r="H258">
        <v>50</v>
      </c>
    </row>
    <row r="259" spans="1:8" x14ac:dyDescent="0.3">
      <c r="A259" t="s">
        <v>524</v>
      </c>
      <c r="B259" t="s">
        <v>525</v>
      </c>
      <c r="C259" s="4">
        <v>45758</v>
      </c>
      <c r="D259">
        <v>168784.33</v>
      </c>
      <c r="E259" t="s">
        <v>10</v>
      </c>
      <c r="F259" t="s">
        <v>16</v>
      </c>
      <c r="G259" t="s">
        <v>24</v>
      </c>
      <c r="H259">
        <v>22</v>
      </c>
    </row>
    <row r="260" spans="1:8" x14ac:dyDescent="0.3">
      <c r="A260" t="s">
        <v>526</v>
      </c>
      <c r="B260" t="s">
        <v>137</v>
      </c>
      <c r="C260" s="4">
        <v>44820</v>
      </c>
      <c r="D260">
        <v>310249.27</v>
      </c>
      <c r="E260" t="s">
        <v>19</v>
      </c>
      <c r="F260" t="s">
        <v>20</v>
      </c>
      <c r="G260" t="s">
        <v>24</v>
      </c>
      <c r="H260">
        <v>15</v>
      </c>
    </row>
    <row r="261" spans="1:8" x14ac:dyDescent="0.3">
      <c r="A261" t="s">
        <v>527</v>
      </c>
      <c r="B261" t="s">
        <v>528</v>
      </c>
      <c r="C261" s="4">
        <v>44614</v>
      </c>
      <c r="D261">
        <v>233644.36</v>
      </c>
      <c r="E261" t="s">
        <v>19</v>
      </c>
      <c r="F261" t="s">
        <v>16</v>
      </c>
      <c r="G261" t="s">
        <v>12</v>
      </c>
      <c r="H261">
        <v>55</v>
      </c>
    </row>
    <row r="262" spans="1:8" x14ac:dyDescent="0.3">
      <c r="A262" t="s">
        <v>529</v>
      </c>
      <c r="B262" t="s">
        <v>530</v>
      </c>
      <c r="C262" s="4">
        <v>45277</v>
      </c>
      <c r="D262">
        <v>386320.76</v>
      </c>
      <c r="E262" t="s">
        <v>15</v>
      </c>
      <c r="F262" t="s">
        <v>23</v>
      </c>
      <c r="G262" t="s">
        <v>12</v>
      </c>
      <c r="H262">
        <v>46</v>
      </c>
    </row>
    <row r="263" spans="1:8" x14ac:dyDescent="0.3">
      <c r="A263" t="s">
        <v>531</v>
      </c>
      <c r="B263" t="s">
        <v>217</v>
      </c>
      <c r="C263" s="4">
        <v>45560</v>
      </c>
      <c r="D263">
        <v>60178.34</v>
      </c>
      <c r="E263" t="s">
        <v>19</v>
      </c>
      <c r="F263" t="s">
        <v>16</v>
      </c>
      <c r="G263" t="s">
        <v>12</v>
      </c>
      <c r="H263">
        <v>57</v>
      </c>
    </row>
    <row r="264" spans="1:8" x14ac:dyDescent="0.3">
      <c r="A264" t="s">
        <v>532</v>
      </c>
      <c r="B264" t="s">
        <v>533</v>
      </c>
      <c r="C264" s="4">
        <v>45060</v>
      </c>
      <c r="D264">
        <v>117904.19</v>
      </c>
      <c r="E264" t="s">
        <v>19</v>
      </c>
      <c r="F264" t="s">
        <v>16</v>
      </c>
      <c r="G264" t="s">
        <v>24</v>
      </c>
      <c r="H264">
        <v>54</v>
      </c>
    </row>
    <row r="265" spans="1:8" x14ac:dyDescent="0.3">
      <c r="A265" t="s">
        <v>534</v>
      </c>
      <c r="B265" t="s">
        <v>535</v>
      </c>
      <c r="C265" s="4">
        <v>44276</v>
      </c>
      <c r="D265">
        <v>36841.730000000003</v>
      </c>
      <c r="E265" t="s">
        <v>10</v>
      </c>
      <c r="F265" t="s">
        <v>11</v>
      </c>
      <c r="G265" t="s">
        <v>24</v>
      </c>
      <c r="H265">
        <v>19</v>
      </c>
    </row>
    <row r="266" spans="1:8" x14ac:dyDescent="0.3">
      <c r="A266" t="s">
        <v>536</v>
      </c>
      <c r="B266" t="s">
        <v>537</v>
      </c>
      <c r="C266" s="4">
        <v>45348</v>
      </c>
      <c r="D266">
        <v>280442.42</v>
      </c>
      <c r="E266" t="s">
        <v>10</v>
      </c>
      <c r="F266" t="s">
        <v>23</v>
      </c>
      <c r="G266" t="s">
        <v>12</v>
      </c>
      <c r="H266">
        <v>31</v>
      </c>
    </row>
    <row r="267" spans="1:8" x14ac:dyDescent="0.3">
      <c r="A267" t="s">
        <v>538</v>
      </c>
      <c r="B267" t="s">
        <v>539</v>
      </c>
      <c r="C267" s="4">
        <v>44782</v>
      </c>
      <c r="D267">
        <v>265925.59000000003</v>
      </c>
      <c r="E267" t="s">
        <v>15</v>
      </c>
      <c r="F267" t="s">
        <v>34</v>
      </c>
      <c r="G267" t="s">
        <v>24</v>
      </c>
      <c r="H267">
        <v>46</v>
      </c>
    </row>
    <row r="268" spans="1:8" x14ac:dyDescent="0.3">
      <c r="A268" t="s">
        <v>540</v>
      </c>
      <c r="B268" t="s">
        <v>541</v>
      </c>
      <c r="C268" s="4">
        <v>45135</v>
      </c>
      <c r="D268">
        <v>213637.04</v>
      </c>
      <c r="E268" t="s">
        <v>10</v>
      </c>
      <c r="F268" t="s">
        <v>34</v>
      </c>
      <c r="G268" t="s">
        <v>24</v>
      </c>
      <c r="H268">
        <v>59</v>
      </c>
    </row>
    <row r="269" spans="1:8" x14ac:dyDescent="0.3">
      <c r="A269" t="s">
        <v>542</v>
      </c>
      <c r="B269" t="s">
        <v>543</v>
      </c>
      <c r="C269" s="4">
        <v>45585</v>
      </c>
      <c r="D269">
        <v>438839.88</v>
      </c>
      <c r="E269" t="s">
        <v>19</v>
      </c>
      <c r="F269" t="s">
        <v>11</v>
      </c>
      <c r="G269" t="s">
        <v>24</v>
      </c>
      <c r="H269">
        <v>36</v>
      </c>
    </row>
    <row r="270" spans="1:8" x14ac:dyDescent="0.3">
      <c r="A270" t="s">
        <v>544</v>
      </c>
      <c r="B270" t="s">
        <v>545</v>
      </c>
      <c r="C270" s="4">
        <v>45477</v>
      </c>
      <c r="D270">
        <v>392731.34</v>
      </c>
      <c r="E270" t="s">
        <v>15</v>
      </c>
      <c r="F270" t="s">
        <v>23</v>
      </c>
      <c r="G270" t="s">
        <v>12</v>
      </c>
      <c r="H270">
        <v>12</v>
      </c>
    </row>
    <row r="271" spans="1:8" x14ac:dyDescent="0.3">
      <c r="A271" t="s">
        <v>546</v>
      </c>
      <c r="B271" t="s">
        <v>547</v>
      </c>
      <c r="C271" s="4">
        <v>45128</v>
      </c>
      <c r="D271">
        <v>214306.63</v>
      </c>
      <c r="E271" t="s">
        <v>19</v>
      </c>
      <c r="F271" t="s">
        <v>34</v>
      </c>
      <c r="G271" t="s">
        <v>12</v>
      </c>
      <c r="H271">
        <v>35</v>
      </c>
    </row>
    <row r="272" spans="1:8" x14ac:dyDescent="0.3">
      <c r="A272" t="s">
        <v>548</v>
      </c>
      <c r="B272" t="s">
        <v>549</v>
      </c>
      <c r="C272" s="4">
        <v>45039</v>
      </c>
      <c r="D272">
        <v>259951.89</v>
      </c>
      <c r="E272" t="s">
        <v>15</v>
      </c>
      <c r="F272" t="s">
        <v>11</v>
      </c>
      <c r="G272" t="s">
        <v>24</v>
      </c>
      <c r="H272">
        <v>23</v>
      </c>
    </row>
    <row r="273" spans="1:8" x14ac:dyDescent="0.3">
      <c r="A273" t="s">
        <v>550</v>
      </c>
      <c r="B273" t="s">
        <v>551</v>
      </c>
      <c r="C273" s="4">
        <v>45007</v>
      </c>
      <c r="D273">
        <v>487715.92</v>
      </c>
      <c r="E273" t="s">
        <v>15</v>
      </c>
      <c r="F273" t="s">
        <v>20</v>
      </c>
      <c r="G273" t="s">
        <v>24</v>
      </c>
      <c r="H273">
        <v>17</v>
      </c>
    </row>
    <row r="274" spans="1:8" x14ac:dyDescent="0.3">
      <c r="A274" t="s">
        <v>552</v>
      </c>
      <c r="B274" t="s">
        <v>553</v>
      </c>
      <c r="C274" s="4">
        <v>45458</v>
      </c>
      <c r="D274">
        <v>230524.49</v>
      </c>
      <c r="E274" t="s">
        <v>10</v>
      </c>
      <c r="F274" t="s">
        <v>16</v>
      </c>
      <c r="G274" t="s">
        <v>24</v>
      </c>
      <c r="H274">
        <v>25</v>
      </c>
    </row>
    <row r="275" spans="1:8" x14ac:dyDescent="0.3">
      <c r="A275" t="s">
        <v>554</v>
      </c>
      <c r="B275" t="s">
        <v>555</v>
      </c>
      <c r="C275" s="4">
        <v>45044</v>
      </c>
      <c r="D275">
        <v>286394.42</v>
      </c>
      <c r="E275" t="s">
        <v>10</v>
      </c>
      <c r="F275" t="s">
        <v>11</v>
      </c>
      <c r="G275" t="s">
        <v>12</v>
      </c>
      <c r="H275">
        <v>6</v>
      </c>
    </row>
    <row r="276" spans="1:8" x14ac:dyDescent="0.3">
      <c r="A276" t="s">
        <v>556</v>
      </c>
      <c r="B276" t="s">
        <v>557</v>
      </c>
      <c r="C276" s="4">
        <v>45062</v>
      </c>
      <c r="D276">
        <v>64769.78</v>
      </c>
      <c r="E276" t="s">
        <v>19</v>
      </c>
      <c r="F276" t="s">
        <v>16</v>
      </c>
      <c r="G276" t="s">
        <v>12</v>
      </c>
      <c r="H276">
        <v>31</v>
      </c>
    </row>
    <row r="277" spans="1:8" x14ac:dyDescent="0.3">
      <c r="A277" t="s">
        <v>558</v>
      </c>
      <c r="B277" t="s">
        <v>559</v>
      </c>
      <c r="C277" s="4">
        <v>44669</v>
      </c>
      <c r="D277">
        <v>275437.57</v>
      </c>
      <c r="E277" t="s">
        <v>10</v>
      </c>
      <c r="F277" t="s">
        <v>23</v>
      </c>
      <c r="G277" t="s">
        <v>12</v>
      </c>
      <c r="H277">
        <v>36</v>
      </c>
    </row>
    <row r="278" spans="1:8" x14ac:dyDescent="0.3">
      <c r="A278" t="s">
        <v>560</v>
      </c>
      <c r="B278" t="s">
        <v>561</v>
      </c>
      <c r="C278" s="4">
        <v>45545</v>
      </c>
      <c r="D278">
        <v>166040.29999999999</v>
      </c>
      <c r="E278" t="s">
        <v>15</v>
      </c>
      <c r="F278" t="s">
        <v>20</v>
      </c>
      <c r="G278" t="s">
        <v>12</v>
      </c>
      <c r="H278">
        <v>41</v>
      </c>
    </row>
    <row r="279" spans="1:8" x14ac:dyDescent="0.3">
      <c r="A279" t="s">
        <v>562</v>
      </c>
      <c r="B279" t="s">
        <v>563</v>
      </c>
      <c r="C279" s="4">
        <v>45404</v>
      </c>
      <c r="D279">
        <v>437404.65</v>
      </c>
      <c r="E279" t="s">
        <v>10</v>
      </c>
      <c r="F279" t="s">
        <v>16</v>
      </c>
      <c r="G279" t="s">
        <v>12</v>
      </c>
      <c r="H279">
        <v>42</v>
      </c>
    </row>
    <row r="280" spans="1:8" x14ac:dyDescent="0.3">
      <c r="A280" t="s">
        <v>564</v>
      </c>
      <c r="B280" t="s">
        <v>565</v>
      </c>
      <c r="C280" s="4">
        <v>45066</v>
      </c>
      <c r="D280">
        <v>64495.51</v>
      </c>
      <c r="E280" t="s">
        <v>19</v>
      </c>
      <c r="F280" t="s">
        <v>23</v>
      </c>
      <c r="G280" t="s">
        <v>24</v>
      </c>
      <c r="H280">
        <v>59</v>
      </c>
    </row>
    <row r="281" spans="1:8" x14ac:dyDescent="0.3">
      <c r="A281" t="s">
        <v>566</v>
      </c>
      <c r="B281" t="s">
        <v>394</v>
      </c>
      <c r="C281" s="4">
        <v>45478</v>
      </c>
      <c r="D281">
        <v>159976.81</v>
      </c>
      <c r="E281" t="s">
        <v>15</v>
      </c>
      <c r="F281" t="s">
        <v>20</v>
      </c>
      <c r="G281" t="s">
        <v>12</v>
      </c>
      <c r="H281">
        <v>45</v>
      </c>
    </row>
    <row r="282" spans="1:8" x14ac:dyDescent="0.3">
      <c r="A282" t="s">
        <v>567</v>
      </c>
      <c r="B282" t="s">
        <v>568</v>
      </c>
      <c r="C282" s="4">
        <v>44491</v>
      </c>
      <c r="D282">
        <v>488883.26</v>
      </c>
      <c r="E282" t="s">
        <v>19</v>
      </c>
      <c r="F282" t="s">
        <v>34</v>
      </c>
      <c r="G282" t="s">
        <v>24</v>
      </c>
      <c r="H282">
        <v>19</v>
      </c>
    </row>
    <row r="283" spans="1:8" x14ac:dyDescent="0.3">
      <c r="A283" t="s">
        <v>569</v>
      </c>
      <c r="B283" t="s">
        <v>570</v>
      </c>
      <c r="C283" s="4">
        <v>45537</v>
      </c>
      <c r="D283">
        <v>491896.05</v>
      </c>
      <c r="E283" t="s">
        <v>10</v>
      </c>
      <c r="F283" t="s">
        <v>11</v>
      </c>
      <c r="G283" t="s">
        <v>12</v>
      </c>
      <c r="H283">
        <v>33</v>
      </c>
    </row>
    <row r="284" spans="1:8" x14ac:dyDescent="0.3">
      <c r="A284" t="s">
        <v>571</v>
      </c>
      <c r="B284" t="s">
        <v>572</v>
      </c>
      <c r="C284" s="4">
        <v>45257</v>
      </c>
      <c r="D284">
        <v>22432.49</v>
      </c>
      <c r="E284" t="s">
        <v>10</v>
      </c>
      <c r="F284" t="s">
        <v>20</v>
      </c>
      <c r="G284" t="s">
        <v>24</v>
      </c>
      <c r="H284">
        <v>40</v>
      </c>
    </row>
    <row r="285" spans="1:8" x14ac:dyDescent="0.3">
      <c r="A285" t="s">
        <v>573</v>
      </c>
      <c r="B285" t="s">
        <v>574</v>
      </c>
      <c r="C285" s="4">
        <v>45517</v>
      </c>
      <c r="D285">
        <v>17803.16</v>
      </c>
      <c r="E285" t="s">
        <v>15</v>
      </c>
      <c r="F285" t="s">
        <v>16</v>
      </c>
      <c r="G285" t="s">
        <v>24</v>
      </c>
      <c r="H285">
        <v>20</v>
      </c>
    </row>
    <row r="286" spans="1:8" x14ac:dyDescent="0.3">
      <c r="A286" t="s">
        <v>575</v>
      </c>
      <c r="B286" t="s">
        <v>576</v>
      </c>
      <c r="C286" s="4">
        <v>44882</v>
      </c>
      <c r="D286">
        <v>407382.82</v>
      </c>
      <c r="E286" t="s">
        <v>15</v>
      </c>
      <c r="F286" t="s">
        <v>20</v>
      </c>
      <c r="G286" t="s">
        <v>24</v>
      </c>
      <c r="H286">
        <v>32</v>
      </c>
    </row>
    <row r="287" spans="1:8" x14ac:dyDescent="0.3">
      <c r="A287" t="s">
        <v>577</v>
      </c>
      <c r="B287" t="s">
        <v>578</v>
      </c>
      <c r="C287" s="4">
        <v>45794</v>
      </c>
      <c r="D287">
        <v>107164.3</v>
      </c>
      <c r="E287" t="s">
        <v>19</v>
      </c>
      <c r="F287" t="s">
        <v>16</v>
      </c>
      <c r="G287" t="s">
        <v>12</v>
      </c>
      <c r="H287">
        <v>26</v>
      </c>
    </row>
    <row r="288" spans="1:8" x14ac:dyDescent="0.3">
      <c r="A288" t="s">
        <v>579</v>
      </c>
      <c r="B288" t="s">
        <v>580</v>
      </c>
      <c r="C288" s="4">
        <v>44485</v>
      </c>
      <c r="D288">
        <v>29211.48</v>
      </c>
      <c r="E288" t="s">
        <v>15</v>
      </c>
      <c r="F288" t="s">
        <v>11</v>
      </c>
      <c r="G288" t="s">
        <v>24</v>
      </c>
      <c r="H288">
        <v>46</v>
      </c>
    </row>
    <row r="289" spans="1:8" x14ac:dyDescent="0.3">
      <c r="A289" t="s">
        <v>581</v>
      </c>
      <c r="B289" t="s">
        <v>582</v>
      </c>
      <c r="C289" s="4">
        <v>45429</v>
      </c>
      <c r="D289">
        <v>369357.38</v>
      </c>
      <c r="E289" t="s">
        <v>15</v>
      </c>
      <c r="F289" t="s">
        <v>20</v>
      </c>
      <c r="G289" t="s">
        <v>24</v>
      </c>
      <c r="H289">
        <v>33</v>
      </c>
    </row>
    <row r="290" spans="1:8" x14ac:dyDescent="0.3">
      <c r="A290" t="s">
        <v>583</v>
      </c>
      <c r="B290" t="s">
        <v>584</v>
      </c>
      <c r="C290" s="4">
        <v>45456</v>
      </c>
      <c r="D290">
        <v>95048.42</v>
      </c>
      <c r="E290" t="s">
        <v>19</v>
      </c>
      <c r="F290" t="s">
        <v>16</v>
      </c>
      <c r="G290" t="s">
        <v>24</v>
      </c>
      <c r="H290">
        <v>10</v>
      </c>
    </row>
    <row r="291" spans="1:8" x14ac:dyDescent="0.3">
      <c r="A291" t="s">
        <v>585</v>
      </c>
      <c r="B291" t="s">
        <v>586</v>
      </c>
      <c r="C291" s="4">
        <v>45001</v>
      </c>
      <c r="D291">
        <v>151458.75</v>
      </c>
      <c r="E291" t="s">
        <v>15</v>
      </c>
      <c r="F291" t="s">
        <v>34</v>
      </c>
      <c r="G291" t="s">
        <v>12</v>
      </c>
      <c r="H291">
        <v>16</v>
      </c>
    </row>
    <row r="292" spans="1:8" x14ac:dyDescent="0.3">
      <c r="A292" t="s">
        <v>587</v>
      </c>
      <c r="B292" t="s">
        <v>588</v>
      </c>
      <c r="C292" s="4">
        <v>44865</v>
      </c>
      <c r="D292">
        <v>151572.29999999999</v>
      </c>
      <c r="E292" t="s">
        <v>19</v>
      </c>
      <c r="F292" t="s">
        <v>20</v>
      </c>
      <c r="G292" t="s">
        <v>12</v>
      </c>
      <c r="H292">
        <v>30</v>
      </c>
    </row>
    <row r="293" spans="1:8" x14ac:dyDescent="0.3">
      <c r="A293" t="s">
        <v>589</v>
      </c>
      <c r="B293" t="s">
        <v>590</v>
      </c>
      <c r="C293" s="4">
        <v>44447</v>
      </c>
      <c r="D293">
        <v>474181.65</v>
      </c>
      <c r="E293" t="s">
        <v>10</v>
      </c>
      <c r="F293" t="s">
        <v>16</v>
      </c>
      <c r="G293" t="s">
        <v>12</v>
      </c>
      <c r="H293">
        <v>25</v>
      </c>
    </row>
    <row r="294" spans="1:8" x14ac:dyDescent="0.3">
      <c r="A294" t="s">
        <v>591</v>
      </c>
      <c r="B294" t="s">
        <v>592</v>
      </c>
      <c r="C294" s="4">
        <v>45600</v>
      </c>
      <c r="D294">
        <v>293703.52</v>
      </c>
      <c r="E294" t="s">
        <v>19</v>
      </c>
      <c r="F294" t="s">
        <v>11</v>
      </c>
      <c r="G294" t="s">
        <v>24</v>
      </c>
      <c r="H294">
        <v>57</v>
      </c>
    </row>
    <row r="295" spans="1:8" x14ac:dyDescent="0.3">
      <c r="A295" t="s">
        <v>593</v>
      </c>
      <c r="B295" t="s">
        <v>594</v>
      </c>
      <c r="C295" s="4">
        <v>45343</v>
      </c>
      <c r="D295">
        <v>408849.07</v>
      </c>
      <c r="E295" t="s">
        <v>10</v>
      </c>
      <c r="F295" t="s">
        <v>23</v>
      </c>
      <c r="G295" t="s">
        <v>12</v>
      </c>
      <c r="H295">
        <v>12</v>
      </c>
    </row>
    <row r="296" spans="1:8" x14ac:dyDescent="0.3">
      <c r="A296" t="s">
        <v>595</v>
      </c>
      <c r="B296" t="s">
        <v>596</v>
      </c>
      <c r="C296" s="4">
        <v>44283</v>
      </c>
      <c r="D296">
        <v>250142.3</v>
      </c>
      <c r="E296" t="s">
        <v>19</v>
      </c>
      <c r="F296" t="s">
        <v>16</v>
      </c>
      <c r="G296" t="s">
        <v>24</v>
      </c>
      <c r="H296">
        <v>14</v>
      </c>
    </row>
    <row r="297" spans="1:8" x14ac:dyDescent="0.3">
      <c r="A297" t="s">
        <v>597</v>
      </c>
      <c r="B297" t="s">
        <v>598</v>
      </c>
      <c r="C297" s="4">
        <v>45610</v>
      </c>
      <c r="D297">
        <v>282708.86</v>
      </c>
      <c r="E297" t="s">
        <v>19</v>
      </c>
      <c r="F297" t="s">
        <v>11</v>
      </c>
      <c r="G297" t="s">
        <v>12</v>
      </c>
      <c r="H297">
        <v>46</v>
      </c>
    </row>
    <row r="298" spans="1:8" x14ac:dyDescent="0.3">
      <c r="A298" t="s">
        <v>599</v>
      </c>
      <c r="B298" t="s">
        <v>600</v>
      </c>
      <c r="C298" s="4">
        <v>45554</v>
      </c>
      <c r="D298">
        <v>201816.86</v>
      </c>
      <c r="E298" t="s">
        <v>10</v>
      </c>
      <c r="F298" t="s">
        <v>11</v>
      </c>
      <c r="G298" t="s">
        <v>12</v>
      </c>
      <c r="H298">
        <v>27</v>
      </c>
    </row>
    <row r="299" spans="1:8" x14ac:dyDescent="0.3">
      <c r="A299" t="s">
        <v>601</v>
      </c>
      <c r="B299" t="s">
        <v>602</v>
      </c>
      <c r="C299" s="4">
        <v>44209</v>
      </c>
      <c r="D299">
        <v>44155.64</v>
      </c>
      <c r="E299" t="s">
        <v>19</v>
      </c>
      <c r="F299" t="s">
        <v>34</v>
      </c>
      <c r="G299" t="s">
        <v>12</v>
      </c>
      <c r="H299">
        <v>28</v>
      </c>
    </row>
    <row r="300" spans="1:8" x14ac:dyDescent="0.3">
      <c r="A300" t="s">
        <v>603</v>
      </c>
      <c r="B300" t="s">
        <v>604</v>
      </c>
      <c r="C300" s="4">
        <v>45323</v>
      </c>
      <c r="D300">
        <v>199113.05</v>
      </c>
      <c r="E300" t="s">
        <v>15</v>
      </c>
      <c r="F300" t="s">
        <v>23</v>
      </c>
      <c r="G300" t="s">
        <v>12</v>
      </c>
      <c r="H300">
        <v>22</v>
      </c>
    </row>
    <row r="301" spans="1:8" x14ac:dyDescent="0.3">
      <c r="A301" t="s">
        <v>605</v>
      </c>
      <c r="B301" t="s">
        <v>606</v>
      </c>
      <c r="C301" s="4">
        <v>45284</v>
      </c>
      <c r="D301">
        <v>10748.7</v>
      </c>
      <c r="E301" t="s">
        <v>15</v>
      </c>
      <c r="F301" t="s">
        <v>34</v>
      </c>
      <c r="G301" t="s">
        <v>24</v>
      </c>
      <c r="H301">
        <v>22</v>
      </c>
    </row>
    <row r="302" spans="1:8" x14ac:dyDescent="0.3">
      <c r="A302" t="s">
        <v>607</v>
      </c>
      <c r="B302" t="s">
        <v>608</v>
      </c>
      <c r="C302" s="4">
        <v>45478</v>
      </c>
      <c r="D302">
        <v>463674.78</v>
      </c>
      <c r="E302" t="s">
        <v>15</v>
      </c>
      <c r="F302" t="s">
        <v>11</v>
      </c>
      <c r="G302" t="s">
        <v>24</v>
      </c>
      <c r="H302">
        <v>28</v>
      </c>
    </row>
    <row r="303" spans="1:8" x14ac:dyDescent="0.3">
      <c r="A303" t="s">
        <v>609</v>
      </c>
      <c r="B303" t="s">
        <v>610</v>
      </c>
      <c r="C303" s="4">
        <v>44457</v>
      </c>
      <c r="D303">
        <v>424771.72</v>
      </c>
      <c r="E303" t="s">
        <v>15</v>
      </c>
      <c r="F303" t="s">
        <v>34</v>
      </c>
      <c r="G303" t="s">
        <v>12</v>
      </c>
      <c r="H303">
        <v>50</v>
      </c>
    </row>
    <row r="304" spans="1:8" x14ac:dyDescent="0.3">
      <c r="A304" t="s">
        <v>611</v>
      </c>
      <c r="B304" t="s">
        <v>612</v>
      </c>
      <c r="C304" s="4">
        <v>45479</v>
      </c>
      <c r="D304">
        <v>245478.71</v>
      </c>
      <c r="E304" t="s">
        <v>15</v>
      </c>
      <c r="F304" t="s">
        <v>20</v>
      </c>
      <c r="G304" t="s">
        <v>12</v>
      </c>
      <c r="H304">
        <v>17</v>
      </c>
    </row>
    <row r="305" spans="1:8" x14ac:dyDescent="0.3">
      <c r="A305" t="s">
        <v>613</v>
      </c>
      <c r="B305" t="s">
        <v>614</v>
      </c>
      <c r="C305" s="4">
        <v>45231</v>
      </c>
      <c r="D305">
        <v>239060.02</v>
      </c>
      <c r="E305" t="s">
        <v>10</v>
      </c>
      <c r="F305" t="s">
        <v>20</v>
      </c>
      <c r="G305" t="s">
        <v>24</v>
      </c>
      <c r="H305">
        <v>48</v>
      </c>
    </row>
    <row r="306" spans="1:8" x14ac:dyDescent="0.3">
      <c r="A306" t="s">
        <v>615</v>
      </c>
      <c r="B306" t="s">
        <v>616</v>
      </c>
      <c r="C306" s="4">
        <v>45329</v>
      </c>
      <c r="D306">
        <v>46582.93</v>
      </c>
      <c r="E306" t="s">
        <v>10</v>
      </c>
      <c r="F306" t="s">
        <v>23</v>
      </c>
      <c r="G306" t="s">
        <v>12</v>
      </c>
      <c r="H306">
        <v>37</v>
      </c>
    </row>
    <row r="307" spans="1:8" x14ac:dyDescent="0.3">
      <c r="A307" t="s">
        <v>617</v>
      </c>
      <c r="B307" t="s">
        <v>618</v>
      </c>
      <c r="C307" s="4">
        <v>44908</v>
      </c>
      <c r="D307">
        <v>140450.99</v>
      </c>
      <c r="E307" t="s">
        <v>10</v>
      </c>
      <c r="F307" t="s">
        <v>23</v>
      </c>
      <c r="G307" t="s">
        <v>12</v>
      </c>
      <c r="H307">
        <v>39</v>
      </c>
    </row>
    <row r="308" spans="1:8" x14ac:dyDescent="0.3">
      <c r="A308" t="s">
        <v>619</v>
      </c>
      <c r="B308" t="s">
        <v>600</v>
      </c>
      <c r="C308" s="4">
        <v>45508</v>
      </c>
      <c r="D308">
        <v>470528.37</v>
      </c>
      <c r="E308" t="s">
        <v>10</v>
      </c>
      <c r="F308" t="s">
        <v>23</v>
      </c>
      <c r="G308" t="s">
        <v>12</v>
      </c>
      <c r="H308">
        <v>32</v>
      </c>
    </row>
    <row r="309" spans="1:8" x14ac:dyDescent="0.3">
      <c r="A309" t="s">
        <v>620</v>
      </c>
      <c r="B309" t="s">
        <v>621</v>
      </c>
      <c r="C309" s="4">
        <v>44539</v>
      </c>
      <c r="D309">
        <v>335500.18</v>
      </c>
      <c r="E309" t="s">
        <v>15</v>
      </c>
      <c r="F309" t="s">
        <v>11</v>
      </c>
      <c r="G309" t="s">
        <v>24</v>
      </c>
      <c r="H309">
        <v>44</v>
      </c>
    </row>
    <row r="310" spans="1:8" x14ac:dyDescent="0.3">
      <c r="A310" t="s">
        <v>622</v>
      </c>
      <c r="B310" t="s">
        <v>623</v>
      </c>
      <c r="C310" s="4">
        <v>45134</v>
      </c>
      <c r="D310">
        <v>453829.56</v>
      </c>
      <c r="E310" t="s">
        <v>10</v>
      </c>
      <c r="F310" t="s">
        <v>11</v>
      </c>
      <c r="G310" t="s">
        <v>12</v>
      </c>
      <c r="H310">
        <v>51</v>
      </c>
    </row>
    <row r="311" spans="1:8" x14ac:dyDescent="0.3">
      <c r="A311" t="s">
        <v>624</v>
      </c>
      <c r="B311" t="s">
        <v>493</v>
      </c>
      <c r="C311" s="4">
        <v>45295</v>
      </c>
      <c r="D311">
        <v>122461.9</v>
      </c>
      <c r="E311" t="s">
        <v>10</v>
      </c>
      <c r="F311" t="s">
        <v>34</v>
      </c>
      <c r="G311" t="s">
        <v>24</v>
      </c>
      <c r="H311">
        <v>7</v>
      </c>
    </row>
    <row r="312" spans="1:8" x14ac:dyDescent="0.3">
      <c r="A312" t="s">
        <v>625</v>
      </c>
      <c r="B312" t="s">
        <v>626</v>
      </c>
      <c r="C312" s="4">
        <v>45157</v>
      </c>
      <c r="D312">
        <v>295693.17</v>
      </c>
      <c r="E312" t="s">
        <v>19</v>
      </c>
      <c r="F312" t="s">
        <v>20</v>
      </c>
      <c r="G312" t="s">
        <v>12</v>
      </c>
      <c r="H312">
        <v>29</v>
      </c>
    </row>
    <row r="313" spans="1:8" x14ac:dyDescent="0.3">
      <c r="A313" t="s">
        <v>627</v>
      </c>
      <c r="B313" t="s">
        <v>628</v>
      </c>
      <c r="C313" s="4">
        <v>45492</v>
      </c>
      <c r="D313">
        <v>151964.19</v>
      </c>
      <c r="E313" t="s">
        <v>15</v>
      </c>
      <c r="F313" t="s">
        <v>23</v>
      </c>
      <c r="G313" t="s">
        <v>24</v>
      </c>
      <c r="H313">
        <v>39</v>
      </c>
    </row>
    <row r="314" spans="1:8" x14ac:dyDescent="0.3">
      <c r="A314" t="s">
        <v>629</v>
      </c>
      <c r="B314" t="s">
        <v>630</v>
      </c>
      <c r="C314" s="4">
        <v>45456</v>
      </c>
      <c r="D314">
        <v>402535.06</v>
      </c>
      <c r="E314" t="s">
        <v>19</v>
      </c>
      <c r="F314" t="s">
        <v>11</v>
      </c>
      <c r="G314" t="s">
        <v>12</v>
      </c>
      <c r="H314">
        <v>9</v>
      </c>
    </row>
    <row r="315" spans="1:8" x14ac:dyDescent="0.3">
      <c r="A315" t="s">
        <v>631</v>
      </c>
      <c r="B315" t="s">
        <v>632</v>
      </c>
      <c r="C315" s="4">
        <v>45336</v>
      </c>
      <c r="D315">
        <v>190503.64</v>
      </c>
      <c r="E315" t="s">
        <v>19</v>
      </c>
      <c r="F315" t="s">
        <v>20</v>
      </c>
      <c r="G315" t="s">
        <v>12</v>
      </c>
      <c r="H315">
        <v>40</v>
      </c>
    </row>
    <row r="316" spans="1:8" x14ac:dyDescent="0.3">
      <c r="A316" t="s">
        <v>633</v>
      </c>
      <c r="B316" t="s">
        <v>634</v>
      </c>
      <c r="C316" s="4">
        <v>45067</v>
      </c>
      <c r="D316">
        <v>345592.82</v>
      </c>
      <c r="E316" t="s">
        <v>15</v>
      </c>
      <c r="F316" t="s">
        <v>11</v>
      </c>
      <c r="G316" t="s">
        <v>24</v>
      </c>
      <c r="H316">
        <v>29</v>
      </c>
    </row>
    <row r="317" spans="1:8" x14ac:dyDescent="0.3">
      <c r="A317" t="s">
        <v>635</v>
      </c>
      <c r="B317" t="s">
        <v>636</v>
      </c>
      <c r="C317" s="4">
        <v>45104</v>
      </c>
      <c r="D317">
        <v>61637.25</v>
      </c>
      <c r="E317" t="s">
        <v>19</v>
      </c>
      <c r="F317" t="s">
        <v>23</v>
      </c>
      <c r="G317" t="s">
        <v>24</v>
      </c>
      <c r="H317">
        <v>42</v>
      </c>
    </row>
    <row r="318" spans="1:8" x14ac:dyDescent="0.3">
      <c r="A318" t="s">
        <v>637</v>
      </c>
      <c r="B318" t="s">
        <v>638</v>
      </c>
      <c r="C318" s="4">
        <v>44745</v>
      </c>
      <c r="D318">
        <v>372045.44</v>
      </c>
      <c r="E318" t="s">
        <v>10</v>
      </c>
      <c r="F318" t="s">
        <v>23</v>
      </c>
      <c r="G318" t="s">
        <v>24</v>
      </c>
      <c r="H318">
        <v>39</v>
      </c>
    </row>
    <row r="319" spans="1:8" x14ac:dyDescent="0.3">
      <c r="A319" t="s">
        <v>639</v>
      </c>
      <c r="B319" t="s">
        <v>274</v>
      </c>
      <c r="C319" s="4">
        <v>45045</v>
      </c>
      <c r="D319">
        <v>208271.16</v>
      </c>
      <c r="E319" t="s">
        <v>15</v>
      </c>
      <c r="F319" t="s">
        <v>16</v>
      </c>
      <c r="G319" t="s">
        <v>12</v>
      </c>
      <c r="H319">
        <v>29</v>
      </c>
    </row>
    <row r="320" spans="1:8" x14ac:dyDescent="0.3">
      <c r="A320" t="s">
        <v>640</v>
      </c>
      <c r="B320" t="s">
        <v>641</v>
      </c>
      <c r="C320" s="4">
        <v>44910</v>
      </c>
      <c r="D320">
        <v>354897.64</v>
      </c>
      <c r="E320" t="s">
        <v>15</v>
      </c>
      <c r="F320" t="s">
        <v>16</v>
      </c>
      <c r="G320" t="s">
        <v>24</v>
      </c>
      <c r="H320">
        <v>47</v>
      </c>
    </row>
    <row r="321" spans="1:8" x14ac:dyDescent="0.3">
      <c r="A321" t="s">
        <v>642</v>
      </c>
      <c r="B321" t="s">
        <v>570</v>
      </c>
      <c r="C321" s="4">
        <v>45570</v>
      </c>
      <c r="D321">
        <v>76140.63</v>
      </c>
      <c r="E321" t="s">
        <v>15</v>
      </c>
      <c r="F321" t="s">
        <v>11</v>
      </c>
      <c r="G321" t="s">
        <v>24</v>
      </c>
      <c r="H321">
        <v>18</v>
      </c>
    </row>
    <row r="322" spans="1:8" x14ac:dyDescent="0.3">
      <c r="A322" t="s">
        <v>643</v>
      </c>
      <c r="B322" t="s">
        <v>644</v>
      </c>
      <c r="C322" s="4">
        <v>44585</v>
      </c>
      <c r="D322">
        <v>371289.11</v>
      </c>
      <c r="E322" t="s">
        <v>10</v>
      </c>
      <c r="F322" t="s">
        <v>23</v>
      </c>
      <c r="G322" t="s">
        <v>12</v>
      </c>
      <c r="H322">
        <v>57</v>
      </c>
    </row>
    <row r="323" spans="1:8" x14ac:dyDescent="0.3">
      <c r="A323" t="s">
        <v>645</v>
      </c>
      <c r="B323" t="s">
        <v>646</v>
      </c>
      <c r="C323" s="4">
        <v>45762</v>
      </c>
      <c r="D323">
        <v>164222.81</v>
      </c>
      <c r="E323" t="s">
        <v>19</v>
      </c>
      <c r="F323" t="s">
        <v>11</v>
      </c>
      <c r="G323" t="s">
        <v>24</v>
      </c>
      <c r="H323">
        <v>34</v>
      </c>
    </row>
    <row r="324" spans="1:8" x14ac:dyDescent="0.3">
      <c r="A324" t="s">
        <v>647</v>
      </c>
      <c r="B324" t="s">
        <v>648</v>
      </c>
      <c r="C324" s="4">
        <v>45053</v>
      </c>
      <c r="D324">
        <v>398322</v>
      </c>
      <c r="E324" t="s">
        <v>10</v>
      </c>
      <c r="F324" t="s">
        <v>11</v>
      </c>
      <c r="G324" t="s">
        <v>12</v>
      </c>
      <c r="H324">
        <v>58</v>
      </c>
    </row>
    <row r="325" spans="1:8" x14ac:dyDescent="0.3">
      <c r="A325" t="s">
        <v>649</v>
      </c>
      <c r="B325" t="s">
        <v>650</v>
      </c>
      <c r="C325" s="4">
        <v>45032</v>
      </c>
      <c r="D325">
        <v>61320.62</v>
      </c>
      <c r="E325" t="s">
        <v>10</v>
      </c>
      <c r="F325" t="s">
        <v>20</v>
      </c>
      <c r="G325" t="s">
        <v>24</v>
      </c>
      <c r="H325">
        <v>44</v>
      </c>
    </row>
    <row r="326" spans="1:8" x14ac:dyDescent="0.3">
      <c r="A326" t="s">
        <v>651</v>
      </c>
      <c r="B326" t="s">
        <v>652</v>
      </c>
      <c r="C326" s="4">
        <v>45094</v>
      </c>
      <c r="D326">
        <v>345929.62</v>
      </c>
      <c r="E326" t="s">
        <v>15</v>
      </c>
      <c r="F326" t="s">
        <v>23</v>
      </c>
      <c r="G326" t="s">
        <v>24</v>
      </c>
      <c r="H326">
        <v>12</v>
      </c>
    </row>
    <row r="327" spans="1:8" x14ac:dyDescent="0.3">
      <c r="A327" t="s">
        <v>653</v>
      </c>
      <c r="B327" t="s">
        <v>654</v>
      </c>
      <c r="C327" s="4">
        <v>44853</v>
      </c>
      <c r="D327">
        <v>310183.83</v>
      </c>
      <c r="E327" t="s">
        <v>10</v>
      </c>
      <c r="F327" t="s">
        <v>34</v>
      </c>
      <c r="G327" t="s">
        <v>24</v>
      </c>
      <c r="H327">
        <v>48</v>
      </c>
    </row>
    <row r="328" spans="1:8" x14ac:dyDescent="0.3">
      <c r="A328" t="s">
        <v>655</v>
      </c>
      <c r="B328" t="s">
        <v>656</v>
      </c>
      <c r="C328" s="4">
        <v>45244</v>
      </c>
      <c r="D328">
        <v>409652.99</v>
      </c>
      <c r="E328" t="s">
        <v>10</v>
      </c>
      <c r="F328" t="s">
        <v>23</v>
      </c>
      <c r="G328" t="s">
        <v>24</v>
      </c>
      <c r="H328">
        <v>59</v>
      </c>
    </row>
    <row r="329" spans="1:8" x14ac:dyDescent="0.3">
      <c r="A329" t="s">
        <v>657</v>
      </c>
      <c r="B329" t="s">
        <v>658</v>
      </c>
      <c r="C329" s="4">
        <v>44647</v>
      </c>
      <c r="D329">
        <v>260675.02</v>
      </c>
      <c r="E329" t="s">
        <v>15</v>
      </c>
      <c r="F329" t="s">
        <v>23</v>
      </c>
      <c r="G329" t="s">
        <v>24</v>
      </c>
      <c r="H329">
        <v>20</v>
      </c>
    </row>
    <row r="330" spans="1:8" x14ac:dyDescent="0.3">
      <c r="A330" t="s">
        <v>659</v>
      </c>
      <c r="B330" t="s">
        <v>660</v>
      </c>
      <c r="C330" s="4">
        <v>44382</v>
      </c>
      <c r="D330">
        <v>252516.55</v>
      </c>
      <c r="E330" t="s">
        <v>19</v>
      </c>
      <c r="F330" t="s">
        <v>16</v>
      </c>
      <c r="G330" t="s">
        <v>12</v>
      </c>
      <c r="H330">
        <v>31</v>
      </c>
    </row>
    <row r="331" spans="1:8" x14ac:dyDescent="0.3">
      <c r="A331" t="s">
        <v>661</v>
      </c>
      <c r="B331" t="s">
        <v>662</v>
      </c>
      <c r="C331" s="4">
        <v>45346</v>
      </c>
      <c r="D331">
        <v>288512.78999999998</v>
      </c>
      <c r="E331" t="s">
        <v>19</v>
      </c>
      <c r="F331" t="s">
        <v>11</v>
      </c>
      <c r="G331" t="s">
        <v>12</v>
      </c>
      <c r="H331">
        <v>10</v>
      </c>
    </row>
    <row r="332" spans="1:8" x14ac:dyDescent="0.3">
      <c r="A332" t="s">
        <v>663</v>
      </c>
      <c r="B332" t="s">
        <v>664</v>
      </c>
      <c r="C332" s="4">
        <v>45368</v>
      </c>
      <c r="D332">
        <v>309774.02</v>
      </c>
      <c r="E332" t="s">
        <v>15</v>
      </c>
      <c r="F332" t="s">
        <v>11</v>
      </c>
      <c r="G332" t="s">
        <v>12</v>
      </c>
      <c r="H332">
        <v>8</v>
      </c>
    </row>
    <row r="333" spans="1:8" x14ac:dyDescent="0.3">
      <c r="A333" t="s">
        <v>665</v>
      </c>
      <c r="B333" t="s">
        <v>666</v>
      </c>
      <c r="C333" s="4">
        <v>45552</v>
      </c>
      <c r="D333">
        <v>324348.58</v>
      </c>
      <c r="E333" t="s">
        <v>10</v>
      </c>
      <c r="F333" t="s">
        <v>16</v>
      </c>
      <c r="G333" t="s">
        <v>24</v>
      </c>
      <c r="H333">
        <v>31</v>
      </c>
    </row>
    <row r="334" spans="1:8" x14ac:dyDescent="0.3">
      <c r="A334" t="s">
        <v>667</v>
      </c>
      <c r="B334" t="s">
        <v>668</v>
      </c>
      <c r="C334" s="4">
        <v>44503</v>
      </c>
      <c r="D334">
        <v>125802.81</v>
      </c>
      <c r="E334" t="s">
        <v>19</v>
      </c>
      <c r="F334" t="s">
        <v>34</v>
      </c>
      <c r="G334" t="s">
        <v>12</v>
      </c>
      <c r="H334">
        <v>5</v>
      </c>
    </row>
    <row r="335" spans="1:8" x14ac:dyDescent="0.3">
      <c r="A335" t="s">
        <v>669</v>
      </c>
      <c r="B335" t="s">
        <v>670</v>
      </c>
      <c r="C335" s="4">
        <v>45306</v>
      </c>
      <c r="D335">
        <v>383293.96</v>
      </c>
      <c r="E335" t="s">
        <v>10</v>
      </c>
      <c r="F335" t="s">
        <v>23</v>
      </c>
      <c r="G335" t="s">
        <v>12</v>
      </c>
      <c r="H335">
        <v>47</v>
      </c>
    </row>
    <row r="336" spans="1:8" x14ac:dyDescent="0.3">
      <c r="A336" t="s">
        <v>671</v>
      </c>
      <c r="B336" t="s">
        <v>672</v>
      </c>
      <c r="C336" s="4">
        <v>44573</v>
      </c>
      <c r="D336">
        <v>238127.82</v>
      </c>
      <c r="E336" t="s">
        <v>10</v>
      </c>
      <c r="F336" t="s">
        <v>23</v>
      </c>
      <c r="G336" t="s">
        <v>24</v>
      </c>
      <c r="H336">
        <v>18</v>
      </c>
    </row>
    <row r="337" spans="1:8" x14ac:dyDescent="0.3">
      <c r="A337" t="s">
        <v>673</v>
      </c>
      <c r="B337" t="s">
        <v>674</v>
      </c>
      <c r="C337" s="4">
        <v>44282</v>
      </c>
      <c r="D337">
        <v>362798.82</v>
      </c>
      <c r="E337" t="s">
        <v>10</v>
      </c>
      <c r="F337" t="s">
        <v>16</v>
      </c>
      <c r="G337" t="s">
        <v>24</v>
      </c>
      <c r="H337">
        <v>53</v>
      </c>
    </row>
    <row r="338" spans="1:8" x14ac:dyDescent="0.3">
      <c r="A338" t="s">
        <v>675</v>
      </c>
      <c r="B338" t="s">
        <v>676</v>
      </c>
      <c r="C338" s="4">
        <v>45439</v>
      </c>
      <c r="D338">
        <v>59022.83</v>
      </c>
      <c r="E338" t="s">
        <v>15</v>
      </c>
      <c r="F338" t="s">
        <v>34</v>
      </c>
      <c r="G338" t="s">
        <v>24</v>
      </c>
      <c r="H338">
        <v>46</v>
      </c>
    </row>
    <row r="339" spans="1:8" x14ac:dyDescent="0.3">
      <c r="A339" t="s">
        <v>677</v>
      </c>
      <c r="B339" t="s">
        <v>380</v>
      </c>
      <c r="C339" s="4">
        <v>45699</v>
      </c>
      <c r="D339">
        <v>50727.56</v>
      </c>
      <c r="E339" t="s">
        <v>15</v>
      </c>
      <c r="F339" t="s">
        <v>11</v>
      </c>
      <c r="G339" t="s">
        <v>12</v>
      </c>
      <c r="H339">
        <v>24</v>
      </c>
    </row>
    <row r="340" spans="1:8" x14ac:dyDescent="0.3">
      <c r="A340" t="s">
        <v>678</v>
      </c>
      <c r="B340" t="s">
        <v>679</v>
      </c>
      <c r="C340" s="4">
        <v>44751</v>
      </c>
      <c r="D340">
        <v>441455.45</v>
      </c>
      <c r="E340" t="s">
        <v>10</v>
      </c>
      <c r="F340" t="s">
        <v>23</v>
      </c>
      <c r="G340" t="s">
        <v>12</v>
      </c>
      <c r="H340">
        <v>28</v>
      </c>
    </row>
    <row r="341" spans="1:8" x14ac:dyDescent="0.3">
      <c r="A341" t="s">
        <v>680</v>
      </c>
      <c r="B341" t="s">
        <v>681</v>
      </c>
      <c r="C341" s="4">
        <v>45549</v>
      </c>
      <c r="D341">
        <v>381091.48</v>
      </c>
      <c r="E341" t="s">
        <v>15</v>
      </c>
      <c r="F341" t="s">
        <v>20</v>
      </c>
      <c r="G341" t="s">
        <v>24</v>
      </c>
      <c r="H341">
        <v>27</v>
      </c>
    </row>
    <row r="342" spans="1:8" x14ac:dyDescent="0.3">
      <c r="A342" t="s">
        <v>682</v>
      </c>
      <c r="B342" t="s">
        <v>683</v>
      </c>
      <c r="C342" s="4">
        <v>44836</v>
      </c>
      <c r="D342">
        <v>237731.86</v>
      </c>
      <c r="E342" t="s">
        <v>19</v>
      </c>
      <c r="F342" t="s">
        <v>11</v>
      </c>
      <c r="G342" t="s">
        <v>12</v>
      </c>
      <c r="H342">
        <v>13</v>
      </c>
    </row>
    <row r="343" spans="1:8" x14ac:dyDescent="0.3">
      <c r="A343" t="s">
        <v>684</v>
      </c>
      <c r="B343" t="s">
        <v>685</v>
      </c>
      <c r="C343" s="4">
        <v>45639</v>
      </c>
      <c r="D343">
        <v>422720.39</v>
      </c>
      <c r="E343" t="s">
        <v>15</v>
      </c>
      <c r="F343" t="s">
        <v>34</v>
      </c>
      <c r="G343" t="s">
        <v>12</v>
      </c>
      <c r="H343">
        <v>48</v>
      </c>
    </row>
    <row r="344" spans="1:8" x14ac:dyDescent="0.3">
      <c r="A344" t="s">
        <v>686</v>
      </c>
      <c r="B344" t="s">
        <v>687</v>
      </c>
      <c r="C344" s="4">
        <v>45047</v>
      </c>
      <c r="D344">
        <v>491666.16</v>
      </c>
      <c r="E344" t="s">
        <v>19</v>
      </c>
      <c r="F344" t="s">
        <v>11</v>
      </c>
      <c r="G344" t="s">
        <v>24</v>
      </c>
      <c r="H344">
        <v>42</v>
      </c>
    </row>
    <row r="345" spans="1:8" x14ac:dyDescent="0.3">
      <c r="A345" t="s">
        <v>688</v>
      </c>
      <c r="B345" t="s">
        <v>689</v>
      </c>
      <c r="C345" s="4">
        <v>44518</v>
      </c>
      <c r="D345">
        <v>372154.55</v>
      </c>
      <c r="E345" t="s">
        <v>10</v>
      </c>
      <c r="F345" t="s">
        <v>20</v>
      </c>
      <c r="G345" t="s">
        <v>24</v>
      </c>
      <c r="H345">
        <v>26</v>
      </c>
    </row>
    <row r="346" spans="1:8" x14ac:dyDescent="0.3">
      <c r="A346" t="s">
        <v>690</v>
      </c>
      <c r="B346" t="s">
        <v>149</v>
      </c>
      <c r="C346" s="4">
        <v>45443</v>
      </c>
      <c r="D346">
        <v>128668.89</v>
      </c>
      <c r="E346" t="s">
        <v>10</v>
      </c>
      <c r="F346" t="s">
        <v>16</v>
      </c>
      <c r="G346" t="s">
        <v>24</v>
      </c>
      <c r="H346">
        <v>16</v>
      </c>
    </row>
    <row r="347" spans="1:8" x14ac:dyDescent="0.3">
      <c r="A347" t="s">
        <v>691</v>
      </c>
      <c r="B347" t="s">
        <v>44</v>
      </c>
      <c r="C347" s="4">
        <v>45412</v>
      </c>
      <c r="D347">
        <v>112055.12</v>
      </c>
      <c r="E347" t="s">
        <v>15</v>
      </c>
      <c r="F347" t="s">
        <v>11</v>
      </c>
      <c r="G347" t="s">
        <v>12</v>
      </c>
      <c r="H347">
        <v>52</v>
      </c>
    </row>
    <row r="348" spans="1:8" x14ac:dyDescent="0.3">
      <c r="A348" t="s">
        <v>692</v>
      </c>
      <c r="B348" t="s">
        <v>693</v>
      </c>
      <c r="C348" s="4">
        <v>45532</v>
      </c>
      <c r="D348">
        <v>123096.32000000001</v>
      </c>
      <c r="E348" t="s">
        <v>10</v>
      </c>
      <c r="F348" t="s">
        <v>23</v>
      </c>
      <c r="G348" t="s">
        <v>24</v>
      </c>
      <c r="H348">
        <v>53</v>
      </c>
    </row>
    <row r="349" spans="1:8" x14ac:dyDescent="0.3">
      <c r="A349" t="s">
        <v>694</v>
      </c>
      <c r="B349" t="s">
        <v>695</v>
      </c>
      <c r="C349" s="4">
        <v>45622</v>
      </c>
      <c r="D349">
        <v>187074.71</v>
      </c>
      <c r="E349" t="s">
        <v>10</v>
      </c>
      <c r="F349" t="s">
        <v>34</v>
      </c>
      <c r="G349" t="s">
        <v>12</v>
      </c>
      <c r="H349">
        <v>7</v>
      </c>
    </row>
    <row r="350" spans="1:8" x14ac:dyDescent="0.3">
      <c r="A350" t="s">
        <v>696</v>
      </c>
      <c r="B350" t="s">
        <v>697</v>
      </c>
      <c r="C350" s="4">
        <v>45625</v>
      </c>
      <c r="D350">
        <v>460933.82</v>
      </c>
      <c r="E350" t="s">
        <v>10</v>
      </c>
      <c r="F350" t="s">
        <v>34</v>
      </c>
      <c r="G350" t="s">
        <v>12</v>
      </c>
      <c r="H350">
        <v>32</v>
      </c>
    </row>
    <row r="351" spans="1:8" x14ac:dyDescent="0.3">
      <c r="A351" t="s">
        <v>698</v>
      </c>
      <c r="B351" t="s">
        <v>699</v>
      </c>
      <c r="C351" s="4">
        <v>44657</v>
      </c>
      <c r="D351">
        <v>409627.62</v>
      </c>
      <c r="E351" t="s">
        <v>10</v>
      </c>
      <c r="F351" t="s">
        <v>34</v>
      </c>
      <c r="G351" t="s">
        <v>24</v>
      </c>
      <c r="H351">
        <v>41</v>
      </c>
    </row>
    <row r="352" spans="1:8" x14ac:dyDescent="0.3">
      <c r="A352" t="s">
        <v>700</v>
      </c>
      <c r="B352" t="s">
        <v>701</v>
      </c>
      <c r="C352" s="4">
        <v>44963</v>
      </c>
      <c r="D352">
        <v>87555.19</v>
      </c>
      <c r="E352" t="s">
        <v>10</v>
      </c>
      <c r="F352" t="s">
        <v>23</v>
      </c>
      <c r="G352" t="s">
        <v>24</v>
      </c>
      <c r="H352">
        <v>31</v>
      </c>
    </row>
    <row r="353" spans="1:8" x14ac:dyDescent="0.3">
      <c r="A353" t="s">
        <v>702</v>
      </c>
      <c r="B353" t="s">
        <v>703</v>
      </c>
      <c r="C353" s="4">
        <v>45430</v>
      </c>
      <c r="D353">
        <v>91520.639999999999</v>
      </c>
      <c r="E353" t="s">
        <v>10</v>
      </c>
      <c r="F353" t="s">
        <v>11</v>
      </c>
      <c r="G353" t="s">
        <v>12</v>
      </c>
      <c r="H353">
        <v>13</v>
      </c>
    </row>
    <row r="354" spans="1:8" x14ac:dyDescent="0.3">
      <c r="A354" t="s">
        <v>704</v>
      </c>
      <c r="B354" t="s">
        <v>705</v>
      </c>
      <c r="C354" s="4">
        <v>45646</v>
      </c>
      <c r="D354">
        <v>440418.6</v>
      </c>
      <c r="E354" t="s">
        <v>10</v>
      </c>
      <c r="F354" t="s">
        <v>11</v>
      </c>
      <c r="G354" t="s">
        <v>24</v>
      </c>
      <c r="H354">
        <v>8</v>
      </c>
    </row>
    <row r="355" spans="1:8" x14ac:dyDescent="0.3">
      <c r="A355" t="s">
        <v>706</v>
      </c>
      <c r="B355" t="s">
        <v>707</v>
      </c>
      <c r="C355" s="4">
        <v>45081</v>
      </c>
      <c r="D355">
        <v>336445.04</v>
      </c>
      <c r="E355" t="s">
        <v>19</v>
      </c>
      <c r="F355" t="s">
        <v>16</v>
      </c>
      <c r="G355" t="s">
        <v>24</v>
      </c>
      <c r="H355">
        <v>15</v>
      </c>
    </row>
    <row r="356" spans="1:8" x14ac:dyDescent="0.3">
      <c r="A356" t="s">
        <v>708</v>
      </c>
      <c r="B356" t="s">
        <v>709</v>
      </c>
      <c r="C356" s="4">
        <v>45534</v>
      </c>
      <c r="D356">
        <v>98554.05</v>
      </c>
      <c r="E356" t="s">
        <v>19</v>
      </c>
      <c r="F356" t="s">
        <v>34</v>
      </c>
      <c r="G356" t="s">
        <v>12</v>
      </c>
      <c r="H356">
        <v>22</v>
      </c>
    </row>
    <row r="357" spans="1:8" x14ac:dyDescent="0.3">
      <c r="A357" t="s">
        <v>710</v>
      </c>
      <c r="B357" t="s">
        <v>711</v>
      </c>
      <c r="C357" s="4">
        <v>44973</v>
      </c>
      <c r="D357">
        <v>128223.46</v>
      </c>
      <c r="E357" t="s">
        <v>10</v>
      </c>
      <c r="F357" t="s">
        <v>20</v>
      </c>
      <c r="G357" t="s">
        <v>12</v>
      </c>
      <c r="H357">
        <v>42</v>
      </c>
    </row>
    <row r="358" spans="1:8" x14ac:dyDescent="0.3">
      <c r="A358" t="s">
        <v>712</v>
      </c>
      <c r="B358" t="s">
        <v>713</v>
      </c>
      <c r="C358" s="4">
        <v>45531</v>
      </c>
      <c r="D358">
        <v>143477.29999999999</v>
      </c>
      <c r="E358" t="s">
        <v>10</v>
      </c>
      <c r="F358" t="s">
        <v>11</v>
      </c>
      <c r="G358" t="s">
        <v>24</v>
      </c>
      <c r="H358">
        <v>45</v>
      </c>
    </row>
    <row r="359" spans="1:8" x14ac:dyDescent="0.3">
      <c r="A359" t="s">
        <v>714</v>
      </c>
      <c r="B359" t="s">
        <v>715</v>
      </c>
      <c r="C359" s="4">
        <v>45207</v>
      </c>
      <c r="D359">
        <v>33015.050000000003</v>
      </c>
      <c r="E359" t="s">
        <v>15</v>
      </c>
      <c r="F359" t="s">
        <v>23</v>
      </c>
      <c r="G359" t="s">
        <v>24</v>
      </c>
      <c r="H359">
        <v>35</v>
      </c>
    </row>
    <row r="360" spans="1:8" x14ac:dyDescent="0.3">
      <c r="A360" t="s">
        <v>716</v>
      </c>
      <c r="B360" t="s">
        <v>316</v>
      </c>
      <c r="C360" s="4">
        <v>44847</v>
      </c>
      <c r="D360">
        <v>13690.15</v>
      </c>
      <c r="E360" t="s">
        <v>15</v>
      </c>
      <c r="F360" t="s">
        <v>34</v>
      </c>
      <c r="G360" t="s">
        <v>24</v>
      </c>
      <c r="H360">
        <v>18</v>
      </c>
    </row>
    <row r="361" spans="1:8" x14ac:dyDescent="0.3">
      <c r="A361" t="s">
        <v>717</v>
      </c>
      <c r="B361" t="s">
        <v>718</v>
      </c>
      <c r="C361" s="4">
        <v>45275</v>
      </c>
      <c r="D361">
        <v>46957.15</v>
      </c>
      <c r="E361" t="s">
        <v>19</v>
      </c>
      <c r="F361" t="s">
        <v>11</v>
      </c>
      <c r="G361" t="s">
        <v>24</v>
      </c>
      <c r="H361">
        <v>25</v>
      </c>
    </row>
    <row r="362" spans="1:8" x14ac:dyDescent="0.3">
      <c r="A362" t="s">
        <v>719</v>
      </c>
      <c r="B362" t="s">
        <v>720</v>
      </c>
      <c r="C362" s="4">
        <v>45409</v>
      </c>
      <c r="D362">
        <v>10149.32</v>
      </c>
      <c r="E362" t="s">
        <v>10</v>
      </c>
      <c r="F362" t="s">
        <v>16</v>
      </c>
      <c r="G362" t="s">
        <v>24</v>
      </c>
      <c r="H362">
        <v>11</v>
      </c>
    </row>
    <row r="363" spans="1:8" x14ac:dyDescent="0.3">
      <c r="A363" t="s">
        <v>721</v>
      </c>
      <c r="B363" t="s">
        <v>722</v>
      </c>
      <c r="C363" s="4">
        <v>44845</v>
      </c>
      <c r="D363">
        <v>11207.66</v>
      </c>
      <c r="E363" t="s">
        <v>19</v>
      </c>
      <c r="F363" t="s">
        <v>23</v>
      </c>
      <c r="G363" t="s">
        <v>12</v>
      </c>
      <c r="H363">
        <v>5</v>
      </c>
    </row>
    <row r="364" spans="1:8" x14ac:dyDescent="0.3">
      <c r="A364" t="s">
        <v>723</v>
      </c>
      <c r="B364" t="s">
        <v>724</v>
      </c>
      <c r="C364" s="4">
        <v>45421</v>
      </c>
      <c r="D364">
        <v>324749.94</v>
      </c>
      <c r="E364" t="s">
        <v>10</v>
      </c>
      <c r="F364" t="s">
        <v>23</v>
      </c>
      <c r="G364" t="s">
        <v>24</v>
      </c>
      <c r="H364">
        <v>48</v>
      </c>
    </row>
    <row r="365" spans="1:8" x14ac:dyDescent="0.3">
      <c r="A365" t="s">
        <v>725</v>
      </c>
      <c r="B365" t="s">
        <v>726</v>
      </c>
      <c r="C365" s="4">
        <v>44832</v>
      </c>
      <c r="D365">
        <v>284541.81</v>
      </c>
      <c r="E365" t="s">
        <v>19</v>
      </c>
      <c r="F365" t="s">
        <v>16</v>
      </c>
      <c r="G365" t="s">
        <v>24</v>
      </c>
      <c r="H365">
        <v>3</v>
      </c>
    </row>
    <row r="366" spans="1:8" x14ac:dyDescent="0.3">
      <c r="A366" t="s">
        <v>727</v>
      </c>
      <c r="B366" t="s">
        <v>728</v>
      </c>
      <c r="C366" s="4">
        <v>44474</v>
      </c>
      <c r="D366">
        <v>422592.4</v>
      </c>
      <c r="E366" t="s">
        <v>10</v>
      </c>
      <c r="F366" t="s">
        <v>23</v>
      </c>
      <c r="G366" t="s">
        <v>12</v>
      </c>
      <c r="H366">
        <v>51</v>
      </c>
    </row>
    <row r="367" spans="1:8" x14ac:dyDescent="0.3">
      <c r="A367" t="s">
        <v>729</v>
      </c>
      <c r="B367" t="s">
        <v>730</v>
      </c>
      <c r="C367" s="4">
        <v>45167</v>
      </c>
      <c r="D367">
        <v>218857.44</v>
      </c>
      <c r="E367" t="s">
        <v>15</v>
      </c>
      <c r="F367" t="s">
        <v>20</v>
      </c>
      <c r="G367" t="s">
        <v>24</v>
      </c>
      <c r="H367">
        <v>56</v>
      </c>
    </row>
    <row r="368" spans="1:8" x14ac:dyDescent="0.3">
      <c r="A368" t="s">
        <v>731</v>
      </c>
      <c r="B368" t="s">
        <v>732</v>
      </c>
      <c r="C368" s="4">
        <v>45528</v>
      </c>
      <c r="D368">
        <v>454521</v>
      </c>
      <c r="E368" t="s">
        <v>19</v>
      </c>
      <c r="F368" t="s">
        <v>34</v>
      </c>
      <c r="G368" t="s">
        <v>12</v>
      </c>
      <c r="H368">
        <v>43</v>
      </c>
    </row>
    <row r="369" spans="1:8" x14ac:dyDescent="0.3">
      <c r="A369" t="s">
        <v>733</v>
      </c>
      <c r="B369" t="s">
        <v>734</v>
      </c>
      <c r="C369" s="4">
        <v>45355</v>
      </c>
      <c r="D369">
        <v>478942.04</v>
      </c>
      <c r="E369" t="s">
        <v>15</v>
      </c>
      <c r="F369" t="s">
        <v>16</v>
      </c>
      <c r="G369" t="s">
        <v>24</v>
      </c>
      <c r="H369">
        <v>50</v>
      </c>
    </row>
    <row r="370" spans="1:8" x14ac:dyDescent="0.3">
      <c r="A370" t="s">
        <v>735</v>
      </c>
      <c r="B370" t="s">
        <v>736</v>
      </c>
      <c r="C370" s="4">
        <v>45544</v>
      </c>
      <c r="D370">
        <v>31159.05</v>
      </c>
      <c r="E370" t="s">
        <v>19</v>
      </c>
      <c r="F370" t="s">
        <v>23</v>
      </c>
      <c r="G370" t="s">
        <v>12</v>
      </c>
      <c r="H370">
        <v>11</v>
      </c>
    </row>
    <row r="371" spans="1:8" x14ac:dyDescent="0.3">
      <c r="A371" t="s">
        <v>737</v>
      </c>
      <c r="B371" t="s">
        <v>738</v>
      </c>
      <c r="C371" s="4">
        <v>44922</v>
      </c>
      <c r="D371">
        <v>348822.23</v>
      </c>
      <c r="E371" t="s">
        <v>10</v>
      </c>
      <c r="F371" t="s">
        <v>20</v>
      </c>
      <c r="G371" t="s">
        <v>12</v>
      </c>
      <c r="H371">
        <v>35</v>
      </c>
    </row>
    <row r="372" spans="1:8" x14ac:dyDescent="0.3">
      <c r="A372" t="s">
        <v>739</v>
      </c>
      <c r="B372" t="s">
        <v>740</v>
      </c>
      <c r="C372" s="4">
        <v>45601</v>
      </c>
      <c r="D372">
        <v>41176.01</v>
      </c>
      <c r="E372" t="s">
        <v>19</v>
      </c>
      <c r="F372" t="s">
        <v>11</v>
      </c>
      <c r="G372" t="s">
        <v>12</v>
      </c>
      <c r="H372">
        <v>58</v>
      </c>
    </row>
    <row r="373" spans="1:8" x14ac:dyDescent="0.3">
      <c r="A373" t="s">
        <v>741</v>
      </c>
      <c r="B373" t="s">
        <v>742</v>
      </c>
      <c r="C373" s="4">
        <v>44155</v>
      </c>
      <c r="D373">
        <v>344850.77</v>
      </c>
      <c r="E373" t="s">
        <v>15</v>
      </c>
      <c r="F373" t="s">
        <v>11</v>
      </c>
      <c r="G373" t="s">
        <v>12</v>
      </c>
      <c r="H373">
        <v>58</v>
      </c>
    </row>
    <row r="374" spans="1:8" x14ac:dyDescent="0.3">
      <c r="A374" t="s">
        <v>743</v>
      </c>
      <c r="B374" t="s">
        <v>309</v>
      </c>
      <c r="C374" s="4">
        <v>44686</v>
      </c>
      <c r="D374">
        <v>274916.26</v>
      </c>
      <c r="E374" t="s">
        <v>10</v>
      </c>
      <c r="F374" t="s">
        <v>23</v>
      </c>
      <c r="G374" t="s">
        <v>12</v>
      </c>
      <c r="H374">
        <v>49</v>
      </c>
    </row>
    <row r="375" spans="1:8" x14ac:dyDescent="0.3">
      <c r="A375" t="s">
        <v>744</v>
      </c>
      <c r="B375" t="s">
        <v>745</v>
      </c>
      <c r="C375" s="4">
        <v>44999</v>
      </c>
      <c r="D375">
        <v>305318.71000000002</v>
      </c>
      <c r="E375" t="s">
        <v>15</v>
      </c>
      <c r="F375" t="s">
        <v>34</v>
      </c>
      <c r="G375" t="s">
        <v>12</v>
      </c>
      <c r="H375">
        <v>12</v>
      </c>
    </row>
    <row r="376" spans="1:8" x14ac:dyDescent="0.3">
      <c r="A376" t="s">
        <v>746</v>
      </c>
      <c r="B376" t="s">
        <v>747</v>
      </c>
      <c r="C376" s="4">
        <v>45068</v>
      </c>
      <c r="D376">
        <v>173395.14</v>
      </c>
      <c r="E376" t="s">
        <v>10</v>
      </c>
      <c r="F376" t="s">
        <v>23</v>
      </c>
      <c r="G376" t="s">
        <v>24</v>
      </c>
      <c r="H376">
        <v>5</v>
      </c>
    </row>
    <row r="377" spans="1:8" x14ac:dyDescent="0.3">
      <c r="A377" t="s">
        <v>748</v>
      </c>
      <c r="B377" t="s">
        <v>749</v>
      </c>
      <c r="C377" s="4">
        <v>45381</v>
      </c>
      <c r="D377">
        <v>454027.59</v>
      </c>
      <c r="E377" t="s">
        <v>15</v>
      </c>
      <c r="F377" t="s">
        <v>11</v>
      </c>
      <c r="G377" t="s">
        <v>12</v>
      </c>
      <c r="H377">
        <v>19</v>
      </c>
    </row>
    <row r="378" spans="1:8" x14ac:dyDescent="0.3">
      <c r="A378" t="s">
        <v>750</v>
      </c>
      <c r="B378" t="s">
        <v>751</v>
      </c>
      <c r="C378" s="4">
        <v>45055</v>
      </c>
      <c r="D378">
        <v>425834.29</v>
      </c>
      <c r="E378" t="s">
        <v>15</v>
      </c>
      <c r="F378" t="s">
        <v>16</v>
      </c>
      <c r="G378" t="s">
        <v>12</v>
      </c>
      <c r="H378">
        <v>44</v>
      </c>
    </row>
    <row r="379" spans="1:8" x14ac:dyDescent="0.3">
      <c r="A379" t="s">
        <v>752</v>
      </c>
      <c r="B379" t="s">
        <v>753</v>
      </c>
      <c r="C379" s="4">
        <v>45064</v>
      </c>
      <c r="D379">
        <v>394241.52</v>
      </c>
      <c r="E379" t="s">
        <v>19</v>
      </c>
      <c r="F379" t="s">
        <v>34</v>
      </c>
      <c r="G379" t="s">
        <v>24</v>
      </c>
      <c r="H379">
        <v>58</v>
      </c>
    </row>
    <row r="380" spans="1:8" x14ac:dyDescent="0.3">
      <c r="A380" t="s">
        <v>754</v>
      </c>
      <c r="B380" t="s">
        <v>623</v>
      </c>
      <c r="C380" s="4">
        <v>45152</v>
      </c>
      <c r="D380">
        <v>312296.73</v>
      </c>
      <c r="E380" t="s">
        <v>15</v>
      </c>
      <c r="F380" t="s">
        <v>34</v>
      </c>
      <c r="G380" t="s">
        <v>24</v>
      </c>
      <c r="H380">
        <v>33</v>
      </c>
    </row>
    <row r="381" spans="1:8" x14ac:dyDescent="0.3">
      <c r="A381" t="s">
        <v>755</v>
      </c>
      <c r="B381" t="s">
        <v>681</v>
      </c>
      <c r="C381" s="4">
        <v>45146</v>
      </c>
      <c r="D381">
        <v>14155.31</v>
      </c>
      <c r="E381" t="s">
        <v>15</v>
      </c>
      <c r="F381" t="s">
        <v>20</v>
      </c>
      <c r="G381" t="s">
        <v>12</v>
      </c>
      <c r="H381">
        <v>55</v>
      </c>
    </row>
    <row r="382" spans="1:8" x14ac:dyDescent="0.3">
      <c r="A382" t="s">
        <v>756</v>
      </c>
      <c r="B382" t="s">
        <v>757</v>
      </c>
      <c r="C382" s="4">
        <v>45538</v>
      </c>
      <c r="D382">
        <v>76100.73</v>
      </c>
      <c r="E382" t="s">
        <v>15</v>
      </c>
      <c r="F382" t="s">
        <v>20</v>
      </c>
      <c r="G382" t="s">
        <v>12</v>
      </c>
      <c r="H382">
        <v>33</v>
      </c>
    </row>
    <row r="383" spans="1:8" x14ac:dyDescent="0.3">
      <c r="A383" t="s">
        <v>758</v>
      </c>
      <c r="B383" t="s">
        <v>759</v>
      </c>
      <c r="C383" s="4">
        <v>45218</v>
      </c>
      <c r="D383">
        <v>488183.98</v>
      </c>
      <c r="E383" t="s">
        <v>19</v>
      </c>
      <c r="F383" t="s">
        <v>34</v>
      </c>
      <c r="G383" t="s">
        <v>24</v>
      </c>
      <c r="H383">
        <v>19</v>
      </c>
    </row>
    <row r="384" spans="1:8" x14ac:dyDescent="0.3">
      <c r="A384" t="s">
        <v>760</v>
      </c>
      <c r="B384" t="s">
        <v>761</v>
      </c>
      <c r="C384" s="4">
        <v>45462</v>
      </c>
      <c r="D384">
        <v>402924.1</v>
      </c>
      <c r="E384" t="s">
        <v>10</v>
      </c>
      <c r="F384" t="s">
        <v>34</v>
      </c>
      <c r="G384" t="s">
        <v>12</v>
      </c>
      <c r="H384">
        <v>31</v>
      </c>
    </row>
    <row r="385" spans="1:8" x14ac:dyDescent="0.3">
      <c r="A385" t="s">
        <v>762</v>
      </c>
      <c r="B385" t="s">
        <v>763</v>
      </c>
      <c r="C385" s="4">
        <v>45135</v>
      </c>
      <c r="D385">
        <v>283843.20000000001</v>
      </c>
      <c r="E385" t="s">
        <v>10</v>
      </c>
      <c r="F385" t="s">
        <v>16</v>
      </c>
      <c r="G385" t="s">
        <v>12</v>
      </c>
      <c r="H385">
        <v>46</v>
      </c>
    </row>
    <row r="386" spans="1:8" x14ac:dyDescent="0.3">
      <c r="A386" t="s">
        <v>764</v>
      </c>
      <c r="B386" t="s">
        <v>765</v>
      </c>
      <c r="C386" s="4">
        <v>45555</v>
      </c>
      <c r="D386">
        <v>86631.74</v>
      </c>
      <c r="E386" t="s">
        <v>10</v>
      </c>
      <c r="F386" t="s">
        <v>11</v>
      </c>
      <c r="G386" t="s">
        <v>12</v>
      </c>
      <c r="H386">
        <v>42</v>
      </c>
    </row>
    <row r="387" spans="1:8" x14ac:dyDescent="0.3">
      <c r="A387" t="s">
        <v>766</v>
      </c>
      <c r="B387" t="s">
        <v>767</v>
      </c>
      <c r="C387" s="4">
        <v>44405</v>
      </c>
      <c r="D387">
        <v>343108.68</v>
      </c>
      <c r="E387" t="s">
        <v>19</v>
      </c>
      <c r="F387" t="s">
        <v>23</v>
      </c>
      <c r="G387" t="s">
        <v>12</v>
      </c>
      <c r="H387">
        <v>59</v>
      </c>
    </row>
    <row r="388" spans="1:8" x14ac:dyDescent="0.3">
      <c r="A388" t="s">
        <v>768</v>
      </c>
      <c r="B388" t="s">
        <v>769</v>
      </c>
      <c r="C388" s="4">
        <v>45437</v>
      </c>
      <c r="D388">
        <v>235657.28</v>
      </c>
      <c r="E388" t="s">
        <v>15</v>
      </c>
      <c r="F388" t="s">
        <v>23</v>
      </c>
      <c r="G388" t="s">
        <v>24</v>
      </c>
      <c r="H388">
        <v>10</v>
      </c>
    </row>
    <row r="389" spans="1:8" x14ac:dyDescent="0.3">
      <c r="A389" t="s">
        <v>770</v>
      </c>
      <c r="B389" t="s">
        <v>771</v>
      </c>
      <c r="C389" s="4">
        <v>45276</v>
      </c>
      <c r="D389">
        <v>434969.59</v>
      </c>
      <c r="E389" t="s">
        <v>10</v>
      </c>
      <c r="F389" t="s">
        <v>34</v>
      </c>
      <c r="G389" t="s">
        <v>12</v>
      </c>
      <c r="H389">
        <v>49</v>
      </c>
    </row>
    <row r="390" spans="1:8" x14ac:dyDescent="0.3">
      <c r="A390" t="s">
        <v>772</v>
      </c>
      <c r="B390" t="s">
        <v>773</v>
      </c>
      <c r="C390" s="4">
        <v>45458</v>
      </c>
      <c r="D390">
        <v>448471.85</v>
      </c>
      <c r="E390" t="s">
        <v>19</v>
      </c>
      <c r="F390" t="s">
        <v>16</v>
      </c>
      <c r="G390" t="s">
        <v>24</v>
      </c>
      <c r="H390">
        <v>8</v>
      </c>
    </row>
    <row r="391" spans="1:8" x14ac:dyDescent="0.3">
      <c r="A391" t="s">
        <v>774</v>
      </c>
      <c r="B391" t="s">
        <v>745</v>
      </c>
      <c r="C391" s="4">
        <v>45224</v>
      </c>
      <c r="D391">
        <v>152745.71</v>
      </c>
      <c r="E391" t="s">
        <v>15</v>
      </c>
      <c r="F391" t="s">
        <v>23</v>
      </c>
      <c r="G391" t="s">
        <v>12</v>
      </c>
      <c r="H391">
        <v>59</v>
      </c>
    </row>
    <row r="392" spans="1:8" x14ac:dyDescent="0.3">
      <c r="A392" t="s">
        <v>775</v>
      </c>
      <c r="B392" t="s">
        <v>776</v>
      </c>
      <c r="C392" s="4">
        <v>44544</v>
      </c>
      <c r="D392">
        <v>326726.24</v>
      </c>
      <c r="E392" t="s">
        <v>10</v>
      </c>
      <c r="F392" t="s">
        <v>16</v>
      </c>
      <c r="G392" t="s">
        <v>24</v>
      </c>
      <c r="H392">
        <v>45</v>
      </c>
    </row>
    <row r="393" spans="1:8" x14ac:dyDescent="0.3">
      <c r="A393" t="s">
        <v>777</v>
      </c>
      <c r="B393" t="s">
        <v>778</v>
      </c>
      <c r="C393" s="4">
        <v>44777</v>
      </c>
      <c r="D393">
        <v>82619.67</v>
      </c>
      <c r="E393" t="s">
        <v>15</v>
      </c>
      <c r="F393" t="s">
        <v>11</v>
      </c>
      <c r="G393" t="s">
        <v>12</v>
      </c>
      <c r="H393">
        <v>48</v>
      </c>
    </row>
    <row r="394" spans="1:8" x14ac:dyDescent="0.3">
      <c r="A394" t="s">
        <v>779</v>
      </c>
      <c r="B394" t="s">
        <v>780</v>
      </c>
      <c r="C394" s="4">
        <v>45468</v>
      </c>
      <c r="D394">
        <v>457294.86</v>
      </c>
      <c r="E394" t="s">
        <v>15</v>
      </c>
      <c r="F394" t="s">
        <v>16</v>
      </c>
      <c r="G394" t="s">
        <v>24</v>
      </c>
      <c r="H394">
        <v>43</v>
      </c>
    </row>
    <row r="395" spans="1:8" x14ac:dyDescent="0.3">
      <c r="A395" t="s">
        <v>781</v>
      </c>
      <c r="B395" t="s">
        <v>782</v>
      </c>
      <c r="C395" s="4">
        <v>44948</v>
      </c>
      <c r="D395">
        <v>429303.17</v>
      </c>
      <c r="E395" t="s">
        <v>19</v>
      </c>
      <c r="F395" t="s">
        <v>16</v>
      </c>
      <c r="G395" t="s">
        <v>12</v>
      </c>
      <c r="H395">
        <v>55</v>
      </c>
    </row>
    <row r="396" spans="1:8" x14ac:dyDescent="0.3">
      <c r="A396" t="s">
        <v>783</v>
      </c>
      <c r="B396" t="s">
        <v>784</v>
      </c>
      <c r="C396" s="4">
        <v>44391</v>
      </c>
      <c r="D396">
        <v>268811.09999999998</v>
      </c>
      <c r="E396" t="s">
        <v>15</v>
      </c>
      <c r="F396" t="s">
        <v>11</v>
      </c>
      <c r="G396" t="s">
        <v>12</v>
      </c>
      <c r="H396">
        <v>8</v>
      </c>
    </row>
    <row r="397" spans="1:8" x14ac:dyDescent="0.3">
      <c r="A397" t="s">
        <v>785</v>
      </c>
      <c r="B397" t="s">
        <v>786</v>
      </c>
      <c r="C397" s="4">
        <v>45148</v>
      </c>
      <c r="D397">
        <v>107906.6</v>
      </c>
      <c r="E397" t="s">
        <v>10</v>
      </c>
      <c r="F397" t="s">
        <v>16</v>
      </c>
      <c r="G397" t="s">
        <v>12</v>
      </c>
      <c r="H397">
        <v>13</v>
      </c>
    </row>
    <row r="398" spans="1:8" x14ac:dyDescent="0.3">
      <c r="A398" t="s">
        <v>787</v>
      </c>
      <c r="B398" t="s">
        <v>788</v>
      </c>
      <c r="C398" s="4">
        <v>44743</v>
      </c>
      <c r="D398">
        <v>73842.8</v>
      </c>
      <c r="E398" t="s">
        <v>15</v>
      </c>
      <c r="F398" t="s">
        <v>20</v>
      </c>
      <c r="G398" t="s">
        <v>24</v>
      </c>
      <c r="H398">
        <v>41</v>
      </c>
    </row>
    <row r="399" spans="1:8" x14ac:dyDescent="0.3">
      <c r="A399" t="s">
        <v>789</v>
      </c>
      <c r="B399" t="s">
        <v>790</v>
      </c>
      <c r="C399" s="4">
        <v>45561</v>
      </c>
      <c r="D399">
        <v>168188.43</v>
      </c>
      <c r="E399" t="s">
        <v>19</v>
      </c>
      <c r="F399" t="s">
        <v>16</v>
      </c>
      <c r="G399" t="s">
        <v>12</v>
      </c>
      <c r="H399">
        <v>5</v>
      </c>
    </row>
    <row r="400" spans="1:8" x14ac:dyDescent="0.3">
      <c r="A400" t="s">
        <v>791</v>
      </c>
      <c r="B400" t="s">
        <v>792</v>
      </c>
      <c r="C400" s="4">
        <v>44211</v>
      </c>
      <c r="D400">
        <v>418126.19</v>
      </c>
      <c r="E400" t="s">
        <v>15</v>
      </c>
      <c r="F400" t="s">
        <v>20</v>
      </c>
      <c r="G400" t="s">
        <v>24</v>
      </c>
      <c r="H400">
        <v>8</v>
      </c>
    </row>
    <row r="401" spans="1:8" x14ac:dyDescent="0.3">
      <c r="A401" t="s">
        <v>793</v>
      </c>
      <c r="B401" t="s">
        <v>794</v>
      </c>
      <c r="C401" s="4">
        <v>45336</v>
      </c>
      <c r="D401">
        <v>369971.69</v>
      </c>
      <c r="E401" t="s">
        <v>10</v>
      </c>
      <c r="F401" t="s">
        <v>34</v>
      </c>
      <c r="G401" t="s">
        <v>24</v>
      </c>
      <c r="H401">
        <v>20</v>
      </c>
    </row>
    <row r="402" spans="1:8" x14ac:dyDescent="0.3">
      <c r="A402" t="s">
        <v>795</v>
      </c>
      <c r="B402" t="s">
        <v>796</v>
      </c>
      <c r="C402" s="4">
        <v>45164</v>
      </c>
      <c r="D402">
        <v>273625.53000000003</v>
      </c>
      <c r="E402" t="s">
        <v>19</v>
      </c>
      <c r="F402" t="s">
        <v>20</v>
      </c>
      <c r="G402" t="s">
        <v>12</v>
      </c>
      <c r="H402">
        <v>6</v>
      </c>
    </row>
    <row r="403" spans="1:8" x14ac:dyDescent="0.3">
      <c r="A403" t="s">
        <v>797</v>
      </c>
      <c r="B403" t="s">
        <v>798</v>
      </c>
      <c r="C403" s="4">
        <v>44621</v>
      </c>
      <c r="D403">
        <v>209834.07</v>
      </c>
      <c r="E403" t="s">
        <v>19</v>
      </c>
      <c r="F403" t="s">
        <v>20</v>
      </c>
      <c r="G403" t="s">
        <v>12</v>
      </c>
      <c r="H403">
        <v>11</v>
      </c>
    </row>
    <row r="404" spans="1:8" x14ac:dyDescent="0.3">
      <c r="A404" t="s">
        <v>799</v>
      </c>
      <c r="B404" t="s">
        <v>800</v>
      </c>
      <c r="C404" s="4">
        <v>45643</v>
      </c>
      <c r="D404">
        <v>370261.95</v>
      </c>
      <c r="E404" t="s">
        <v>19</v>
      </c>
      <c r="F404" t="s">
        <v>16</v>
      </c>
      <c r="G404" t="s">
        <v>24</v>
      </c>
      <c r="H404">
        <v>29</v>
      </c>
    </row>
    <row r="405" spans="1:8" x14ac:dyDescent="0.3">
      <c r="A405" t="s">
        <v>801</v>
      </c>
      <c r="B405" t="s">
        <v>802</v>
      </c>
      <c r="C405" s="4">
        <v>44423</v>
      </c>
      <c r="D405">
        <v>189336.57</v>
      </c>
      <c r="E405" t="s">
        <v>15</v>
      </c>
      <c r="F405" t="s">
        <v>20</v>
      </c>
      <c r="G405" t="s">
        <v>24</v>
      </c>
      <c r="H405">
        <v>38</v>
      </c>
    </row>
    <row r="406" spans="1:8" x14ac:dyDescent="0.3">
      <c r="A406" t="s">
        <v>803</v>
      </c>
      <c r="B406" t="s">
        <v>804</v>
      </c>
      <c r="C406" s="4">
        <v>44925</v>
      </c>
      <c r="D406">
        <v>324147.59000000003</v>
      </c>
      <c r="E406" t="s">
        <v>10</v>
      </c>
      <c r="F406" t="s">
        <v>16</v>
      </c>
      <c r="G406" t="s">
        <v>12</v>
      </c>
      <c r="H406">
        <v>57</v>
      </c>
    </row>
    <row r="407" spans="1:8" x14ac:dyDescent="0.3">
      <c r="A407" t="s">
        <v>805</v>
      </c>
      <c r="B407" t="s">
        <v>806</v>
      </c>
      <c r="C407" s="4">
        <v>45230</v>
      </c>
      <c r="D407">
        <v>406856.5</v>
      </c>
      <c r="E407" t="s">
        <v>10</v>
      </c>
      <c r="F407" t="s">
        <v>34</v>
      </c>
      <c r="G407" t="s">
        <v>12</v>
      </c>
      <c r="H407">
        <v>23</v>
      </c>
    </row>
    <row r="408" spans="1:8" x14ac:dyDescent="0.3">
      <c r="A408" t="s">
        <v>807</v>
      </c>
      <c r="B408" t="s">
        <v>808</v>
      </c>
      <c r="C408" s="4">
        <v>45246</v>
      </c>
      <c r="D408">
        <v>462707.64</v>
      </c>
      <c r="E408" t="s">
        <v>10</v>
      </c>
      <c r="F408" t="s">
        <v>16</v>
      </c>
      <c r="G408" t="s">
        <v>12</v>
      </c>
      <c r="H408">
        <v>37</v>
      </c>
    </row>
    <row r="409" spans="1:8" x14ac:dyDescent="0.3">
      <c r="A409" t="s">
        <v>809</v>
      </c>
      <c r="B409" t="s">
        <v>810</v>
      </c>
      <c r="C409" s="4">
        <v>45529</v>
      </c>
      <c r="D409">
        <v>94124.21</v>
      </c>
      <c r="E409" t="s">
        <v>15</v>
      </c>
      <c r="F409" t="s">
        <v>23</v>
      </c>
      <c r="G409" t="s">
        <v>24</v>
      </c>
      <c r="H409">
        <v>55</v>
      </c>
    </row>
    <row r="410" spans="1:8" x14ac:dyDescent="0.3">
      <c r="A410" t="s">
        <v>811</v>
      </c>
      <c r="B410" t="s">
        <v>812</v>
      </c>
      <c r="C410" s="4">
        <v>45141</v>
      </c>
      <c r="D410">
        <v>262521.26</v>
      </c>
      <c r="E410" t="s">
        <v>10</v>
      </c>
      <c r="F410" t="s">
        <v>34</v>
      </c>
      <c r="G410" t="s">
        <v>12</v>
      </c>
      <c r="H410">
        <v>18</v>
      </c>
    </row>
    <row r="411" spans="1:8" x14ac:dyDescent="0.3">
      <c r="A411" t="s">
        <v>813</v>
      </c>
      <c r="B411" t="s">
        <v>382</v>
      </c>
      <c r="C411" s="4">
        <v>45450</v>
      </c>
      <c r="D411">
        <v>212519.8</v>
      </c>
      <c r="E411" t="s">
        <v>10</v>
      </c>
      <c r="F411" t="s">
        <v>20</v>
      </c>
      <c r="G411" t="s">
        <v>12</v>
      </c>
      <c r="H411">
        <v>53</v>
      </c>
    </row>
    <row r="412" spans="1:8" x14ac:dyDescent="0.3">
      <c r="A412" t="s">
        <v>814</v>
      </c>
      <c r="B412" t="s">
        <v>815</v>
      </c>
      <c r="C412" s="4">
        <v>45296</v>
      </c>
      <c r="D412">
        <v>34936.050000000003</v>
      </c>
      <c r="E412" t="s">
        <v>10</v>
      </c>
      <c r="F412" t="s">
        <v>16</v>
      </c>
      <c r="G412" t="s">
        <v>24</v>
      </c>
      <c r="H412">
        <v>6</v>
      </c>
    </row>
    <row r="413" spans="1:8" x14ac:dyDescent="0.3">
      <c r="A413" t="s">
        <v>816</v>
      </c>
      <c r="B413" t="s">
        <v>817</v>
      </c>
      <c r="C413" s="4">
        <v>45089</v>
      </c>
      <c r="D413">
        <v>145347.51999999999</v>
      </c>
      <c r="E413" t="s">
        <v>19</v>
      </c>
      <c r="F413" t="s">
        <v>23</v>
      </c>
      <c r="G413" t="s">
        <v>12</v>
      </c>
      <c r="H413">
        <v>46</v>
      </c>
    </row>
    <row r="414" spans="1:8" x14ac:dyDescent="0.3">
      <c r="A414" t="s">
        <v>818</v>
      </c>
      <c r="B414" t="s">
        <v>819</v>
      </c>
      <c r="C414" s="4">
        <v>45728</v>
      </c>
      <c r="D414">
        <v>277762.19</v>
      </c>
      <c r="E414" t="s">
        <v>15</v>
      </c>
      <c r="F414" t="s">
        <v>23</v>
      </c>
      <c r="G414" t="s">
        <v>24</v>
      </c>
      <c r="H414">
        <v>40</v>
      </c>
    </row>
    <row r="415" spans="1:8" x14ac:dyDescent="0.3">
      <c r="A415" t="s">
        <v>820</v>
      </c>
      <c r="B415" t="s">
        <v>320</v>
      </c>
      <c r="C415" s="4">
        <v>45598</v>
      </c>
      <c r="D415">
        <v>300843.15999999997</v>
      </c>
      <c r="E415" t="s">
        <v>10</v>
      </c>
      <c r="F415" t="s">
        <v>20</v>
      </c>
      <c r="G415" t="s">
        <v>12</v>
      </c>
      <c r="H415">
        <v>39</v>
      </c>
    </row>
    <row r="416" spans="1:8" x14ac:dyDescent="0.3">
      <c r="A416" t="s">
        <v>821</v>
      </c>
      <c r="B416" t="s">
        <v>822</v>
      </c>
      <c r="C416" s="4">
        <v>45381</v>
      </c>
      <c r="D416">
        <v>309943.75</v>
      </c>
      <c r="E416" t="s">
        <v>19</v>
      </c>
      <c r="F416" t="s">
        <v>16</v>
      </c>
      <c r="G416" t="s">
        <v>24</v>
      </c>
      <c r="H416">
        <v>55</v>
      </c>
    </row>
    <row r="417" spans="1:8" x14ac:dyDescent="0.3">
      <c r="A417" t="s">
        <v>823</v>
      </c>
      <c r="B417" t="s">
        <v>824</v>
      </c>
      <c r="C417" s="4">
        <v>45237</v>
      </c>
      <c r="D417">
        <v>164012.60999999999</v>
      </c>
      <c r="E417" t="s">
        <v>19</v>
      </c>
      <c r="F417" t="s">
        <v>11</v>
      </c>
      <c r="G417" t="s">
        <v>24</v>
      </c>
      <c r="H417">
        <v>36</v>
      </c>
    </row>
    <row r="418" spans="1:8" x14ac:dyDescent="0.3">
      <c r="A418" t="s">
        <v>825</v>
      </c>
      <c r="B418" t="s">
        <v>826</v>
      </c>
      <c r="C418" s="4">
        <v>45088</v>
      </c>
      <c r="D418">
        <v>338026.94</v>
      </c>
      <c r="E418" t="s">
        <v>10</v>
      </c>
      <c r="F418" t="s">
        <v>11</v>
      </c>
      <c r="G418" t="s">
        <v>24</v>
      </c>
      <c r="H418">
        <v>26</v>
      </c>
    </row>
    <row r="419" spans="1:8" x14ac:dyDescent="0.3">
      <c r="A419" t="s">
        <v>827</v>
      </c>
      <c r="B419" t="s">
        <v>408</v>
      </c>
      <c r="C419" s="4">
        <v>45287</v>
      </c>
      <c r="D419">
        <v>372008.28</v>
      </c>
      <c r="E419" t="s">
        <v>19</v>
      </c>
      <c r="F419" t="s">
        <v>11</v>
      </c>
      <c r="G419" t="s">
        <v>24</v>
      </c>
      <c r="H419">
        <v>3</v>
      </c>
    </row>
    <row r="420" spans="1:8" x14ac:dyDescent="0.3">
      <c r="A420" t="s">
        <v>828</v>
      </c>
      <c r="B420" t="s">
        <v>608</v>
      </c>
      <c r="C420" s="4">
        <v>45345</v>
      </c>
      <c r="D420">
        <v>162644.79</v>
      </c>
      <c r="E420" t="s">
        <v>15</v>
      </c>
      <c r="F420" t="s">
        <v>16</v>
      </c>
      <c r="G420" t="s">
        <v>24</v>
      </c>
      <c r="H420">
        <v>21</v>
      </c>
    </row>
    <row r="421" spans="1:8" x14ac:dyDescent="0.3">
      <c r="A421" t="s">
        <v>829</v>
      </c>
      <c r="B421" t="s">
        <v>830</v>
      </c>
      <c r="C421" s="4">
        <v>45239</v>
      </c>
      <c r="D421">
        <v>201720.36</v>
      </c>
      <c r="E421" t="s">
        <v>15</v>
      </c>
      <c r="F421" t="s">
        <v>11</v>
      </c>
      <c r="G421" t="s">
        <v>24</v>
      </c>
      <c r="H421">
        <v>10</v>
      </c>
    </row>
    <row r="422" spans="1:8" x14ac:dyDescent="0.3">
      <c r="A422" t="s">
        <v>831</v>
      </c>
      <c r="B422" t="s">
        <v>832</v>
      </c>
      <c r="C422" s="4">
        <v>45444</v>
      </c>
      <c r="D422">
        <v>125216.18</v>
      </c>
      <c r="E422" t="s">
        <v>19</v>
      </c>
      <c r="F422" t="s">
        <v>34</v>
      </c>
      <c r="G422" t="s">
        <v>12</v>
      </c>
      <c r="H422">
        <v>57</v>
      </c>
    </row>
    <row r="423" spans="1:8" x14ac:dyDescent="0.3">
      <c r="A423" t="s">
        <v>833</v>
      </c>
      <c r="B423" t="s">
        <v>537</v>
      </c>
      <c r="C423" s="4">
        <v>44670</v>
      </c>
      <c r="D423">
        <v>365567.23</v>
      </c>
      <c r="E423" t="s">
        <v>15</v>
      </c>
      <c r="F423" t="s">
        <v>23</v>
      </c>
      <c r="G423" t="s">
        <v>24</v>
      </c>
      <c r="H423">
        <v>50</v>
      </c>
    </row>
    <row r="424" spans="1:8" x14ac:dyDescent="0.3">
      <c r="A424" t="s">
        <v>834</v>
      </c>
      <c r="B424" t="s">
        <v>835</v>
      </c>
      <c r="C424" s="4">
        <v>45412</v>
      </c>
      <c r="D424">
        <v>467636.33</v>
      </c>
      <c r="E424" t="s">
        <v>10</v>
      </c>
      <c r="F424" t="s">
        <v>23</v>
      </c>
      <c r="G424" t="s">
        <v>12</v>
      </c>
      <c r="H424">
        <v>37</v>
      </c>
    </row>
    <row r="425" spans="1:8" x14ac:dyDescent="0.3">
      <c r="A425" t="s">
        <v>836</v>
      </c>
      <c r="B425" t="s">
        <v>565</v>
      </c>
      <c r="C425" s="4">
        <v>45251</v>
      </c>
      <c r="D425">
        <v>320418.61</v>
      </c>
      <c r="E425" t="s">
        <v>19</v>
      </c>
      <c r="F425" t="s">
        <v>20</v>
      </c>
      <c r="G425" t="s">
        <v>24</v>
      </c>
      <c r="H425">
        <v>11</v>
      </c>
    </row>
    <row r="426" spans="1:8" x14ac:dyDescent="0.3">
      <c r="A426" t="s">
        <v>837</v>
      </c>
      <c r="B426" t="s">
        <v>838</v>
      </c>
      <c r="C426" s="4">
        <v>45300</v>
      </c>
      <c r="D426">
        <v>127801.51</v>
      </c>
      <c r="E426" t="s">
        <v>10</v>
      </c>
      <c r="F426" t="s">
        <v>11</v>
      </c>
      <c r="G426" t="s">
        <v>24</v>
      </c>
      <c r="H426">
        <v>29</v>
      </c>
    </row>
    <row r="427" spans="1:8" x14ac:dyDescent="0.3">
      <c r="A427" t="s">
        <v>839</v>
      </c>
      <c r="B427" t="s">
        <v>840</v>
      </c>
      <c r="C427" s="4">
        <v>44921</v>
      </c>
      <c r="D427">
        <v>224710.94</v>
      </c>
      <c r="E427" t="s">
        <v>15</v>
      </c>
      <c r="F427" t="s">
        <v>20</v>
      </c>
      <c r="G427" t="s">
        <v>24</v>
      </c>
      <c r="H427">
        <v>50</v>
      </c>
    </row>
    <row r="428" spans="1:8" x14ac:dyDescent="0.3">
      <c r="A428" t="s">
        <v>841</v>
      </c>
      <c r="B428" t="s">
        <v>842</v>
      </c>
      <c r="C428" s="4">
        <v>45379</v>
      </c>
      <c r="D428">
        <v>21169.35</v>
      </c>
      <c r="E428" t="s">
        <v>19</v>
      </c>
      <c r="F428" t="s">
        <v>20</v>
      </c>
      <c r="G428" t="s">
        <v>24</v>
      </c>
      <c r="H428">
        <v>21</v>
      </c>
    </row>
    <row r="429" spans="1:8" x14ac:dyDescent="0.3">
      <c r="A429" t="s">
        <v>843</v>
      </c>
      <c r="B429" t="s">
        <v>485</v>
      </c>
      <c r="C429" s="4">
        <v>45059</v>
      </c>
      <c r="D429">
        <v>221909.33</v>
      </c>
      <c r="E429" t="s">
        <v>15</v>
      </c>
      <c r="F429" t="s">
        <v>16</v>
      </c>
      <c r="G429" t="s">
        <v>24</v>
      </c>
      <c r="H429">
        <v>17</v>
      </c>
    </row>
    <row r="430" spans="1:8" x14ac:dyDescent="0.3">
      <c r="A430" t="s">
        <v>844</v>
      </c>
      <c r="B430" t="s">
        <v>845</v>
      </c>
      <c r="C430" s="4">
        <v>45418</v>
      </c>
      <c r="D430">
        <v>431066.28</v>
      </c>
      <c r="E430" t="s">
        <v>15</v>
      </c>
      <c r="F430" t="s">
        <v>34</v>
      </c>
      <c r="G430" t="s">
        <v>12</v>
      </c>
      <c r="H430">
        <v>56</v>
      </c>
    </row>
    <row r="431" spans="1:8" x14ac:dyDescent="0.3">
      <c r="A431" t="s">
        <v>846</v>
      </c>
      <c r="B431" t="s">
        <v>582</v>
      </c>
      <c r="C431" s="4">
        <v>45535</v>
      </c>
      <c r="D431">
        <v>148753.84</v>
      </c>
      <c r="E431" t="s">
        <v>10</v>
      </c>
      <c r="F431" t="s">
        <v>20</v>
      </c>
      <c r="G431" t="s">
        <v>24</v>
      </c>
      <c r="H431">
        <v>37</v>
      </c>
    </row>
    <row r="432" spans="1:8" x14ac:dyDescent="0.3">
      <c r="A432" t="s">
        <v>847</v>
      </c>
      <c r="B432" t="s">
        <v>348</v>
      </c>
      <c r="C432" s="4">
        <v>45217</v>
      </c>
      <c r="D432">
        <v>172658.33</v>
      </c>
      <c r="E432" t="s">
        <v>10</v>
      </c>
      <c r="F432" t="s">
        <v>34</v>
      </c>
      <c r="G432" t="s">
        <v>12</v>
      </c>
      <c r="H432">
        <v>43</v>
      </c>
    </row>
    <row r="433" spans="1:8" x14ac:dyDescent="0.3">
      <c r="A433" t="s">
        <v>848</v>
      </c>
      <c r="B433" t="s">
        <v>849</v>
      </c>
      <c r="C433" s="4">
        <v>44612</v>
      </c>
      <c r="D433">
        <v>376116.12</v>
      </c>
      <c r="E433" t="s">
        <v>19</v>
      </c>
      <c r="F433" t="s">
        <v>11</v>
      </c>
      <c r="G433" t="s">
        <v>12</v>
      </c>
      <c r="H433">
        <v>59</v>
      </c>
    </row>
    <row r="434" spans="1:8" x14ac:dyDescent="0.3">
      <c r="A434" t="s">
        <v>850</v>
      </c>
      <c r="B434" t="s">
        <v>392</v>
      </c>
      <c r="C434" s="4">
        <v>45018</v>
      </c>
      <c r="D434">
        <v>37420.370000000003</v>
      </c>
      <c r="E434" t="s">
        <v>15</v>
      </c>
      <c r="F434" t="s">
        <v>23</v>
      </c>
      <c r="G434" t="s">
        <v>12</v>
      </c>
      <c r="H434">
        <v>33</v>
      </c>
    </row>
    <row r="435" spans="1:8" x14ac:dyDescent="0.3">
      <c r="A435" t="s">
        <v>851</v>
      </c>
      <c r="B435" t="s">
        <v>852</v>
      </c>
      <c r="C435" s="4">
        <v>45424</v>
      </c>
      <c r="D435">
        <v>331992.01</v>
      </c>
      <c r="E435" t="s">
        <v>15</v>
      </c>
      <c r="F435" t="s">
        <v>34</v>
      </c>
      <c r="G435" t="s">
        <v>24</v>
      </c>
      <c r="H435">
        <v>13</v>
      </c>
    </row>
    <row r="436" spans="1:8" x14ac:dyDescent="0.3">
      <c r="A436" t="s">
        <v>853</v>
      </c>
      <c r="B436" t="s">
        <v>854</v>
      </c>
      <c r="C436" s="4">
        <v>45230</v>
      </c>
      <c r="D436">
        <v>344870.58</v>
      </c>
      <c r="E436" t="s">
        <v>10</v>
      </c>
      <c r="F436" t="s">
        <v>23</v>
      </c>
      <c r="G436" t="s">
        <v>12</v>
      </c>
      <c r="H436">
        <v>30</v>
      </c>
    </row>
    <row r="437" spans="1:8" x14ac:dyDescent="0.3">
      <c r="A437" t="s">
        <v>855</v>
      </c>
      <c r="B437" t="s">
        <v>117</v>
      </c>
      <c r="C437" s="4">
        <v>44948</v>
      </c>
      <c r="D437">
        <v>113707.01</v>
      </c>
      <c r="E437" t="s">
        <v>19</v>
      </c>
      <c r="F437" t="s">
        <v>23</v>
      </c>
      <c r="G437" t="s">
        <v>24</v>
      </c>
      <c r="H437">
        <v>10</v>
      </c>
    </row>
    <row r="438" spans="1:8" x14ac:dyDescent="0.3">
      <c r="A438" t="s">
        <v>856</v>
      </c>
      <c r="B438" t="s">
        <v>857</v>
      </c>
      <c r="C438" s="4">
        <v>45608</v>
      </c>
      <c r="D438">
        <v>166035.16</v>
      </c>
      <c r="E438" t="s">
        <v>10</v>
      </c>
      <c r="F438" t="s">
        <v>20</v>
      </c>
      <c r="G438" t="s">
        <v>24</v>
      </c>
      <c r="H438">
        <v>23</v>
      </c>
    </row>
    <row r="439" spans="1:8" x14ac:dyDescent="0.3">
      <c r="A439" t="s">
        <v>858</v>
      </c>
      <c r="B439" t="s">
        <v>859</v>
      </c>
      <c r="C439" s="4">
        <v>44707</v>
      </c>
      <c r="D439">
        <v>221865.29</v>
      </c>
      <c r="E439" t="s">
        <v>10</v>
      </c>
      <c r="F439" t="s">
        <v>34</v>
      </c>
      <c r="G439" t="s">
        <v>12</v>
      </c>
      <c r="H439">
        <v>17</v>
      </c>
    </row>
    <row r="440" spans="1:8" x14ac:dyDescent="0.3">
      <c r="A440" t="s">
        <v>860</v>
      </c>
      <c r="B440" t="s">
        <v>861</v>
      </c>
      <c r="C440" s="4">
        <v>45642</v>
      </c>
      <c r="D440">
        <v>10932.6</v>
      </c>
      <c r="E440" t="s">
        <v>15</v>
      </c>
      <c r="F440" t="s">
        <v>11</v>
      </c>
      <c r="G440" t="s">
        <v>24</v>
      </c>
      <c r="H440">
        <v>13</v>
      </c>
    </row>
    <row r="441" spans="1:8" x14ac:dyDescent="0.3">
      <c r="A441" t="s">
        <v>862</v>
      </c>
      <c r="B441" t="s">
        <v>594</v>
      </c>
      <c r="C441" s="4">
        <v>45385</v>
      </c>
      <c r="D441">
        <v>163783.67000000001</v>
      </c>
      <c r="E441" t="s">
        <v>19</v>
      </c>
      <c r="F441" t="s">
        <v>11</v>
      </c>
      <c r="G441" t="s">
        <v>24</v>
      </c>
      <c r="H441">
        <v>49</v>
      </c>
    </row>
    <row r="442" spans="1:8" x14ac:dyDescent="0.3">
      <c r="A442" t="s">
        <v>863</v>
      </c>
      <c r="B442" t="s">
        <v>864</v>
      </c>
      <c r="C442" s="4">
        <v>44712</v>
      </c>
      <c r="D442">
        <v>300508.34999999998</v>
      </c>
      <c r="E442" t="s">
        <v>19</v>
      </c>
      <c r="F442" t="s">
        <v>34</v>
      </c>
      <c r="G442" t="s">
        <v>12</v>
      </c>
      <c r="H442">
        <v>6</v>
      </c>
    </row>
    <row r="443" spans="1:8" x14ac:dyDescent="0.3">
      <c r="A443" t="s">
        <v>865</v>
      </c>
      <c r="B443" t="s">
        <v>866</v>
      </c>
      <c r="C443" s="4">
        <v>45552</v>
      </c>
      <c r="D443">
        <v>83804.12</v>
      </c>
      <c r="E443" t="s">
        <v>10</v>
      </c>
      <c r="F443" t="s">
        <v>23</v>
      </c>
      <c r="G443" t="s">
        <v>24</v>
      </c>
      <c r="H443">
        <v>24</v>
      </c>
    </row>
    <row r="444" spans="1:8" x14ac:dyDescent="0.3">
      <c r="A444" t="s">
        <v>867</v>
      </c>
      <c r="B444" t="s">
        <v>868</v>
      </c>
      <c r="C444" s="4">
        <v>45443</v>
      </c>
      <c r="D444">
        <v>87672.34</v>
      </c>
      <c r="E444" t="s">
        <v>15</v>
      </c>
      <c r="F444" t="s">
        <v>20</v>
      </c>
      <c r="G444" t="s">
        <v>12</v>
      </c>
      <c r="H444">
        <v>49</v>
      </c>
    </row>
    <row r="445" spans="1:8" x14ac:dyDescent="0.3">
      <c r="A445" t="s">
        <v>869</v>
      </c>
      <c r="B445" t="s">
        <v>870</v>
      </c>
      <c r="C445" s="4">
        <v>44276</v>
      </c>
      <c r="D445">
        <v>146433.04</v>
      </c>
      <c r="E445" t="s">
        <v>15</v>
      </c>
      <c r="F445" t="s">
        <v>20</v>
      </c>
      <c r="G445" t="s">
        <v>12</v>
      </c>
      <c r="H445">
        <v>48</v>
      </c>
    </row>
    <row r="446" spans="1:8" x14ac:dyDescent="0.3">
      <c r="A446" t="s">
        <v>871</v>
      </c>
      <c r="B446" t="s">
        <v>872</v>
      </c>
      <c r="C446" s="4">
        <v>45383</v>
      </c>
      <c r="D446">
        <v>180720.22</v>
      </c>
      <c r="E446" t="s">
        <v>15</v>
      </c>
      <c r="F446" t="s">
        <v>20</v>
      </c>
      <c r="G446" t="s">
        <v>12</v>
      </c>
      <c r="H446">
        <v>17</v>
      </c>
    </row>
    <row r="447" spans="1:8" x14ac:dyDescent="0.3">
      <c r="A447" t="s">
        <v>873</v>
      </c>
      <c r="B447" t="s">
        <v>874</v>
      </c>
      <c r="C447" s="4">
        <v>45239</v>
      </c>
      <c r="D447">
        <v>56896.47</v>
      </c>
      <c r="E447" t="s">
        <v>10</v>
      </c>
      <c r="F447" t="s">
        <v>23</v>
      </c>
      <c r="G447" t="s">
        <v>24</v>
      </c>
      <c r="H447">
        <v>34</v>
      </c>
    </row>
    <row r="448" spans="1:8" x14ac:dyDescent="0.3">
      <c r="A448" t="s">
        <v>875</v>
      </c>
      <c r="B448" t="s">
        <v>876</v>
      </c>
      <c r="C448" s="4">
        <v>44886</v>
      </c>
      <c r="D448">
        <v>23407.58</v>
      </c>
      <c r="E448" t="s">
        <v>15</v>
      </c>
      <c r="F448" t="s">
        <v>20</v>
      </c>
      <c r="G448" t="s">
        <v>24</v>
      </c>
      <c r="H448">
        <v>41</v>
      </c>
    </row>
    <row r="449" spans="1:8" x14ac:dyDescent="0.3">
      <c r="A449" t="s">
        <v>877</v>
      </c>
      <c r="B449" t="s">
        <v>878</v>
      </c>
      <c r="C449" s="4">
        <v>44898</v>
      </c>
      <c r="D449">
        <v>239765.02</v>
      </c>
      <c r="E449" t="s">
        <v>19</v>
      </c>
      <c r="F449" t="s">
        <v>34</v>
      </c>
      <c r="G449" t="s">
        <v>12</v>
      </c>
      <c r="H449">
        <v>34</v>
      </c>
    </row>
    <row r="450" spans="1:8" x14ac:dyDescent="0.3">
      <c r="A450" t="s">
        <v>879</v>
      </c>
      <c r="B450" t="s">
        <v>880</v>
      </c>
      <c r="C450" s="4">
        <v>44074</v>
      </c>
      <c r="D450">
        <v>202606.89</v>
      </c>
      <c r="E450" t="s">
        <v>10</v>
      </c>
      <c r="F450" t="s">
        <v>16</v>
      </c>
      <c r="G450" t="s">
        <v>12</v>
      </c>
      <c r="H450">
        <v>10</v>
      </c>
    </row>
    <row r="451" spans="1:8" x14ac:dyDescent="0.3">
      <c r="A451" t="s">
        <v>881</v>
      </c>
      <c r="B451" t="s">
        <v>882</v>
      </c>
      <c r="C451" s="4">
        <v>45278</v>
      </c>
      <c r="D451">
        <v>330329</v>
      </c>
      <c r="E451" t="s">
        <v>10</v>
      </c>
      <c r="F451" t="s">
        <v>34</v>
      </c>
      <c r="G451" t="s">
        <v>24</v>
      </c>
      <c r="H451">
        <v>20</v>
      </c>
    </row>
    <row r="452" spans="1:8" x14ac:dyDescent="0.3">
      <c r="A452" t="s">
        <v>883</v>
      </c>
      <c r="B452" t="s">
        <v>884</v>
      </c>
      <c r="C452" s="4">
        <v>45324</v>
      </c>
      <c r="D452">
        <v>117975.78</v>
      </c>
      <c r="E452" t="s">
        <v>10</v>
      </c>
      <c r="F452" t="s">
        <v>11</v>
      </c>
      <c r="G452" t="s">
        <v>12</v>
      </c>
      <c r="H452">
        <v>5</v>
      </c>
    </row>
    <row r="453" spans="1:8" x14ac:dyDescent="0.3">
      <c r="A453" t="s">
        <v>885</v>
      </c>
      <c r="B453" t="s">
        <v>676</v>
      </c>
      <c r="C453" s="4">
        <v>45629</v>
      </c>
      <c r="D453">
        <v>193112.95</v>
      </c>
      <c r="E453" t="s">
        <v>19</v>
      </c>
      <c r="F453" t="s">
        <v>20</v>
      </c>
      <c r="G453" t="s">
        <v>24</v>
      </c>
      <c r="H453">
        <v>37</v>
      </c>
    </row>
    <row r="454" spans="1:8" x14ac:dyDescent="0.3">
      <c r="A454" t="s">
        <v>886</v>
      </c>
      <c r="B454" t="s">
        <v>887</v>
      </c>
      <c r="C454" s="4">
        <v>44405</v>
      </c>
      <c r="D454">
        <v>349052.49</v>
      </c>
      <c r="E454" t="s">
        <v>15</v>
      </c>
      <c r="F454" t="s">
        <v>20</v>
      </c>
      <c r="G454" t="s">
        <v>24</v>
      </c>
      <c r="H454">
        <v>12</v>
      </c>
    </row>
    <row r="455" spans="1:8" x14ac:dyDescent="0.3">
      <c r="A455" t="s">
        <v>888</v>
      </c>
      <c r="B455" t="s">
        <v>889</v>
      </c>
      <c r="C455" s="4">
        <v>45345</v>
      </c>
      <c r="D455">
        <v>159391.39000000001</v>
      </c>
      <c r="E455" t="s">
        <v>15</v>
      </c>
      <c r="F455" t="s">
        <v>34</v>
      </c>
      <c r="G455" t="s">
        <v>24</v>
      </c>
      <c r="H455">
        <v>16</v>
      </c>
    </row>
    <row r="456" spans="1:8" x14ac:dyDescent="0.3">
      <c r="A456" t="s">
        <v>890</v>
      </c>
      <c r="B456" t="s">
        <v>891</v>
      </c>
      <c r="C456" s="4">
        <v>45528</v>
      </c>
      <c r="D456">
        <v>227512.88</v>
      </c>
      <c r="E456" t="s">
        <v>15</v>
      </c>
      <c r="F456" t="s">
        <v>16</v>
      </c>
      <c r="G456" t="s">
        <v>24</v>
      </c>
      <c r="H456">
        <v>32</v>
      </c>
    </row>
    <row r="457" spans="1:8" x14ac:dyDescent="0.3">
      <c r="A457" t="s">
        <v>892</v>
      </c>
      <c r="B457" t="s">
        <v>584</v>
      </c>
      <c r="C457" s="4">
        <v>45544</v>
      </c>
      <c r="D457">
        <v>420024.83</v>
      </c>
      <c r="E457" t="s">
        <v>15</v>
      </c>
      <c r="F457" t="s">
        <v>11</v>
      </c>
      <c r="G457" t="s">
        <v>12</v>
      </c>
      <c r="H457">
        <v>20</v>
      </c>
    </row>
    <row r="458" spans="1:8" x14ac:dyDescent="0.3">
      <c r="A458" t="s">
        <v>893</v>
      </c>
      <c r="B458" t="s">
        <v>207</v>
      </c>
      <c r="C458" s="4">
        <v>45184</v>
      </c>
      <c r="D458">
        <v>198734.6</v>
      </c>
      <c r="E458" t="s">
        <v>19</v>
      </c>
      <c r="F458" t="s">
        <v>34</v>
      </c>
      <c r="G458" t="s">
        <v>12</v>
      </c>
      <c r="H458">
        <v>36</v>
      </c>
    </row>
    <row r="459" spans="1:8" x14ac:dyDescent="0.3">
      <c r="A459" t="s">
        <v>894</v>
      </c>
      <c r="B459" t="s">
        <v>895</v>
      </c>
      <c r="C459" s="4">
        <v>44814</v>
      </c>
      <c r="D459">
        <v>356754.34</v>
      </c>
      <c r="E459" t="s">
        <v>10</v>
      </c>
      <c r="F459" t="s">
        <v>11</v>
      </c>
      <c r="G459" t="s">
        <v>24</v>
      </c>
      <c r="H459">
        <v>12</v>
      </c>
    </row>
    <row r="460" spans="1:8" x14ac:dyDescent="0.3">
      <c r="A460" t="s">
        <v>896</v>
      </c>
      <c r="B460" t="s">
        <v>897</v>
      </c>
      <c r="C460" s="4">
        <v>44325</v>
      </c>
      <c r="D460">
        <v>322114.33</v>
      </c>
      <c r="E460" t="s">
        <v>15</v>
      </c>
      <c r="F460" t="s">
        <v>11</v>
      </c>
      <c r="G460" t="s">
        <v>24</v>
      </c>
      <c r="H460">
        <v>55</v>
      </c>
    </row>
    <row r="461" spans="1:8" x14ac:dyDescent="0.3">
      <c r="A461" t="s">
        <v>898</v>
      </c>
      <c r="B461" t="s">
        <v>899</v>
      </c>
      <c r="C461" s="4">
        <v>45277</v>
      </c>
      <c r="D461">
        <v>424462.62</v>
      </c>
      <c r="E461" t="s">
        <v>10</v>
      </c>
      <c r="F461" t="s">
        <v>20</v>
      </c>
      <c r="G461" t="s">
        <v>24</v>
      </c>
      <c r="H461">
        <v>19</v>
      </c>
    </row>
    <row r="462" spans="1:8" x14ac:dyDescent="0.3">
      <c r="A462" t="s">
        <v>900</v>
      </c>
      <c r="B462" t="s">
        <v>901</v>
      </c>
      <c r="C462" s="4">
        <v>45687</v>
      </c>
      <c r="D462">
        <v>405168.54</v>
      </c>
      <c r="E462" t="s">
        <v>15</v>
      </c>
      <c r="F462" t="s">
        <v>20</v>
      </c>
      <c r="G462" t="s">
        <v>24</v>
      </c>
      <c r="H462">
        <v>46</v>
      </c>
    </row>
    <row r="463" spans="1:8" x14ac:dyDescent="0.3">
      <c r="A463" t="s">
        <v>902</v>
      </c>
      <c r="B463" t="s">
        <v>254</v>
      </c>
      <c r="C463" s="4">
        <v>44525</v>
      </c>
      <c r="D463">
        <v>338905.93</v>
      </c>
      <c r="E463" t="s">
        <v>19</v>
      </c>
      <c r="F463" t="s">
        <v>20</v>
      </c>
      <c r="G463" t="s">
        <v>12</v>
      </c>
      <c r="H463">
        <v>41</v>
      </c>
    </row>
    <row r="464" spans="1:8" x14ac:dyDescent="0.3">
      <c r="A464" t="s">
        <v>903</v>
      </c>
      <c r="B464" t="s">
        <v>904</v>
      </c>
      <c r="C464" s="4">
        <v>45417</v>
      </c>
      <c r="D464">
        <v>272532.37</v>
      </c>
      <c r="E464" t="s">
        <v>10</v>
      </c>
      <c r="F464" t="s">
        <v>23</v>
      </c>
      <c r="G464" t="s">
        <v>24</v>
      </c>
      <c r="H464">
        <v>7</v>
      </c>
    </row>
    <row r="465" spans="1:8" x14ac:dyDescent="0.3">
      <c r="A465" t="s">
        <v>905</v>
      </c>
      <c r="B465" t="s">
        <v>906</v>
      </c>
      <c r="C465" s="4">
        <v>45488</v>
      </c>
      <c r="D465">
        <v>498300.64</v>
      </c>
      <c r="E465" t="s">
        <v>10</v>
      </c>
      <c r="F465" t="s">
        <v>23</v>
      </c>
      <c r="G465" t="s">
        <v>24</v>
      </c>
      <c r="H465">
        <v>55</v>
      </c>
    </row>
    <row r="466" spans="1:8" x14ac:dyDescent="0.3">
      <c r="A466" t="s">
        <v>907</v>
      </c>
      <c r="B466" t="s">
        <v>908</v>
      </c>
      <c r="C466" s="4">
        <v>44417</v>
      </c>
      <c r="D466">
        <v>281424.3</v>
      </c>
      <c r="E466" t="s">
        <v>19</v>
      </c>
      <c r="F466" t="s">
        <v>16</v>
      </c>
      <c r="G466" t="s">
        <v>24</v>
      </c>
      <c r="H466">
        <v>23</v>
      </c>
    </row>
    <row r="467" spans="1:8" x14ac:dyDescent="0.3">
      <c r="A467" t="s">
        <v>909</v>
      </c>
      <c r="B467" t="s">
        <v>910</v>
      </c>
      <c r="C467" s="4">
        <v>45257</v>
      </c>
      <c r="D467">
        <v>266023.8</v>
      </c>
      <c r="E467" t="s">
        <v>10</v>
      </c>
      <c r="F467" t="s">
        <v>34</v>
      </c>
      <c r="G467" t="s">
        <v>24</v>
      </c>
      <c r="H467">
        <v>2</v>
      </c>
    </row>
    <row r="468" spans="1:8" x14ac:dyDescent="0.3">
      <c r="A468" t="s">
        <v>911</v>
      </c>
      <c r="B468" t="s">
        <v>28</v>
      </c>
      <c r="C468" s="4">
        <v>45544</v>
      </c>
      <c r="D468">
        <v>225055.43</v>
      </c>
      <c r="E468" t="s">
        <v>19</v>
      </c>
      <c r="F468" t="s">
        <v>16</v>
      </c>
      <c r="G468" t="s">
        <v>12</v>
      </c>
      <c r="H468">
        <v>45</v>
      </c>
    </row>
    <row r="469" spans="1:8" x14ac:dyDescent="0.3">
      <c r="A469" t="s">
        <v>912</v>
      </c>
      <c r="B469" t="s">
        <v>913</v>
      </c>
      <c r="C469" s="4">
        <v>45183</v>
      </c>
      <c r="D469">
        <v>222780.57</v>
      </c>
      <c r="E469" t="s">
        <v>19</v>
      </c>
      <c r="F469" t="s">
        <v>23</v>
      </c>
      <c r="G469" t="s">
        <v>12</v>
      </c>
      <c r="H469">
        <v>59</v>
      </c>
    </row>
    <row r="470" spans="1:8" x14ac:dyDescent="0.3">
      <c r="A470" t="s">
        <v>914</v>
      </c>
      <c r="B470" t="s">
        <v>915</v>
      </c>
      <c r="C470" s="4">
        <v>45793</v>
      </c>
      <c r="D470">
        <v>149582.53</v>
      </c>
      <c r="E470" t="s">
        <v>19</v>
      </c>
      <c r="F470" t="s">
        <v>20</v>
      </c>
      <c r="G470" t="s">
        <v>24</v>
      </c>
      <c r="H470">
        <v>26</v>
      </c>
    </row>
    <row r="471" spans="1:8" x14ac:dyDescent="0.3">
      <c r="A471" t="s">
        <v>916</v>
      </c>
      <c r="B471" t="s">
        <v>917</v>
      </c>
      <c r="C471" s="4">
        <v>44761</v>
      </c>
      <c r="D471">
        <v>194450.26</v>
      </c>
      <c r="E471" t="s">
        <v>10</v>
      </c>
      <c r="F471" t="s">
        <v>20</v>
      </c>
      <c r="G471" t="s">
        <v>12</v>
      </c>
      <c r="H471">
        <v>27</v>
      </c>
    </row>
    <row r="472" spans="1:8" x14ac:dyDescent="0.3">
      <c r="A472" t="s">
        <v>918</v>
      </c>
      <c r="B472" t="s">
        <v>919</v>
      </c>
      <c r="C472" s="4">
        <v>44914</v>
      </c>
      <c r="D472">
        <v>321314.21999999997</v>
      </c>
      <c r="E472" t="s">
        <v>10</v>
      </c>
      <c r="F472" t="s">
        <v>11</v>
      </c>
      <c r="G472" t="s">
        <v>24</v>
      </c>
      <c r="H472">
        <v>49</v>
      </c>
    </row>
    <row r="473" spans="1:8" x14ac:dyDescent="0.3">
      <c r="A473" t="s">
        <v>920</v>
      </c>
      <c r="B473" t="s">
        <v>921</v>
      </c>
      <c r="C473" s="4">
        <v>45773</v>
      </c>
      <c r="D473">
        <v>244325.81</v>
      </c>
      <c r="E473" t="s">
        <v>15</v>
      </c>
      <c r="F473" t="s">
        <v>16</v>
      </c>
      <c r="G473" t="s">
        <v>24</v>
      </c>
      <c r="H473">
        <v>42</v>
      </c>
    </row>
    <row r="474" spans="1:8" x14ac:dyDescent="0.3">
      <c r="A474" t="s">
        <v>922</v>
      </c>
      <c r="B474" t="s">
        <v>923</v>
      </c>
      <c r="C474" s="4">
        <v>45426</v>
      </c>
      <c r="D474">
        <v>230908.41</v>
      </c>
      <c r="E474" t="s">
        <v>15</v>
      </c>
      <c r="F474" t="s">
        <v>23</v>
      </c>
      <c r="G474" t="s">
        <v>24</v>
      </c>
      <c r="H474">
        <v>8</v>
      </c>
    </row>
    <row r="475" spans="1:8" x14ac:dyDescent="0.3">
      <c r="A475" t="s">
        <v>924</v>
      </c>
      <c r="B475" t="s">
        <v>925</v>
      </c>
      <c r="C475" s="4">
        <v>45058</v>
      </c>
      <c r="D475">
        <v>488209.13</v>
      </c>
      <c r="E475" t="s">
        <v>15</v>
      </c>
      <c r="F475" t="s">
        <v>20</v>
      </c>
      <c r="G475" t="s">
        <v>12</v>
      </c>
      <c r="H475">
        <v>33</v>
      </c>
    </row>
    <row r="476" spans="1:8" x14ac:dyDescent="0.3">
      <c r="A476" t="s">
        <v>926</v>
      </c>
      <c r="B476" t="s">
        <v>927</v>
      </c>
      <c r="C476" s="4">
        <v>44923</v>
      </c>
      <c r="D476">
        <v>366449.98</v>
      </c>
      <c r="E476" t="s">
        <v>15</v>
      </c>
      <c r="F476" t="s">
        <v>23</v>
      </c>
      <c r="G476" t="s">
        <v>12</v>
      </c>
      <c r="H476">
        <v>57</v>
      </c>
    </row>
    <row r="477" spans="1:8" x14ac:dyDescent="0.3">
      <c r="A477" t="s">
        <v>928</v>
      </c>
      <c r="B477" t="s">
        <v>332</v>
      </c>
      <c r="C477" s="4">
        <v>44772</v>
      </c>
      <c r="D477">
        <v>257100.2</v>
      </c>
      <c r="E477" t="s">
        <v>10</v>
      </c>
      <c r="F477" t="s">
        <v>20</v>
      </c>
      <c r="G477" t="s">
        <v>24</v>
      </c>
      <c r="H477">
        <v>34</v>
      </c>
    </row>
    <row r="478" spans="1:8" x14ac:dyDescent="0.3">
      <c r="A478" t="s">
        <v>929</v>
      </c>
      <c r="B478" t="s">
        <v>930</v>
      </c>
      <c r="C478" s="4">
        <v>44962</v>
      </c>
      <c r="D478">
        <v>325890.34999999998</v>
      </c>
      <c r="E478" t="s">
        <v>15</v>
      </c>
      <c r="F478" t="s">
        <v>11</v>
      </c>
      <c r="G478" t="s">
        <v>12</v>
      </c>
      <c r="H478">
        <v>23</v>
      </c>
    </row>
    <row r="479" spans="1:8" x14ac:dyDescent="0.3">
      <c r="A479" t="s">
        <v>931</v>
      </c>
      <c r="B479" t="s">
        <v>932</v>
      </c>
      <c r="C479" s="4">
        <v>45516</v>
      </c>
      <c r="D479">
        <v>294479.63</v>
      </c>
      <c r="E479" t="s">
        <v>19</v>
      </c>
      <c r="F479" t="s">
        <v>34</v>
      </c>
      <c r="G479" t="s">
        <v>12</v>
      </c>
      <c r="H479">
        <v>19</v>
      </c>
    </row>
    <row r="480" spans="1:8" x14ac:dyDescent="0.3">
      <c r="A480" t="s">
        <v>933</v>
      </c>
      <c r="B480" t="s">
        <v>934</v>
      </c>
      <c r="C480" s="4">
        <v>45525</v>
      </c>
      <c r="D480">
        <v>310501.14</v>
      </c>
      <c r="E480" t="s">
        <v>10</v>
      </c>
      <c r="F480" t="s">
        <v>23</v>
      </c>
      <c r="G480" t="s">
        <v>12</v>
      </c>
      <c r="H480">
        <v>56</v>
      </c>
    </row>
    <row r="481" spans="1:8" x14ac:dyDescent="0.3">
      <c r="A481" t="s">
        <v>935</v>
      </c>
      <c r="B481" t="s">
        <v>936</v>
      </c>
      <c r="C481" s="4">
        <v>45612</v>
      </c>
      <c r="D481">
        <v>122785.85</v>
      </c>
      <c r="E481" t="s">
        <v>19</v>
      </c>
      <c r="F481" t="s">
        <v>34</v>
      </c>
      <c r="G481" t="s">
        <v>24</v>
      </c>
      <c r="H481">
        <v>48</v>
      </c>
    </row>
    <row r="482" spans="1:8" x14ac:dyDescent="0.3">
      <c r="A482" t="s">
        <v>937</v>
      </c>
      <c r="B482" t="s">
        <v>938</v>
      </c>
      <c r="C482" s="4">
        <v>45127</v>
      </c>
      <c r="D482">
        <v>417467.5</v>
      </c>
      <c r="E482" t="s">
        <v>15</v>
      </c>
      <c r="F482" t="s">
        <v>16</v>
      </c>
      <c r="G482" t="s">
        <v>24</v>
      </c>
      <c r="H482">
        <v>14</v>
      </c>
    </row>
    <row r="483" spans="1:8" x14ac:dyDescent="0.3">
      <c r="A483" t="s">
        <v>939</v>
      </c>
      <c r="B483" t="s">
        <v>940</v>
      </c>
      <c r="C483" s="4">
        <v>44350</v>
      </c>
      <c r="D483">
        <v>159970.03</v>
      </c>
      <c r="E483" t="s">
        <v>10</v>
      </c>
      <c r="F483" t="s">
        <v>34</v>
      </c>
      <c r="G483" t="s">
        <v>24</v>
      </c>
      <c r="H483">
        <v>25</v>
      </c>
    </row>
    <row r="484" spans="1:8" x14ac:dyDescent="0.3">
      <c r="A484" t="s">
        <v>941</v>
      </c>
      <c r="B484" t="s">
        <v>672</v>
      </c>
      <c r="C484" s="4">
        <v>44950</v>
      </c>
      <c r="D484">
        <v>450546.83</v>
      </c>
      <c r="E484" t="s">
        <v>19</v>
      </c>
      <c r="F484" t="s">
        <v>16</v>
      </c>
      <c r="G484" t="s">
        <v>12</v>
      </c>
      <c r="H484">
        <v>13</v>
      </c>
    </row>
    <row r="485" spans="1:8" x14ac:dyDescent="0.3">
      <c r="A485" t="s">
        <v>942</v>
      </c>
      <c r="B485" t="s">
        <v>641</v>
      </c>
      <c r="C485" s="4">
        <v>45184</v>
      </c>
      <c r="D485">
        <v>370505.72</v>
      </c>
      <c r="E485" t="s">
        <v>15</v>
      </c>
      <c r="F485" t="s">
        <v>34</v>
      </c>
      <c r="G485" t="s">
        <v>24</v>
      </c>
      <c r="H485">
        <v>55</v>
      </c>
    </row>
    <row r="486" spans="1:8" x14ac:dyDescent="0.3">
      <c r="A486" t="s">
        <v>943</v>
      </c>
      <c r="B486" t="s">
        <v>944</v>
      </c>
      <c r="C486" s="4">
        <v>45208</v>
      </c>
      <c r="D486">
        <v>198530.28</v>
      </c>
      <c r="E486" t="s">
        <v>19</v>
      </c>
      <c r="F486" t="s">
        <v>23</v>
      </c>
      <c r="G486" t="s">
        <v>12</v>
      </c>
      <c r="H486">
        <v>45</v>
      </c>
    </row>
    <row r="487" spans="1:8" x14ac:dyDescent="0.3">
      <c r="A487" t="s">
        <v>945</v>
      </c>
      <c r="B487" t="s">
        <v>946</v>
      </c>
      <c r="C487" s="4">
        <v>44857</v>
      </c>
      <c r="D487">
        <v>28716.84</v>
      </c>
      <c r="E487" t="s">
        <v>10</v>
      </c>
      <c r="F487" t="s">
        <v>20</v>
      </c>
      <c r="G487" t="s">
        <v>24</v>
      </c>
      <c r="H487">
        <v>30</v>
      </c>
    </row>
    <row r="488" spans="1:8" x14ac:dyDescent="0.3">
      <c r="A488" t="s">
        <v>947</v>
      </c>
      <c r="B488" t="s">
        <v>948</v>
      </c>
      <c r="C488" s="4">
        <v>45281</v>
      </c>
      <c r="D488">
        <v>361724.47</v>
      </c>
      <c r="E488" t="s">
        <v>10</v>
      </c>
      <c r="F488" t="s">
        <v>34</v>
      </c>
      <c r="G488" t="s">
        <v>12</v>
      </c>
      <c r="H488">
        <v>41</v>
      </c>
    </row>
    <row r="489" spans="1:8" x14ac:dyDescent="0.3">
      <c r="A489" t="s">
        <v>949</v>
      </c>
      <c r="B489" t="s">
        <v>950</v>
      </c>
      <c r="C489" s="4">
        <v>45534</v>
      </c>
      <c r="D489">
        <v>179389.36</v>
      </c>
      <c r="E489" t="s">
        <v>10</v>
      </c>
      <c r="F489" t="s">
        <v>20</v>
      </c>
      <c r="G489" t="s">
        <v>12</v>
      </c>
      <c r="H489">
        <v>58</v>
      </c>
    </row>
    <row r="490" spans="1:8" x14ac:dyDescent="0.3">
      <c r="A490" t="s">
        <v>951</v>
      </c>
      <c r="B490" t="s">
        <v>952</v>
      </c>
      <c r="C490" s="4">
        <v>45193</v>
      </c>
      <c r="D490">
        <v>344623.51</v>
      </c>
      <c r="E490" t="s">
        <v>15</v>
      </c>
      <c r="F490" t="s">
        <v>34</v>
      </c>
      <c r="G490" t="s">
        <v>24</v>
      </c>
      <c r="H490">
        <v>41</v>
      </c>
    </row>
    <row r="491" spans="1:8" x14ac:dyDescent="0.3">
      <c r="A491" t="s">
        <v>953</v>
      </c>
      <c r="B491" t="s">
        <v>897</v>
      </c>
      <c r="C491" s="4">
        <v>44351</v>
      </c>
      <c r="D491">
        <v>172986.71</v>
      </c>
      <c r="E491" t="s">
        <v>10</v>
      </c>
      <c r="F491" t="s">
        <v>23</v>
      </c>
      <c r="G491" t="s">
        <v>24</v>
      </c>
      <c r="H491">
        <v>13</v>
      </c>
    </row>
    <row r="492" spans="1:8" x14ac:dyDescent="0.3">
      <c r="A492" t="s">
        <v>954</v>
      </c>
      <c r="B492" t="s">
        <v>955</v>
      </c>
      <c r="C492" s="4">
        <v>45442</v>
      </c>
      <c r="D492">
        <v>262074.65</v>
      </c>
      <c r="E492" t="s">
        <v>19</v>
      </c>
      <c r="F492" t="s">
        <v>16</v>
      </c>
      <c r="G492" t="s">
        <v>12</v>
      </c>
      <c r="H492">
        <v>57</v>
      </c>
    </row>
    <row r="493" spans="1:8" x14ac:dyDescent="0.3">
      <c r="A493" t="s">
        <v>956</v>
      </c>
      <c r="B493" t="s">
        <v>957</v>
      </c>
      <c r="C493" s="4">
        <v>45206</v>
      </c>
      <c r="D493">
        <v>364108.04</v>
      </c>
      <c r="E493" t="s">
        <v>15</v>
      </c>
      <c r="F493" t="s">
        <v>16</v>
      </c>
      <c r="G493" t="s">
        <v>12</v>
      </c>
      <c r="H493">
        <v>55</v>
      </c>
    </row>
    <row r="494" spans="1:8" x14ac:dyDescent="0.3">
      <c r="A494" t="s">
        <v>958</v>
      </c>
      <c r="B494" t="s">
        <v>959</v>
      </c>
      <c r="C494" s="4">
        <v>44673</v>
      </c>
      <c r="D494">
        <v>296239.96999999997</v>
      </c>
      <c r="E494" t="s">
        <v>19</v>
      </c>
      <c r="F494" t="s">
        <v>16</v>
      </c>
      <c r="G494" t="s">
        <v>24</v>
      </c>
      <c r="H494">
        <v>17</v>
      </c>
    </row>
    <row r="495" spans="1:8" x14ac:dyDescent="0.3">
      <c r="A495" t="s">
        <v>960</v>
      </c>
      <c r="B495" t="s">
        <v>961</v>
      </c>
      <c r="C495" s="4">
        <v>45360</v>
      </c>
      <c r="D495">
        <v>277517.75</v>
      </c>
      <c r="E495" t="s">
        <v>19</v>
      </c>
      <c r="F495" t="s">
        <v>20</v>
      </c>
      <c r="G495" t="s">
        <v>12</v>
      </c>
      <c r="H495">
        <v>30</v>
      </c>
    </row>
    <row r="496" spans="1:8" x14ac:dyDescent="0.3">
      <c r="A496" t="s">
        <v>962</v>
      </c>
      <c r="B496" t="s">
        <v>963</v>
      </c>
      <c r="C496" s="4">
        <v>45518</v>
      </c>
      <c r="D496">
        <v>416127.32</v>
      </c>
      <c r="E496" t="s">
        <v>19</v>
      </c>
      <c r="F496" t="s">
        <v>34</v>
      </c>
      <c r="G496" t="s">
        <v>24</v>
      </c>
      <c r="H496">
        <v>9</v>
      </c>
    </row>
    <row r="497" spans="1:8" x14ac:dyDescent="0.3">
      <c r="A497" t="s">
        <v>964</v>
      </c>
      <c r="B497" t="s">
        <v>965</v>
      </c>
      <c r="C497" s="4">
        <v>45069</v>
      </c>
      <c r="D497">
        <v>70717.429999999993</v>
      </c>
      <c r="E497" t="s">
        <v>19</v>
      </c>
      <c r="F497" t="s">
        <v>16</v>
      </c>
      <c r="G497" t="s">
        <v>12</v>
      </c>
      <c r="H497">
        <v>36</v>
      </c>
    </row>
    <row r="498" spans="1:8" x14ac:dyDescent="0.3">
      <c r="A498" t="s">
        <v>966</v>
      </c>
      <c r="B498" t="s">
        <v>904</v>
      </c>
      <c r="C498" s="4">
        <v>45424</v>
      </c>
      <c r="D498">
        <v>157411.14000000001</v>
      </c>
      <c r="E498" t="s">
        <v>19</v>
      </c>
      <c r="F498" t="s">
        <v>11</v>
      </c>
      <c r="G498" t="s">
        <v>24</v>
      </c>
      <c r="H498">
        <v>34</v>
      </c>
    </row>
    <row r="499" spans="1:8" x14ac:dyDescent="0.3">
      <c r="A499" t="s">
        <v>967</v>
      </c>
      <c r="B499" t="s">
        <v>968</v>
      </c>
      <c r="C499" s="4">
        <v>45285</v>
      </c>
      <c r="D499">
        <v>81805.240000000005</v>
      </c>
      <c r="E499" t="s">
        <v>10</v>
      </c>
      <c r="F499" t="s">
        <v>16</v>
      </c>
      <c r="G499" t="s">
        <v>12</v>
      </c>
      <c r="H499">
        <v>51</v>
      </c>
    </row>
    <row r="500" spans="1:8" x14ac:dyDescent="0.3">
      <c r="A500" t="s">
        <v>969</v>
      </c>
      <c r="B500" t="s">
        <v>970</v>
      </c>
      <c r="C500" s="4">
        <v>44951</v>
      </c>
      <c r="D500">
        <v>444333.16</v>
      </c>
      <c r="E500" t="s">
        <v>19</v>
      </c>
      <c r="F500" t="s">
        <v>34</v>
      </c>
      <c r="G500" t="s">
        <v>24</v>
      </c>
      <c r="H500">
        <v>45</v>
      </c>
    </row>
    <row r="501" spans="1:8" x14ac:dyDescent="0.3">
      <c r="A501" t="s">
        <v>971</v>
      </c>
      <c r="B501" t="s">
        <v>972</v>
      </c>
      <c r="C501" s="4">
        <v>45123</v>
      </c>
      <c r="D501">
        <v>55442.14</v>
      </c>
      <c r="E501" t="s">
        <v>15</v>
      </c>
      <c r="F501" t="s">
        <v>23</v>
      </c>
      <c r="G501" t="s">
        <v>12</v>
      </c>
      <c r="H501">
        <v>9</v>
      </c>
    </row>
    <row r="502" spans="1:8" x14ac:dyDescent="0.3">
      <c r="A502" t="s">
        <v>973</v>
      </c>
      <c r="B502" t="s">
        <v>974</v>
      </c>
      <c r="C502" s="4">
        <v>44833</v>
      </c>
      <c r="D502">
        <v>299995.48</v>
      </c>
      <c r="E502" t="s">
        <v>10</v>
      </c>
      <c r="F502" t="s">
        <v>16</v>
      </c>
      <c r="G502" t="s">
        <v>24</v>
      </c>
      <c r="H502">
        <v>17</v>
      </c>
    </row>
    <row r="503" spans="1:8" x14ac:dyDescent="0.3">
      <c r="A503" t="s">
        <v>975</v>
      </c>
      <c r="B503" t="s">
        <v>976</v>
      </c>
      <c r="C503" s="4">
        <v>45310</v>
      </c>
      <c r="D503">
        <v>201994.59</v>
      </c>
      <c r="E503" t="s">
        <v>19</v>
      </c>
      <c r="F503" t="s">
        <v>20</v>
      </c>
      <c r="G503" t="s">
        <v>12</v>
      </c>
      <c r="H503">
        <v>7</v>
      </c>
    </row>
    <row r="504" spans="1:8" x14ac:dyDescent="0.3">
      <c r="A504" t="s">
        <v>977</v>
      </c>
      <c r="B504" t="s">
        <v>978</v>
      </c>
      <c r="C504" s="4">
        <v>45185</v>
      </c>
      <c r="D504">
        <v>355245.86</v>
      </c>
      <c r="E504" t="s">
        <v>10</v>
      </c>
      <c r="F504" t="s">
        <v>11</v>
      </c>
      <c r="G504" t="s">
        <v>12</v>
      </c>
      <c r="H504">
        <v>30</v>
      </c>
    </row>
    <row r="505" spans="1:8" x14ac:dyDescent="0.3">
      <c r="A505" t="s">
        <v>979</v>
      </c>
      <c r="B505" t="s">
        <v>980</v>
      </c>
      <c r="C505" s="4">
        <v>45145</v>
      </c>
      <c r="D505">
        <v>282997.68</v>
      </c>
      <c r="E505" t="s">
        <v>19</v>
      </c>
      <c r="F505" t="s">
        <v>11</v>
      </c>
      <c r="G505" t="s">
        <v>12</v>
      </c>
      <c r="H505">
        <v>26</v>
      </c>
    </row>
    <row r="506" spans="1:8" x14ac:dyDescent="0.3">
      <c r="A506" t="s">
        <v>981</v>
      </c>
      <c r="B506" t="s">
        <v>982</v>
      </c>
      <c r="C506" s="4">
        <v>44786</v>
      </c>
      <c r="D506">
        <v>485091.49</v>
      </c>
      <c r="E506" t="s">
        <v>19</v>
      </c>
      <c r="F506" t="s">
        <v>16</v>
      </c>
      <c r="G506" t="s">
        <v>12</v>
      </c>
      <c r="H506">
        <v>22</v>
      </c>
    </row>
    <row r="507" spans="1:8" x14ac:dyDescent="0.3">
      <c r="A507" t="s">
        <v>983</v>
      </c>
      <c r="B507" t="s">
        <v>984</v>
      </c>
      <c r="C507" s="4">
        <v>45400</v>
      </c>
      <c r="D507">
        <v>303358.15999999997</v>
      </c>
      <c r="E507" t="s">
        <v>19</v>
      </c>
      <c r="F507" t="s">
        <v>23</v>
      </c>
      <c r="G507" t="s">
        <v>24</v>
      </c>
      <c r="H507">
        <v>22</v>
      </c>
    </row>
    <row r="508" spans="1:8" x14ac:dyDescent="0.3">
      <c r="A508" t="s">
        <v>985</v>
      </c>
      <c r="B508" t="s">
        <v>986</v>
      </c>
      <c r="C508" s="4">
        <v>44880</v>
      </c>
      <c r="D508">
        <v>380640.57</v>
      </c>
      <c r="E508" t="s">
        <v>19</v>
      </c>
      <c r="F508" t="s">
        <v>23</v>
      </c>
      <c r="G508" t="s">
        <v>12</v>
      </c>
      <c r="H508">
        <v>17</v>
      </c>
    </row>
    <row r="509" spans="1:8" x14ac:dyDescent="0.3">
      <c r="A509" t="s">
        <v>987</v>
      </c>
      <c r="B509" t="s">
        <v>988</v>
      </c>
      <c r="C509" s="4">
        <v>45393</v>
      </c>
      <c r="D509">
        <v>227762.46</v>
      </c>
      <c r="E509" t="s">
        <v>15</v>
      </c>
      <c r="F509" t="s">
        <v>16</v>
      </c>
      <c r="G509" t="s">
        <v>12</v>
      </c>
      <c r="H509">
        <v>6</v>
      </c>
    </row>
    <row r="510" spans="1:8" x14ac:dyDescent="0.3">
      <c r="A510" t="s">
        <v>989</v>
      </c>
      <c r="B510" t="s">
        <v>990</v>
      </c>
      <c r="C510" s="4">
        <v>45261</v>
      </c>
      <c r="D510">
        <v>200731.28</v>
      </c>
      <c r="E510" t="s">
        <v>19</v>
      </c>
      <c r="F510" t="s">
        <v>23</v>
      </c>
      <c r="G510" t="s">
        <v>24</v>
      </c>
      <c r="H510">
        <v>53</v>
      </c>
    </row>
    <row r="511" spans="1:8" x14ac:dyDescent="0.3">
      <c r="A511" t="s">
        <v>991</v>
      </c>
      <c r="B511" t="s">
        <v>992</v>
      </c>
      <c r="C511" s="4">
        <v>45703</v>
      </c>
      <c r="D511">
        <v>324185.73</v>
      </c>
      <c r="E511" t="s">
        <v>19</v>
      </c>
      <c r="F511" t="s">
        <v>16</v>
      </c>
      <c r="G511" t="s">
        <v>24</v>
      </c>
      <c r="H511">
        <v>55</v>
      </c>
    </row>
    <row r="512" spans="1:8" x14ac:dyDescent="0.3">
      <c r="A512" t="s">
        <v>993</v>
      </c>
      <c r="B512" t="s">
        <v>264</v>
      </c>
      <c r="C512" s="4">
        <v>45087</v>
      </c>
      <c r="D512">
        <v>158699.26999999999</v>
      </c>
      <c r="E512" t="s">
        <v>10</v>
      </c>
      <c r="F512" t="s">
        <v>20</v>
      </c>
      <c r="G512" t="s">
        <v>24</v>
      </c>
      <c r="H512">
        <v>57</v>
      </c>
    </row>
    <row r="513" spans="1:8" x14ac:dyDescent="0.3">
      <c r="A513" t="s">
        <v>994</v>
      </c>
      <c r="B513" t="s">
        <v>995</v>
      </c>
      <c r="C513" s="4">
        <v>45424</v>
      </c>
      <c r="D513">
        <v>76565.179999999993</v>
      </c>
      <c r="E513" t="s">
        <v>10</v>
      </c>
      <c r="F513" t="s">
        <v>11</v>
      </c>
      <c r="G513" t="s">
        <v>24</v>
      </c>
      <c r="H513">
        <v>47</v>
      </c>
    </row>
    <row r="514" spans="1:8" x14ac:dyDescent="0.3">
      <c r="A514" t="s">
        <v>996</v>
      </c>
      <c r="B514" t="s">
        <v>997</v>
      </c>
      <c r="C514" s="4">
        <v>44653</v>
      </c>
      <c r="D514">
        <v>453802.02</v>
      </c>
      <c r="E514" t="s">
        <v>15</v>
      </c>
      <c r="F514" t="s">
        <v>23</v>
      </c>
      <c r="G514" t="s">
        <v>24</v>
      </c>
      <c r="H514">
        <v>57</v>
      </c>
    </row>
    <row r="515" spans="1:8" x14ac:dyDescent="0.3">
      <c r="A515" t="s">
        <v>998</v>
      </c>
      <c r="B515" t="s">
        <v>999</v>
      </c>
      <c r="C515" s="4">
        <v>45413</v>
      </c>
      <c r="D515">
        <v>375570.91</v>
      </c>
      <c r="E515" t="s">
        <v>15</v>
      </c>
      <c r="F515" t="s">
        <v>23</v>
      </c>
      <c r="G515" t="s">
        <v>12</v>
      </c>
      <c r="H515">
        <v>48</v>
      </c>
    </row>
    <row r="516" spans="1:8" x14ac:dyDescent="0.3">
      <c r="A516" t="s">
        <v>1000</v>
      </c>
      <c r="B516" t="s">
        <v>1001</v>
      </c>
      <c r="C516" s="4">
        <v>45242</v>
      </c>
      <c r="D516">
        <v>248647.27</v>
      </c>
      <c r="E516" t="s">
        <v>19</v>
      </c>
      <c r="F516" t="s">
        <v>11</v>
      </c>
      <c r="G516" t="s">
        <v>12</v>
      </c>
      <c r="H516">
        <v>39</v>
      </c>
    </row>
    <row r="517" spans="1:8" x14ac:dyDescent="0.3">
      <c r="A517" t="s">
        <v>1002</v>
      </c>
      <c r="B517" t="s">
        <v>1003</v>
      </c>
      <c r="C517" s="4">
        <v>45230</v>
      </c>
      <c r="D517">
        <v>386485.86</v>
      </c>
      <c r="E517" t="s">
        <v>10</v>
      </c>
      <c r="F517" t="s">
        <v>20</v>
      </c>
      <c r="G517" t="s">
        <v>24</v>
      </c>
      <c r="H517">
        <v>45</v>
      </c>
    </row>
    <row r="518" spans="1:8" x14ac:dyDescent="0.3">
      <c r="A518" t="s">
        <v>1004</v>
      </c>
      <c r="B518" t="s">
        <v>1005</v>
      </c>
      <c r="C518" s="4">
        <v>44521</v>
      </c>
      <c r="D518">
        <v>288249.2</v>
      </c>
      <c r="E518" t="s">
        <v>19</v>
      </c>
      <c r="F518" t="s">
        <v>11</v>
      </c>
      <c r="G518" t="s">
        <v>12</v>
      </c>
      <c r="H518">
        <v>23</v>
      </c>
    </row>
    <row r="519" spans="1:8" x14ac:dyDescent="0.3">
      <c r="A519" t="s">
        <v>1006</v>
      </c>
      <c r="B519" t="s">
        <v>1007</v>
      </c>
      <c r="C519" s="4">
        <v>45456</v>
      </c>
      <c r="D519">
        <v>95884.86</v>
      </c>
      <c r="E519" t="s">
        <v>15</v>
      </c>
      <c r="F519" t="s">
        <v>20</v>
      </c>
      <c r="G519" t="s">
        <v>24</v>
      </c>
      <c r="H519">
        <v>37</v>
      </c>
    </row>
    <row r="520" spans="1:8" x14ac:dyDescent="0.3">
      <c r="A520" t="s">
        <v>1008</v>
      </c>
      <c r="B520" t="s">
        <v>1009</v>
      </c>
      <c r="C520" s="4">
        <v>45493</v>
      </c>
      <c r="D520">
        <v>345927.84</v>
      </c>
      <c r="E520" t="s">
        <v>15</v>
      </c>
      <c r="F520" t="s">
        <v>11</v>
      </c>
      <c r="G520" t="s">
        <v>24</v>
      </c>
      <c r="H520">
        <v>22</v>
      </c>
    </row>
    <row r="521" spans="1:8" x14ac:dyDescent="0.3">
      <c r="A521" t="s">
        <v>1010</v>
      </c>
      <c r="B521" t="s">
        <v>1011</v>
      </c>
      <c r="C521" s="4">
        <v>44579</v>
      </c>
      <c r="D521">
        <v>92715.24</v>
      </c>
      <c r="E521" t="s">
        <v>10</v>
      </c>
      <c r="F521" t="s">
        <v>23</v>
      </c>
      <c r="G521" t="s">
        <v>12</v>
      </c>
      <c r="H521">
        <v>27</v>
      </c>
    </row>
    <row r="522" spans="1:8" x14ac:dyDescent="0.3">
      <c r="A522" t="s">
        <v>1012</v>
      </c>
      <c r="B522" t="s">
        <v>1013</v>
      </c>
      <c r="C522" s="4">
        <v>45339</v>
      </c>
      <c r="D522">
        <v>77635.23</v>
      </c>
      <c r="E522" t="s">
        <v>19</v>
      </c>
      <c r="F522" t="s">
        <v>16</v>
      </c>
      <c r="G522" t="s">
        <v>24</v>
      </c>
      <c r="H522">
        <v>56</v>
      </c>
    </row>
    <row r="523" spans="1:8" x14ac:dyDescent="0.3">
      <c r="A523" t="s">
        <v>1014</v>
      </c>
      <c r="B523" t="s">
        <v>1015</v>
      </c>
      <c r="C523" s="4">
        <v>44626</v>
      </c>
      <c r="D523">
        <v>57395.91</v>
      </c>
      <c r="E523" t="s">
        <v>10</v>
      </c>
      <c r="F523" t="s">
        <v>34</v>
      </c>
      <c r="G523" t="s">
        <v>24</v>
      </c>
      <c r="H523">
        <v>34</v>
      </c>
    </row>
    <row r="524" spans="1:8" x14ac:dyDescent="0.3">
      <c r="A524" t="s">
        <v>1016</v>
      </c>
      <c r="B524" t="s">
        <v>1017</v>
      </c>
      <c r="C524" s="4">
        <v>44961</v>
      </c>
      <c r="D524">
        <v>255378.53</v>
      </c>
      <c r="E524" t="s">
        <v>19</v>
      </c>
      <c r="F524" t="s">
        <v>11</v>
      </c>
      <c r="G524" t="s">
        <v>24</v>
      </c>
      <c r="H524">
        <v>48</v>
      </c>
    </row>
    <row r="525" spans="1:8" x14ac:dyDescent="0.3">
      <c r="A525" t="s">
        <v>1018</v>
      </c>
      <c r="B525" t="s">
        <v>1019</v>
      </c>
      <c r="C525" s="4">
        <v>45518</v>
      </c>
      <c r="D525">
        <v>229336.47</v>
      </c>
      <c r="E525" t="s">
        <v>19</v>
      </c>
      <c r="F525" t="s">
        <v>23</v>
      </c>
      <c r="G525" t="s">
        <v>12</v>
      </c>
      <c r="H525">
        <v>10</v>
      </c>
    </row>
    <row r="526" spans="1:8" x14ac:dyDescent="0.3">
      <c r="A526" t="s">
        <v>1020</v>
      </c>
      <c r="B526" t="s">
        <v>294</v>
      </c>
      <c r="C526" s="4">
        <v>44529</v>
      </c>
      <c r="D526">
        <v>345408.81</v>
      </c>
      <c r="E526" t="s">
        <v>10</v>
      </c>
      <c r="F526" t="s">
        <v>20</v>
      </c>
      <c r="G526" t="s">
        <v>12</v>
      </c>
      <c r="H526">
        <v>26</v>
      </c>
    </row>
    <row r="527" spans="1:8" x14ac:dyDescent="0.3">
      <c r="A527" t="s">
        <v>1021</v>
      </c>
      <c r="B527" t="s">
        <v>1022</v>
      </c>
      <c r="C527" s="4">
        <v>45658</v>
      </c>
      <c r="D527">
        <v>194566.56</v>
      </c>
      <c r="E527" t="s">
        <v>15</v>
      </c>
      <c r="F527" t="s">
        <v>11</v>
      </c>
      <c r="G527" t="s">
        <v>24</v>
      </c>
      <c r="H527">
        <v>13</v>
      </c>
    </row>
    <row r="528" spans="1:8" x14ac:dyDescent="0.3">
      <c r="A528" t="s">
        <v>1023</v>
      </c>
      <c r="B528" t="s">
        <v>1024</v>
      </c>
      <c r="C528" s="4">
        <v>45474</v>
      </c>
      <c r="D528">
        <v>149212.17000000001</v>
      </c>
      <c r="E528" t="s">
        <v>19</v>
      </c>
      <c r="F528" t="s">
        <v>11</v>
      </c>
      <c r="G528" t="s">
        <v>24</v>
      </c>
      <c r="H528">
        <v>8</v>
      </c>
    </row>
    <row r="529" spans="1:8" x14ac:dyDescent="0.3">
      <c r="A529" t="s">
        <v>1025</v>
      </c>
      <c r="B529" t="s">
        <v>1026</v>
      </c>
      <c r="C529" s="4">
        <v>44959</v>
      </c>
      <c r="D529">
        <v>37037.919999999998</v>
      </c>
      <c r="E529" t="s">
        <v>10</v>
      </c>
      <c r="F529" t="s">
        <v>34</v>
      </c>
      <c r="G529" t="s">
        <v>24</v>
      </c>
      <c r="H529">
        <v>37</v>
      </c>
    </row>
    <row r="530" spans="1:8" x14ac:dyDescent="0.3">
      <c r="A530" t="s">
        <v>1027</v>
      </c>
      <c r="B530" t="s">
        <v>955</v>
      </c>
      <c r="C530" s="4">
        <v>45532</v>
      </c>
      <c r="D530">
        <v>427693.35</v>
      </c>
      <c r="E530" t="s">
        <v>19</v>
      </c>
      <c r="F530" t="s">
        <v>11</v>
      </c>
      <c r="G530" t="s">
        <v>24</v>
      </c>
      <c r="H530">
        <v>41</v>
      </c>
    </row>
    <row r="531" spans="1:8" x14ac:dyDescent="0.3">
      <c r="A531" t="s">
        <v>1028</v>
      </c>
      <c r="B531" t="s">
        <v>1029</v>
      </c>
      <c r="C531" s="4">
        <v>44517</v>
      </c>
      <c r="D531">
        <v>366615.7</v>
      </c>
      <c r="E531" t="s">
        <v>15</v>
      </c>
      <c r="F531" t="s">
        <v>34</v>
      </c>
      <c r="G531" t="s">
        <v>24</v>
      </c>
      <c r="H531">
        <v>33</v>
      </c>
    </row>
    <row r="532" spans="1:8" x14ac:dyDescent="0.3">
      <c r="A532" t="s">
        <v>1030</v>
      </c>
      <c r="B532" t="s">
        <v>1031</v>
      </c>
      <c r="C532" s="4">
        <v>44917</v>
      </c>
      <c r="D532">
        <v>445978.51</v>
      </c>
      <c r="E532" t="s">
        <v>15</v>
      </c>
      <c r="F532" t="s">
        <v>11</v>
      </c>
      <c r="G532" t="s">
        <v>12</v>
      </c>
      <c r="H532">
        <v>14</v>
      </c>
    </row>
    <row r="533" spans="1:8" x14ac:dyDescent="0.3">
      <c r="A533" t="s">
        <v>1032</v>
      </c>
      <c r="B533" t="s">
        <v>1033</v>
      </c>
      <c r="C533" s="4">
        <v>45466</v>
      </c>
      <c r="D533">
        <v>61252.959999999999</v>
      </c>
      <c r="E533" t="s">
        <v>19</v>
      </c>
      <c r="F533" t="s">
        <v>34</v>
      </c>
      <c r="G533" t="s">
        <v>12</v>
      </c>
      <c r="H533">
        <v>29</v>
      </c>
    </row>
    <row r="534" spans="1:8" x14ac:dyDescent="0.3">
      <c r="A534" t="s">
        <v>1034</v>
      </c>
      <c r="B534" t="s">
        <v>1035</v>
      </c>
      <c r="C534" s="4">
        <v>45092</v>
      </c>
      <c r="D534">
        <v>225031.14</v>
      </c>
      <c r="E534" t="s">
        <v>19</v>
      </c>
      <c r="F534" t="s">
        <v>11</v>
      </c>
      <c r="G534" t="s">
        <v>24</v>
      </c>
      <c r="H534">
        <v>42</v>
      </c>
    </row>
    <row r="535" spans="1:8" x14ac:dyDescent="0.3">
      <c r="A535" t="s">
        <v>1036</v>
      </c>
      <c r="B535" t="s">
        <v>1037</v>
      </c>
      <c r="C535" s="4">
        <v>45643</v>
      </c>
      <c r="D535">
        <v>87135.09</v>
      </c>
      <c r="E535" t="s">
        <v>15</v>
      </c>
      <c r="F535" t="s">
        <v>20</v>
      </c>
      <c r="G535" t="s">
        <v>12</v>
      </c>
      <c r="H535">
        <v>8</v>
      </c>
    </row>
    <row r="536" spans="1:8" x14ac:dyDescent="0.3">
      <c r="A536" t="s">
        <v>1038</v>
      </c>
      <c r="B536" t="s">
        <v>1039</v>
      </c>
      <c r="C536" s="4">
        <v>45698</v>
      </c>
      <c r="D536">
        <v>227648.58</v>
      </c>
      <c r="E536" t="s">
        <v>15</v>
      </c>
      <c r="F536" t="s">
        <v>23</v>
      </c>
      <c r="G536" t="s">
        <v>12</v>
      </c>
      <c r="H536">
        <v>40</v>
      </c>
    </row>
    <row r="537" spans="1:8" x14ac:dyDescent="0.3">
      <c r="A537" t="s">
        <v>1040</v>
      </c>
      <c r="B537" t="s">
        <v>1003</v>
      </c>
      <c r="C537" s="4">
        <v>45240</v>
      </c>
      <c r="D537">
        <v>321775.28000000003</v>
      </c>
      <c r="E537" t="s">
        <v>15</v>
      </c>
      <c r="F537" t="s">
        <v>11</v>
      </c>
      <c r="G537" t="s">
        <v>12</v>
      </c>
      <c r="H537">
        <v>52</v>
      </c>
    </row>
    <row r="538" spans="1:8" x14ac:dyDescent="0.3">
      <c r="A538" t="s">
        <v>1041</v>
      </c>
      <c r="B538" t="s">
        <v>1042</v>
      </c>
      <c r="C538" s="4">
        <v>44485</v>
      </c>
      <c r="D538">
        <v>422064.22</v>
      </c>
      <c r="E538" t="s">
        <v>10</v>
      </c>
      <c r="F538" t="s">
        <v>11</v>
      </c>
      <c r="G538" t="s">
        <v>24</v>
      </c>
      <c r="H538">
        <v>44</v>
      </c>
    </row>
    <row r="539" spans="1:8" x14ac:dyDescent="0.3">
      <c r="A539" t="s">
        <v>1043</v>
      </c>
      <c r="B539" t="s">
        <v>1044</v>
      </c>
      <c r="C539" s="4">
        <v>44386</v>
      </c>
      <c r="D539">
        <v>55408.21</v>
      </c>
      <c r="E539" t="s">
        <v>19</v>
      </c>
      <c r="F539" t="s">
        <v>23</v>
      </c>
      <c r="G539" t="s">
        <v>24</v>
      </c>
      <c r="H539">
        <v>21</v>
      </c>
    </row>
    <row r="540" spans="1:8" x14ac:dyDescent="0.3">
      <c r="A540" t="s">
        <v>1045</v>
      </c>
      <c r="B540" t="s">
        <v>1046</v>
      </c>
      <c r="C540" s="4">
        <v>45468</v>
      </c>
      <c r="D540">
        <v>294679.23</v>
      </c>
      <c r="E540" t="s">
        <v>19</v>
      </c>
      <c r="F540" t="s">
        <v>34</v>
      </c>
      <c r="G540" t="s">
        <v>12</v>
      </c>
      <c r="H540">
        <v>55</v>
      </c>
    </row>
    <row r="541" spans="1:8" x14ac:dyDescent="0.3">
      <c r="A541" t="s">
        <v>1047</v>
      </c>
      <c r="B541" t="s">
        <v>1048</v>
      </c>
      <c r="C541" s="4">
        <v>45283</v>
      </c>
      <c r="D541">
        <v>43742.02</v>
      </c>
      <c r="E541" t="s">
        <v>15</v>
      </c>
      <c r="F541" t="s">
        <v>20</v>
      </c>
      <c r="G541" t="s">
        <v>12</v>
      </c>
      <c r="H541">
        <v>29</v>
      </c>
    </row>
    <row r="542" spans="1:8" x14ac:dyDescent="0.3">
      <c r="A542" t="s">
        <v>1049</v>
      </c>
      <c r="B542" t="s">
        <v>1050</v>
      </c>
      <c r="C542" s="4">
        <v>45255</v>
      </c>
      <c r="D542">
        <v>91705.48</v>
      </c>
      <c r="E542" t="s">
        <v>15</v>
      </c>
      <c r="F542" t="s">
        <v>16</v>
      </c>
      <c r="G542" t="s">
        <v>12</v>
      </c>
      <c r="H542">
        <v>24</v>
      </c>
    </row>
    <row r="543" spans="1:8" x14ac:dyDescent="0.3">
      <c r="A543" t="s">
        <v>1051</v>
      </c>
      <c r="B543" t="s">
        <v>1052</v>
      </c>
      <c r="C543" s="4">
        <v>45099</v>
      </c>
      <c r="D543">
        <v>197450.64</v>
      </c>
      <c r="E543" t="s">
        <v>10</v>
      </c>
      <c r="F543" t="s">
        <v>16</v>
      </c>
      <c r="G543" t="s">
        <v>12</v>
      </c>
      <c r="H543">
        <v>43</v>
      </c>
    </row>
    <row r="544" spans="1:8" x14ac:dyDescent="0.3">
      <c r="A544" t="s">
        <v>1053</v>
      </c>
      <c r="B544" t="s">
        <v>1054</v>
      </c>
      <c r="C544" s="4">
        <v>44510</v>
      </c>
      <c r="D544">
        <v>174124.52</v>
      </c>
      <c r="E544" t="s">
        <v>19</v>
      </c>
      <c r="F544" t="s">
        <v>23</v>
      </c>
      <c r="G544" t="s">
        <v>12</v>
      </c>
      <c r="H544">
        <v>8</v>
      </c>
    </row>
    <row r="545" spans="1:8" x14ac:dyDescent="0.3">
      <c r="A545" t="s">
        <v>1055</v>
      </c>
      <c r="B545" t="s">
        <v>1056</v>
      </c>
      <c r="C545" s="4">
        <v>44493</v>
      </c>
      <c r="D545">
        <v>254770.61</v>
      </c>
      <c r="E545" t="s">
        <v>10</v>
      </c>
      <c r="F545" t="s">
        <v>16</v>
      </c>
      <c r="G545" t="s">
        <v>24</v>
      </c>
      <c r="H545">
        <v>59</v>
      </c>
    </row>
    <row r="546" spans="1:8" x14ac:dyDescent="0.3">
      <c r="A546" t="s">
        <v>1057</v>
      </c>
      <c r="B546" t="s">
        <v>1058</v>
      </c>
      <c r="C546" s="4">
        <v>45103</v>
      </c>
      <c r="D546">
        <v>97671.31</v>
      </c>
      <c r="E546" t="s">
        <v>19</v>
      </c>
      <c r="F546" t="s">
        <v>34</v>
      </c>
      <c r="G546" t="s">
        <v>12</v>
      </c>
      <c r="H546">
        <v>53</v>
      </c>
    </row>
    <row r="547" spans="1:8" x14ac:dyDescent="0.3">
      <c r="A547" t="s">
        <v>1059</v>
      </c>
      <c r="B547" t="s">
        <v>925</v>
      </c>
      <c r="C547" s="4">
        <v>45020</v>
      </c>
      <c r="D547">
        <v>107548.69</v>
      </c>
      <c r="E547" t="s">
        <v>19</v>
      </c>
      <c r="F547" t="s">
        <v>34</v>
      </c>
      <c r="G547" t="s">
        <v>12</v>
      </c>
      <c r="H547">
        <v>24</v>
      </c>
    </row>
    <row r="548" spans="1:8" x14ac:dyDescent="0.3">
      <c r="A548" t="s">
        <v>1060</v>
      </c>
      <c r="B548" t="s">
        <v>1061</v>
      </c>
      <c r="C548" s="4">
        <v>45280</v>
      </c>
      <c r="D548">
        <v>83986.63</v>
      </c>
      <c r="E548" t="s">
        <v>15</v>
      </c>
      <c r="F548" t="s">
        <v>16</v>
      </c>
      <c r="G548" t="s">
        <v>12</v>
      </c>
      <c r="H548">
        <v>13</v>
      </c>
    </row>
    <row r="549" spans="1:8" x14ac:dyDescent="0.3">
      <c r="A549" t="s">
        <v>1062</v>
      </c>
      <c r="B549" t="s">
        <v>1063</v>
      </c>
      <c r="C549" s="4">
        <v>45180</v>
      </c>
      <c r="D549">
        <v>178299.48</v>
      </c>
      <c r="E549" t="s">
        <v>19</v>
      </c>
      <c r="F549" t="s">
        <v>34</v>
      </c>
      <c r="G549" t="s">
        <v>12</v>
      </c>
      <c r="H549">
        <v>10</v>
      </c>
    </row>
    <row r="550" spans="1:8" x14ac:dyDescent="0.3">
      <c r="A550" t="s">
        <v>1064</v>
      </c>
      <c r="B550" t="s">
        <v>1065</v>
      </c>
      <c r="C550" s="4">
        <v>45414</v>
      </c>
      <c r="D550">
        <v>416609.91</v>
      </c>
      <c r="E550" t="s">
        <v>19</v>
      </c>
      <c r="F550" t="s">
        <v>34</v>
      </c>
      <c r="G550" t="s">
        <v>24</v>
      </c>
      <c r="H550">
        <v>48</v>
      </c>
    </row>
    <row r="551" spans="1:8" x14ac:dyDescent="0.3">
      <c r="A551" t="s">
        <v>1066</v>
      </c>
      <c r="B551" t="s">
        <v>1067</v>
      </c>
      <c r="C551" s="4">
        <v>44487</v>
      </c>
      <c r="D551">
        <v>164639.75</v>
      </c>
      <c r="E551" t="s">
        <v>10</v>
      </c>
      <c r="F551" t="s">
        <v>23</v>
      </c>
      <c r="G551" t="s">
        <v>12</v>
      </c>
      <c r="H551">
        <v>11</v>
      </c>
    </row>
    <row r="552" spans="1:8" x14ac:dyDescent="0.3">
      <c r="A552" t="s">
        <v>1068</v>
      </c>
      <c r="B552" t="s">
        <v>1069</v>
      </c>
      <c r="C552" s="4">
        <v>45690</v>
      </c>
      <c r="D552">
        <v>151760.6</v>
      </c>
      <c r="E552" t="s">
        <v>10</v>
      </c>
      <c r="F552" t="s">
        <v>16</v>
      </c>
      <c r="G552" t="s">
        <v>12</v>
      </c>
      <c r="H552">
        <v>45</v>
      </c>
    </row>
    <row r="553" spans="1:8" x14ac:dyDescent="0.3">
      <c r="A553" t="s">
        <v>1070</v>
      </c>
      <c r="B553" t="s">
        <v>1071</v>
      </c>
      <c r="C553" s="4">
        <v>44712</v>
      </c>
      <c r="D553">
        <v>140195.25</v>
      </c>
      <c r="E553" t="s">
        <v>19</v>
      </c>
      <c r="F553" t="s">
        <v>23</v>
      </c>
      <c r="G553" t="s">
        <v>24</v>
      </c>
      <c r="H553">
        <v>36</v>
      </c>
    </row>
    <row r="554" spans="1:8" x14ac:dyDescent="0.3">
      <c r="A554" t="s">
        <v>1072</v>
      </c>
      <c r="B554" t="s">
        <v>143</v>
      </c>
      <c r="C554" s="4">
        <v>44477</v>
      </c>
      <c r="D554">
        <v>484529.51</v>
      </c>
      <c r="E554" t="s">
        <v>10</v>
      </c>
      <c r="F554" t="s">
        <v>11</v>
      </c>
      <c r="G554" t="s">
        <v>24</v>
      </c>
      <c r="H554">
        <v>49</v>
      </c>
    </row>
    <row r="555" spans="1:8" x14ac:dyDescent="0.3">
      <c r="A555" t="s">
        <v>1073</v>
      </c>
      <c r="B555" t="s">
        <v>1074</v>
      </c>
      <c r="C555" s="4">
        <v>45424</v>
      </c>
      <c r="D555">
        <v>260330.29</v>
      </c>
      <c r="E555" t="s">
        <v>10</v>
      </c>
      <c r="F555" t="s">
        <v>11</v>
      </c>
      <c r="G555" t="s">
        <v>12</v>
      </c>
      <c r="H555">
        <v>38</v>
      </c>
    </row>
    <row r="556" spans="1:8" x14ac:dyDescent="0.3">
      <c r="A556" t="s">
        <v>1075</v>
      </c>
      <c r="B556" t="s">
        <v>1076</v>
      </c>
      <c r="C556" s="4">
        <v>45327</v>
      </c>
      <c r="D556">
        <v>353021.91</v>
      </c>
      <c r="E556" t="s">
        <v>15</v>
      </c>
      <c r="F556" t="s">
        <v>11</v>
      </c>
      <c r="G556" t="s">
        <v>12</v>
      </c>
      <c r="H556">
        <v>28</v>
      </c>
    </row>
    <row r="557" spans="1:8" x14ac:dyDescent="0.3">
      <c r="A557" t="s">
        <v>1077</v>
      </c>
      <c r="B557" t="s">
        <v>1078</v>
      </c>
      <c r="C557" s="4">
        <v>44762</v>
      </c>
      <c r="D557">
        <v>45547.6</v>
      </c>
      <c r="E557" t="s">
        <v>10</v>
      </c>
      <c r="F557" t="s">
        <v>11</v>
      </c>
      <c r="G557" t="s">
        <v>12</v>
      </c>
      <c r="H557">
        <v>8</v>
      </c>
    </row>
    <row r="558" spans="1:8" x14ac:dyDescent="0.3">
      <c r="A558" t="s">
        <v>1079</v>
      </c>
      <c r="B558" t="s">
        <v>1080</v>
      </c>
      <c r="C558" s="4">
        <v>45252</v>
      </c>
      <c r="D558">
        <v>29489.54</v>
      </c>
      <c r="E558" t="s">
        <v>19</v>
      </c>
      <c r="F558" t="s">
        <v>23</v>
      </c>
      <c r="G558" t="s">
        <v>12</v>
      </c>
      <c r="H558">
        <v>15</v>
      </c>
    </row>
    <row r="559" spans="1:8" x14ac:dyDescent="0.3">
      <c r="A559" t="s">
        <v>1081</v>
      </c>
      <c r="B559" t="s">
        <v>1082</v>
      </c>
      <c r="C559" s="4">
        <v>45640</v>
      </c>
      <c r="D559">
        <v>43967.42</v>
      </c>
      <c r="E559" t="s">
        <v>15</v>
      </c>
      <c r="F559" t="s">
        <v>16</v>
      </c>
      <c r="G559" t="s">
        <v>12</v>
      </c>
      <c r="H559">
        <v>55</v>
      </c>
    </row>
    <row r="560" spans="1:8" x14ac:dyDescent="0.3">
      <c r="A560" t="s">
        <v>1083</v>
      </c>
      <c r="B560" t="s">
        <v>1084</v>
      </c>
      <c r="C560" s="4">
        <v>45130</v>
      </c>
      <c r="D560">
        <v>439851.51</v>
      </c>
      <c r="E560" t="s">
        <v>19</v>
      </c>
      <c r="F560" t="s">
        <v>20</v>
      </c>
      <c r="G560" t="s">
        <v>24</v>
      </c>
      <c r="H560">
        <v>24</v>
      </c>
    </row>
    <row r="561" spans="1:8" x14ac:dyDescent="0.3">
      <c r="A561" t="s">
        <v>1085</v>
      </c>
      <c r="B561" t="s">
        <v>109</v>
      </c>
      <c r="C561" s="4">
        <v>45632</v>
      </c>
      <c r="D561">
        <v>169069.19</v>
      </c>
      <c r="E561" t="s">
        <v>19</v>
      </c>
      <c r="F561" t="s">
        <v>16</v>
      </c>
      <c r="G561" t="s">
        <v>12</v>
      </c>
      <c r="H561">
        <v>29</v>
      </c>
    </row>
    <row r="562" spans="1:8" x14ac:dyDescent="0.3">
      <c r="A562" t="s">
        <v>1086</v>
      </c>
      <c r="B562" t="s">
        <v>1087</v>
      </c>
      <c r="C562" s="4">
        <v>45621</v>
      </c>
      <c r="D562">
        <v>97798.71</v>
      </c>
      <c r="E562" t="s">
        <v>15</v>
      </c>
      <c r="F562" t="s">
        <v>23</v>
      </c>
      <c r="G562" t="s">
        <v>24</v>
      </c>
      <c r="H562">
        <v>29</v>
      </c>
    </row>
    <row r="563" spans="1:8" x14ac:dyDescent="0.3">
      <c r="A563" t="s">
        <v>1088</v>
      </c>
      <c r="B563" t="s">
        <v>1089</v>
      </c>
      <c r="C563" s="4">
        <v>45533</v>
      </c>
      <c r="D563">
        <v>260461.68</v>
      </c>
      <c r="E563" t="s">
        <v>10</v>
      </c>
      <c r="F563" t="s">
        <v>34</v>
      </c>
      <c r="G563" t="s">
        <v>24</v>
      </c>
      <c r="H563">
        <v>31</v>
      </c>
    </row>
    <row r="564" spans="1:8" x14ac:dyDescent="0.3">
      <c r="A564" t="s">
        <v>1090</v>
      </c>
      <c r="B564" t="s">
        <v>1091</v>
      </c>
      <c r="C564" s="4">
        <v>45494</v>
      </c>
      <c r="D564">
        <v>250870.05</v>
      </c>
      <c r="E564" t="s">
        <v>15</v>
      </c>
      <c r="F564" t="s">
        <v>16</v>
      </c>
      <c r="G564" t="s">
        <v>12</v>
      </c>
      <c r="H564">
        <v>2</v>
      </c>
    </row>
    <row r="565" spans="1:8" x14ac:dyDescent="0.3">
      <c r="A565" t="s">
        <v>1092</v>
      </c>
      <c r="B565" t="s">
        <v>1093</v>
      </c>
      <c r="C565" s="4">
        <v>45653</v>
      </c>
      <c r="D565">
        <v>15195.21</v>
      </c>
      <c r="E565" t="s">
        <v>19</v>
      </c>
      <c r="F565" t="s">
        <v>23</v>
      </c>
      <c r="G565" t="s">
        <v>24</v>
      </c>
      <c r="H565">
        <v>54</v>
      </c>
    </row>
    <row r="566" spans="1:8" x14ac:dyDescent="0.3">
      <c r="A566" t="s">
        <v>1094</v>
      </c>
      <c r="B566" t="s">
        <v>1095</v>
      </c>
      <c r="C566" s="4">
        <v>44940</v>
      </c>
      <c r="D566">
        <v>100676.14</v>
      </c>
      <c r="E566" t="s">
        <v>19</v>
      </c>
      <c r="F566" t="s">
        <v>11</v>
      </c>
      <c r="G566" t="s">
        <v>12</v>
      </c>
      <c r="H566">
        <v>23</v>
      </c>
    </row>
    <row r="567" spans="1:8" x14ac:dyDescent="0.3">
      <c r="A567" t="s">
        <v>1096</v>
      </c>
      <c r="B567" t="s">
        <v>1097</v>
      </c>
      <c r="C567" s="4">
        <v>45408</v>
      </c>
      <c r="D567">
        <v>62949.09</v>
      </c>
      <c r="E567" t="s">
        <v>19</v>
      </c>
      <c r="F567" t="s">
        <v>11</v>
      </c>
      <c r="G567" t="s">
        <v>24</v>
      </c>
      <c r="H567">
        <v>45</v>
      </c>
    </row>
    <row r="568" spans="1:8" x14ac:dyDescent="0.3">
      <c r="A568" t="s">
        <v>1098</v>
      </c>
      <c r="B568" t="s">
        <v>1099</v>
      </c>
      <c r="C568" s="4">
        <v>44872</v>
      </c>
      <c r="D568">
        <v>310115.18</v>
      </c>
      <c r="E568" t="s">
        <v>19</v>
      </c>
      <c r="F568" t="s">
        <v>11</v>
      </c>
      <c r="G568" t="s">
        <v>12</v>
      </c>
      <c r="H568">
        <v>19</v>
      </c>
    </row>
    <row r="569" spans="1:8" x14ac:dyDescent="0.3">
      <c r="A569" t="s">
        <v>1100</v>
      </c>
      <c r="B569" t="s">
        <v>194</v>
      </c>
      <c r="C569" s="4">
        <v>45278</v>
      </c>
      <c r="D569">
        <v>360929.83</v>
      </c>
      <c r="E569" t="s">
        <v>15</v>
      </c>
      <c r="F569" t="s">
        <v>23</v>
      </c>
      <c r="G569" t="s">
        <v>24</v>
      </c>
      <c r="H569">
        <v>12</v>
      </c>
    </row>
    <row r="570" spans="1:8" x14ac:dyDescent="0.3">
      <c r="A570" t="s">
        <v>1101</v>
      </c>
      <c r="B570" t="s">
        <v>1102</v>
      </c>
      <c r="C570" s="4">
        <v>44670</v>
      </c>
      <c r="D570">
        <v>441160.03</v>
      </c>
      <c r="E570" t="s">
        <v>15</v>
      </c>
      <c r="F570" t="s">
        <v>23</v>
      </c>
      <c r="G570" t="s">
        <v>24</v>
      </c>
      <c r="H570">
        <v>5</v>
      </c>
    </row>
    <row r="571" spans="1:8" x14ac:dyDescent="0.3">
      <c r="A571" t="s">
        <v>1103</v>
      </c>
      <c r="B571" t="s">
        <v>1104</v>
      </c>
      <c r="C571" s="4">
        <v>44751</v>
      </c>
      <c r="D571">
        <v>232780.06</v>
      </c>
      <c r="E571" t="s">
        <v>10</v>
      </c>
      <c r="F571" t="s">
        <v>20</v>
      </c>
      <c r="G571" t="s">
        <v>12</v>
      </c>
      <c r="H571">
        <v>41</v>
      </c>
    </row>
    <row r="572" spans="1:8" x14ac:dyDescent="0.3">
      <c r="A572" t="s">
        <v>1105</v>
      </c>
      <c r="B572" t="s">
        <v>732</v>
      </c>
      <c r="C572" s="4">
        <v>45509</v>
      </c>
      <c r="D572">
        <v>409378.04</v>
      </c>
      <c r="E572" t="s">
        <v>19</v>
      </c>
      <c r="F572" t="s">
        <v>11</v>
      </c>
      <c r="G572" t="s">
        <v>24</v>
      </c>
      <c r="H572">
        <v>2</v>
      </c>
    </row>
    <row r="573" spans="1:8" x14ac:dyDescent="0.3">
      <c r="A573" t="s">
        <v>1106</v>
      </c>
      <c r="B573" t="s">
        <v>437</v>
      </c>
      <c r="C573" s="4">
        <v>45283</v>
      </c>
      <c r="D573">
        <v>450128.24</v>
      </c>
      <c r="E573" t="s">
        <v>10</v>
      </c>
      <c r="F573" t="s">
        <v>11</v>
      </c>
      <c r="G573" t="s">
        <v>12</v>
      </c>
      <c r="H573">
        <v>6</v>
      </c>
    </row>
    <row r="574" spans="1:8" x14ac:dyDescent="0.3">
      <c r="A574" t="s">
        <v>1107</v>
      </c>
      <c r="B574" t="s">
        <v>1108</v>
      </c>
      <c r="C574" s="4">
        <v>44955</v>
      </c>
      <c r="D574">
        <v>475405.98</v>
      </c>
      <c r="E574" t="s">
        <v>15</v>
      </c>
      <c r="F574" t="s">
        <v>11</v>
      </c>
      <c r="G574" t="s">
        <v>12</v>
      </c>
      <c r="H574">
        <v>13</v>
      </c>
    </row>
    <row r="575" spans="1:8" x14ac:dyDescent="0.3">
      <c r="A575" t="s">
        <v>1109</v>
      </c>
      <c r="B575" t="s">
        <v>245</v>
      </c>
      <c r="C575" s="4">
        <v>44747</v>
      </c>
      <c r="D575">
        <v>384696.16</v>
      </c>
      <c r="E575" t="s">
        <v>19</v>
      </c>
      <c r="F575" t="s">
        <v>23</v>
      </c>
      <c r="G575" t="s">
        <v>12</v>
      </c>
      <c r="H575">
        <v>45</v>
      </c>
    </row>
    <row r="576" spans="1:8" x14ac:dyDescent="0.3">
      <c r="A576" t="s">
        <v>1110</v>
      </c>
      <c r="B576" t="s">
        <v>1111</v>
      </c>
      <c r="C576" s="4">
        <v>45064</v>
      </c>
      <c r="D576">
        <v>126199.29</v>
      </c>
      <c r="E576" t="s">
        <v>19</v>
      </c>
      <c r="F576" t="s">
        <v>23</v>
      </c>
      <c r="G576" t="s">
        <v>24</v>
      </c>
      <c r="H576">
        <v>49</v>
      </c>
    </row>
    <row r="577" spans="1:8" x14ac:dyDescent="0.3">
      <c r="A577" t="s">
        <v>1112</v>
      </c>
      <c r="B577" t="s">
        <v>806</v>
      </c>
      <c r="C577" s="4">
        <v>45320</v>
      </c>
      <c r="D577">
        <v>338160.11</v>
      </c>
      <c r="E577" t="s">
        <v>15</v>
      </c>
      <c r="F577" t="s">
        <v>34</v>
      </c>
      <c r="G577" t="s">
        <v>24</v>
      </c>
      <c r="H577">
        <v>21</v>
      </c>
    </row>
    <row r="578" spans="1:8" x14ac:dyDescent="0.3">
      <c r="A578" t="s">
        <v>1113</v>
      </c>
      <c r="B578" t="s">
        <v>1114</v>
      </c>
      <c r="C578" s="4">
        <v>44522</v>
      </c>
      <c r="D578">
        <v>198352.72</v>
      </c>
      <c r="E578" t="s">
        <v>15</v>
      </c>
      <c r="F578" t="s">
        <v>34</v>
      </c>
      <c r="G578" t="s">
        <v>12</v>
      </c>
      <c r="H578">
        <v>5</v>
      </c>
    </row>
    <row r="579" spans="1:8" x14ac:dyDescent="0.3">
      <c r="A579" t="s">
        <v>1115</v>
      </c>
      <c r="B579" t="s">
        <v>1116</v>
      </c>
      <c r="C579" s="4">
        <v>45050</v>
      </c>
      <c r="D579">
        <v>192458.68</v>
      </c>
      <c r="E579" t="s">
        <v>15</v>
      </c>
      <c r="F579" t="s">
        <v>34</v>
      </c>
      <c r="G579" t="s">
        <v>24</v>
      </c>
      <c r="H579">
        <v>23</v>
      </c>
    </row>
    <row r="580" spans="1:8" x14ac:dyDescent="0.3">
      <c r="A580" t="s">
        <v>1117</v>
      </c>
      <c r="B580" t="s">
        <v>1118</v>
      </c>
      <c r="C580" s="4">
        <v>45026</v>
      </c>
      <c r="D580">
        <v>36813.82</v>
      </c>
      <c r="E580" t="s">
        <v>15</v>
      </c>
      <c r="F580" t="s">
        <v>11</v>
      </c>
      <c r="G580" t="s">
        <v>24</v>
      </c>
      <c r="H580">
        <v>57</v>
      </c>
    </row>
    <row r="581" spans="1:8" x14ac:dyDescent="0.3">
      <c r="A581" t="s">
        <v>1119</v>
      </c>
      <c r="B581" t="s">
        <v>1120</v>
      </c>
      <c r="C581" s="4">
        <v>45510</v>
      </c>
      <c r="D581">
        <v>193145.06</v>
      </c>
      <c r="E581" t="s">
        <v>19</v>
      </c>
      <c r="F581" t="s">
        <v>11</v>
      </c>
      <c r="G581" t="s">
        <v>12</v>
      </c>
      <c r="H581">
        <v>54</v>
      </c>
    </row>
    <row r="582" spans="1:8" x14ac:dyDescent="0.3">
      <c r="A582" t="s">
        <v>1121</v>
      </c>
      <c r="B582" t="s">
        <v>1122</v>
      </c>
      <c r="C582" s="4">
        <v>44967</v>
      </c>
      <c r="D582">
        <v>39003.769999999997</v>
      </c>
      <c r="E582" t="s">
        <v>10</v>
      </c>
      <c r="F582" t="s">
        <v>34</v>
      </c>
      <c r="G582" t="s">
        <v>12</v>
      </c>
      <c r="H582">
        <v>9</v>
      </c>
    </row>
    <row r="583" spans="1:8" x14ac:dyDescent="0.3">
      <c r="A583" t="s">
        <v>1123</v>
      </c>
      <c r="B583" t="s">
        <v>1124</v>
      </c>
      <c r="C583" s="4">
        <v>45703</v>
      </c>
      <c r="D583">
        <v>313416.19</v>
      </c>
      <c r="E583" t="s">
        <v>15</v>
      </c>
      <c r="F583" t="s">
        <v>11</v>
      </c>
      <c r="G583" t="s">
        <v>24</v>
      </c>
      <c r="H583">
        <v>19</v>
      </c>
    </row>
    <row r="584" spans="1:8" x14ac:dyDescent="0.3">
      <c r="A584" t="s">
        <v>1125</v>
      </c>
      <c r="B584" t="s">
        <v>1126</v>
      </c>
      <c r="C584" s="4">
        <v>44691</v>
      </c>
      <c r="D584">
        <v>404407.15</v>
      </c>
      <c r="E584" t="s">
        <v>15</v>
      </c>
      <c r="F584" t="s">
        <v>11</v>
      </c>
      <c r="G584" t="s">
        <v>24</v>
      </c>
      <c r="H584">
        <v>4</v>
      </c>
    </row>
    <row r="585" spans="1:8" x14ac:dyDescent="0.3">
      <c r="A585" t="s">
        <v>1127</v>
      </c>
      <c r="B585" t="s">
        <v>525</v>
      </c>
      <c r="C585" s="4">
        <v>45680</v>
      </c>
      <c r="D585">
        <v>372763.44</v>
      </c>
      <c r="E585" t="s">
        <v>10</v>
      </c>
      <c r="F585" t="s">
        <v>20</v>
      </c>
      <c r="G585" t="s">
        <v>12</v>
      </c>
      <c r="H585">
        <v>47</v>
      </c>
    </row>
    <row r="586" spans="1:8" x14ac:dyDescent="0.3">
      <c r="A586" t="s">
        <v>1128</v>
      </c>
      <c r="B586" t="s">
        <v>1129</v>
      </c>
      <c r="C586" s="4">
        <v>45314</v>
      </c>
      <c r="D586">
        <v>123261.36</v>
      </c>
      <c r="E586" t="s">
        <v>19</v>
      </c>
      <c r="F586" t="s">
        <v>23</v>
      </c>
      <c r="G586" t="s">
        <v>24</v>
      </c>
      <c r="H586">
        <v>55</v>
      </c>
    </row>
    <row r="587" spans="1:8" x14ac:dyDescent="0.3">
      <c r="A587" t="s">
        <v>1130</v>
      </c>
      <c r="B587" t="s">
        <v>1131</v>
      </c>
      <c r="C587" s="4">
        <v>45538</v>
      </c>
      <c r="D587">
        <v>444705.3</v>
      </c>
      <c r="E587" t="s">
        <v>10</v>
      </c>
      <c r="F587" t="s">
        <v>23</v>
      </c>
      <c r="G587" t="s">
        <v>12</v>
      </c>
      <c r="H587">
        <v>11</v>
      </c>
    </row>
    <row r="588" spans="1:8" x14ac:dyDescent="0.3">
      <c r="A588" t="s">
        <v>1132</v>
      </c>
      <c r="B588" t="s">
        <v>1133</v>
      </c>
      <c r="C588" s="4">
        <v>45067</v>
      </c>
      <c r="D588">
        <v>401119.97</v>
      </c>
      <c r="E588" t="s">
        <v>19</v>
      </c>
      <c r="F588" t="s">
        <v>11</v>
      </c>
      <c r="G588" t="s">
        <v>12</v>
      </c>
      <c r="H588">
        <v>37</v>
      </c>
    </row>
    <row r="589" spans="1:8" x14ac:dyDescent="0.3">
      <c r="A589" t="s">
        <v>1134</v>
      </c>
      <c r="B589" t="s">
        <v>1005</v>
      </c>
      <c r="C589" s="4">
        <v>44582</v>
      </c>
      <c r="D589">
        <v>111099.58</v>
      </c>
      <c r="E589" t="s">
        <v>15</v>
      </c>
      <c r="F589" t="s">
        <v>34</v>
      </c>
      <c r="G589" t="s">
        <v>12</v>
      </c>
      <c r="H589">
        <v>52</v>
      </c>
    </row>
    <row r="590" spans="1:8" x14ac:dyDescent="0.3">
      <c r="A590" t="s">
        <v>1135</v>
      </c>
      <c r="B590" t="s">
        <v>1136</v>
      </c>
      <c r="C590" s="4">
        <v>45180</v>
      </c>
      <c r="D590">
        <v>238275.65</v>
      </c>
      <c r="E590" t="s">
        <v>19</v>
      </c>
      <c r="F590" t="s">
        <v>34</v>
      </c>
      <c r="G590" t="s">
        <v>12</v>
      </c>
      <c r="H590">
        <v>8</v>
      </c>
    </row>
    <row r="591" spans="1:8" x14ac:dyDescent="0.3">
      <c r="A591" t="s">
        <v>1137</v>
      </c>
      <c r="B591" t="s">
        <v>1138</v>
      </c>
      <c r="C591" s="4">
        <v>45080</v>
      </c>
      <c r="D591">
        <v>348858.46</v>
      </c>
      <c r="E591" t="s">
        <v>10</v>
      </c>
      <c r="F591" t="s">
        <v>11</v>
      </c>
      <c r="G591" t="s">
        <v>12</v>
      </c>
      <c r="H591">
        <v>58</v>
      </c>
    </row>
    <row r="592" spans="1:8" x14ac:dyDescent="0.3">
      <c r="A592" t="s">
        <v>1139</v>
      </c>
      <c r="B592" t="s">
        <v>1140</v>
      </c>
      <c r="C592" s="4">
        <v>45057</v>
      </c>
      <c r="D592">
        <v>181932.73</v>
      </c>
      <c r="E592" t="s">
        <v>15</v>
      </c>
      <c r="F592" t="s">
        <v>16</v>
      </c>
      <c r="G592" t="s">
        <v>12</v>
      </c>
      <c r="H592">
        <v>35</v>
      </c>
    </row>
    <row r="593" spans="1:8" x14ac:dyDescent="0.3">
      <c r="A593" t="s">
        <v>1141</v>
      </c>
      <c r="B593" t="s">
        <v>1142</v>
      </c>
      <c r="C593" s="4">
        <v>45365</v>
      </c>
      <c r="D593">
        <v>352511.39</v>
      </c>
      <c r="E593" t="s">
        <v>10</v>
      </c>
      <c r="F593" t="s">
        <v>11</v>
      </c>
      <c r="G593" t="s">
        <v>12</v>
      </c>
      <c r="H593">
        <v>29</v>
      </c>
    </row>
    <row r="594" spans="1:8" x14ac:dyDescent="0.3">
      <c r="A594" t="s">
        <v>1143</v>
      </c>
      <c r="B594" t="s">
        <v>574</v>
      </c>
      <c r="C594" s="4">
        <v>45388</v>
      </c>
      <c r="D594">
        <v>495942.35</v>
      </c>
      <c r="E594" t="s">
        <v>19</v>
      </c>
      <c r="F594" t="s">
        <v>11</v>
      </c>
      <c r="G594" t="s">
        <v>24</v>
      </c>
      <c r="H594">
        <v>37</v>
      </c>
    </row>
    <row r="595" spans="1:8" x14ac:dyDescent="0.3">
      <c r="A595" t="s">
        <v>1144</v>
      </c>
      <c r="B595" t="s">
        <v>1145</v>
      </c>
      <c r="C595" s="4">
        <v>45471</v>
      </c>
      <c r="D595">
        <v>431774.34</v>
      </c>
      <c r="E595" t="s">
        <v>15</v>
      </c>
      <c r="F595" t="s">
        <v>23</v>
      </c>
      <c r="G595" t="s">
        <v>24</v>
      </c>
      <c r="H595">
        <v>11</v>
      </c>
    </row>
    <row r="596" spans="1:8" x14ac:dyDescent="0.3">
      <c r="A596" t="s">
        <v>1146</v>
      </c>
      <c r="B596" t="s">
        <v>1147</v>
      </c>
      <c r="C596" s="4">
        <v>45207</v>
      </c>
      <c r="D596">
        <v>388944.5</v>
      </c>
      <c r="E596" t="s">
        <v>15</v>
      </c>
      <c r="F596" t="s">
        <v>16</v>
      </c>
      <c r="G596" t="s">
        <v>24</v>
      </c>
      <c r="H596">
        <v>30</v>
      </c>
    </row>
    <row r="597" spans="1:8" x14ac:dyDescent="0.3">
      <c r="A597" t="s">
        <v>1148</v>
      </c>
      <c r="B597" t="s">
        <v>1149</v>
      </c>
      <c r="C597" s="4">
        <v>44178</v>
      </c>
      <c r="D597">
        <v>198077.76</v>
      </c>
      <c r="E597" t="s">
        <v>15</v>
      </c>
      <c r="F597" t="s">
        <v>23</v>
      </c>
      <c r="G597" t="s">
        <v>24</v>
      </c>
      <c r="H597">
        <v>48</v>
      </c>
    </row>
    <row r="598" spans="1:8" x14ac:dyDescent="0.3">
      <c r="A598" t="s">
        <v>1150</v>
      </c>
      <c r="B598" t="s">
        <v>1151</v>
      </c>
      <c r="C598" s="4">
        <v>45675</v>
      </c>
      <c r="D598">
        <v>259848.99</v>
      </c>
      <c r="E598" t="s">
        <v>15</v>
      </c>
      <c r="F598" t="s">
        <v>23</v>
      </c>
      <c r="G598" t="s">
        <v>12</v>
      </c>
      <c r="H598">
        <v>34</v>
      </c>
    </row>
    <row r="599" spans="1:8" x14ac:dyDescent="0.3">
      <c r="A599" t="s">
        <v>1152</v>
      </c>
      <c r="B599" t="s">
        <v>1153</v>
      </c>
      <c r="C599" s="4">
        <v>44769</v>
      </c>
      <c r="D599">
        <v>121182.15</v>
      </c>
      <c r="E599" t="s">
        <v>19</v>
      </c>
      <c r="F599" t="s">
        <v>23</v>
      </c>
      <c r="G599" t="s">
        <v>24</v>
      </c>
      <c r="H599">
        <v>31</v>
      </c>
    </row>
    <row r="600" spans="1:8" x14ac:dyDescent="0.3">
      <c r="A600" t="s">
        <v>1154</v>
      </c>
      <c r="B600" t="s">
        <v>1155</v>
      </c>
      <c r="C600" s="4">
        <v>44938</v>
      </c>
      <c r="D600">
        <v>436990.75</v>
      </c>
      <c r="E600" t="s">
        <v>15</v>
      </c>
      <c r="F600" t="s">
        <v>34</v>
      </c>
      <c r="G600" t="s">
        <v>12</v>
      </c>
      <c r="H600">
        <v>10</v>
      </c>
    </row>
    <row r="601" spans="1:8" x14ac:dyDescent="0.3">
      <c r="A601" t="s">
        <v>1156</v>
      </c>
      <c r="B601" t="s">
        <v>1157</v>
      </c>
      <c r="C601" s="4">
        <v>45204</v>
      </c>
      <c r="D601">
        <v>405906.8</v>
      </c>
      <c r="E601" t="s">
        <v>15</v>
      </c>
      <c r="F601" t="s">
        <v>23</v>
      </c>
      <c r="G601" t="s">
        <v>12</v>
      </c>
      <c r="H601">
        <v>59</v>
      </c>
    </row>
    <row r="602" spans="1:8" x14ac:dyDescent="0.3">
      <c r="A602" t="s">
        <v>1158</v>
      </c>
      <c r="B602" t="s">
        <v>693</v>
      </c>
      <c r="C602" s="4">
        <v>45549</v>
      </c>
      <c r="D602">
        <v>462208.67</v>
      </c>
      <c r="E602" t="s">
        <v>19</v>
      </c>
      <c r="F602" t="s">
        <v>11</v>
      </c>
      <c r="G602" t="s">
        <v>24</v>
      </c>
      <c r="H602">
        <v>3</v>
      </c>
    </row>
    <row r="603" spans="1:8" x14ac:dyDescent="0.3">
      <c r="A603" t="s">
        <v>1159</v>
      </c>
      <c r="B603" t="s">
        <v>1160</v>
      </c>
      <c r="C603" s="4">
        <v>45066</v>
      </c>
      <c r="D603">
        <v>170320.27</v>
      </c>
      <c r="E603" t="s">
        <v>10</v>
      </c>
      <c r="F603" t="s">
        <v>16</v>
      </c>
      <c r="G603" t="s">
        <v>24</v>
      </c>
      <c r="H603">
        <v>50</v>
      </c>
    </row>
    <row r="604" spans="1:8" x14ac:dyDescent="0.3">
      <c r="A604" t="s">
        <v>1161</v>
      </c>
      <c r="B604" t="s">
        <v>1162</v>
      </c>
      <c r="C604" s="4">
        <v>45383</v>
      </c>
      <c r="D604">
        <v>392599.76</v>
      </c>
      <c r="E604" t="s">
        <v>19</v>
      </c>
      <c r="F604" t="s">
        <v>20</v>
      </c>
      <c r="G604" t="s">
        <v>24</v>
      </c>
      <c r="H604">
        <v>29</v>
      </c>
    </row>
    <row r="605" spans="1:8" x14ac:dyDescent="0.3">
      <c r="A605" t="s">
        <v>1163</v>
      </c>
      <c r="B605" t="s">
        <v>948</v>
      </c>
      <c r="C605" s="4">
        <v>45687</v>
      </c>
      <c r="D605">
        <v>401446.41</v>
      </c>
      <c r="E605" t="s">
        <v>19</v>
      </c>
      <c r="F605" t="s">
        <v>20</v>
      </c>
      <c r="G605" t="s">
        <v>12</v>
      </c>
      <c r="H605">
        <v>29</v>
      </c>
    </row>
    <row r="606" spans="1:8" x14ac:dyDescent="0.3">
      <c r="A606" t="s">
        <v>1164</v>
      </c>
      <c r="B606" t="s">
        <v>1165</v>
      </c>
      <c r="C606" s="4">
        <v>45095</v>
      </c>
      <c r="D606">
        <v>105864.36</v>
      </c>
      <c r="E606" t="s">
        <v>19</v>
      </c>
      <c r="F606" t="s">
        <v>11</v>
      </c>
      <c r="G606" t="s">
        <v>24</v>
      </c>
      <c r="H606">
        <v>39</v>
      </c>
    </row>
    <row r="607" spans="1:8" x14ac:dyDescent="0.3">
      <c r="A607" t="s">
        <v>1166</v>
      </c>
      <c r="B607" t="s">
        <v>1167</v>
      </c>
      <c r="C607" s="4">
        <v>45252</v>
      </c>
      <c r="D607">
        <v>214399.2</v>
      </c>
      <c r="E607" t="s">
        <v>19</v>
      </c>
      <c r="F607" t="s">
        <v>20</v>
      </c>
      <c r="G607" t="s">
        <v>12</v>
      </c>
      <c r="H607">
        <v>40</v>
      </c>
    </row>
    <row r="608" spans="1:8" x14ac:dyDescent="0.3">
      <c r="A608" t="s">
        <v>1168</v>
      </c>
      <c r="B608" t="s">
        <v>1169</v>
      </c>
      <c r="C608" s="4">
        <v>45316</v>
      </c>
      <c r="D608">
        <v>231364.2</v>
      </c>
      <c r="E608" t="s">
        <v>15</v>
      </c>
      <c r="F608" t="s">
        <v>34</v>
      </c>
      <c r="G608" t="s">
        <v>24</v>
      </c>
      <c r="H608">
        <v>27</v>
      </c>
    </row>
    <row r="609" spans="1:8" x14ac:dyDescent="0.3">
      <c r="A609" t="s">
        <v>1170</v>
      </c>
      <c r="B609" t="s">
        <v>1171</v>
      </c>
      <c r="C609" s="4">
        <v>45416</v>
      </c>
      <c r="D609">
        <v>43954.91</v>
      </c>
      <c r="E609" t="s">
        <v>19</v>
      </c>
      <c r="F609" t="s">
        <v>23</v>
      </c>
      <c r="G609" t="s">
        <v>12</v>
      </c>
      <c r="H609">
        <v>41</v>
      </c>
    </row>
    <row r="610" spans="1:8" x14ac:dyDescent="0.3">
      <c r="A610" t="s">
        <v>1172</v>
      </c>
      <c r="B610" t="s">
        <v>1173</v>
      </c>
      <c r="C610" s="4">
        <v>44475</v>
      </c>
      <c r="D610">
        <v>226307.39</v>
      </c>
      <c r="E610" t="s">
        <v>19</v>
      </c>
      <c r="F610" t="s">
        <v>11</v>
      </c>
      <c r="G610" t="s">
        <v>24</v>
      </c>
      <c r="H610">
        <v>35</v>
      </c>
    </row>
    <row r="611" spans="1:8" x14ac:dyDescent="0.3">
      <c r="A611" t="s">
        <v>1174</v>
      </c>
      <c r="B611" t="s">
        <v>1175</v>
      </c>
      <c r="C611" s="4">
        <v>44652</v>
      </c>
      <c r="D611">
        <v>294584.23</v>
      </c>
      <c r="E611" t="s">
        <v>15</v>
      </c>
      <c r="F611" t="s">
        <v>23</v>
      </c>
      <c r="G611" t="s">
        <v>24</v>
      </c>
      <c r="H611">
        <v>40</v>
      </c>
    </row>
    <row r="612" spans="1:8" x14ac:dyDescent="0.3">
      <c r="A612" t="s">
        <v>1176</v>
      </c>
      <c r="B612" t="s">
        <v>1177</v>
      </c>
      <c r="C612" s="4">
        <v>44281</v>
      </c>
      <c r="D612">
        <v>317523.13</v>
      </c>
      <c r="E612" t="s">
        <v>19</v>
      </c>
      <c r="F612" t="s">
        <v>23</v>
      </c>
      <c r="G612" t="s">
        <v>24</v>
      </c>
      <c r="H612">
        <v>41</v>
      </c>
    </row>
    <row r="613" spans="1:8" x14ac:dyDescent="0.3">
      <c r="A613" t="s">
        <v>1178</v>
      </c>
      <c r="B613" t="s">
        <v>1179</v>
      </c>
      <c r="C613" s="4">
        <v>45420</v>
      </c>
      <c r="D613">
        <v>466912.42</v>
      </c>
      <c r="E613" t="s">
        <v>15</v>
      </c>
      <c r="F613" t="s">
        <v>23</v>
      </c>
      <c r="G613" t="s">
        <v>12</v>
      </c>
      <c r="H613">
        <v>9</v>
      </c>
    </row>
    <row r="614" spans="1:8" x14ac:dyDescent="0.3">
      <c r="A614" t="s">
        <v>1180</v>
      </c>
      <c r="B614" t="s">
        <v>738</v>
      </c>
      <c r="C614" s="4">
        <v>44776</v>
      </c>
      <c r="D614">
        <v>100298.08</v>
      </c>
      <c r="E614" t="s">
        <v>10</v>
      </c>
      <c r="F614" t="s">
        <v>34</v>
      </c>
      <c r="G614" t="s">
        <v>12</v>
      </c>
      <c r="H614">
        <v>39</v>
      </c>
    </row>
    <row r="615" spans="1:8" x14ac:dyDescent="0.3">
      <c r="A615" t="s">
        <v>1181</v>
      </c>
      <c r="B615" t="s">
        <v>660</v>
      </c>
      <c r="C615" s="4">
        <v>44638</v>
      </c>
      <c r="D615">
        <v>95172.6</v>
      </c>
      <c r="E615" t="s">
        <v>19</v>
      </c>
      <c r="F615" t="s">
        <v>34</v>
      </c>
      <c r="G615" t="s">
        <v>24</v>
      </c>
      <c r="H615">
        <v>41</v>
      </c>
    </row>
    <row r="616" spans="1:8" x14ac:dyDescent="0.3">
      <c r="A616" t="s">
        <v>1182</v>
      </c>
      <c r="B616" t="s">
        <v>1183</v>
      </c>
      <c r="C616" s="4">
        <v>45408</v>
      </c>
      <c r="D616">
        <v>75085.679999999993</v>
      </c>
      <c r="E616" t="s">
        <v>10</v>
      </c>
      <c r="F616" t="s">
        <v>34</v>
      </c>
      <c r="G616" t="s">
        <v>24</v>
      </c>
      <c r="H616">
        <v>16</v>
      </c>
    </row>
    <row r="617" spans="1:8" x14ac:dyDescent="0.3">
      <c r="A617" t="s">
        <v>1184</v>
      </c>
      <c r="B617" t="s">
        <v>1185</v>
      </c>
      <c r="C617" s="4">
        <v>45328</v>
      </c>
      <c r="D617">
        <v>295605.88</v>
      </c>
      <c r="E617" t="s">
        <v>15</v>
      </c>
      <c r="F617" t="s">
        <v>11</v>
      </c>
      <c r="G617" t="s">
        <v>24</v>
      </c>
      <c r="H617">
        <v>53</v>
      </c>
    </row>
    <row r="618" spans="1:8" x14ac:dyDescent="0.3">
      <c r="A618" t="s">
        <v>1186</v>
      </c>
      <c r="B618" t="s">
        <v>1187</v>
      </c>
      <c r="C618" s="4">
        <v>45327</v>
      </c>
      <c r="D618">
        <v>392667.58</v>
      </c>
      <c r="E618" t="s">
        <v>15</v>
      </c>
      <c r="F618" t="s">
        <v>20</v>
      </c>
      <c r="G618" t="s">
        <v>12</v>
      </c>
      <c r="H618">
        <v>54</v>
      </c>
    </row>
    <row r="619" spans="1:8" x14ac:dyDescent="0.3">
      <c r="A619" t="s">
        <v>1188</v>
      </c>
      <c r="B619" t="s">
        <v>1189</v>
      </c>
      <c r="C619" s="4">
        <v>45356</v>
      </c>
      <c r="D619">
        <v>484154.11</v>
      </c>
      <c r="E619" t="s">
        <v>10</v>
      </c>
      <c r="F619" t="s">
        <v>16</v>
      </c>
      <c r="G619" t="s">
        <v>12</v>
      </c>
      <c r="H619">
        <v>57</v>
      </c>
    </row>
    <row r="620" spans="1:8" x14ac:dyDescent="0.3">
      <c r="A620" t="s">
        <v>1190</v>
      </c>
      <c r="B620" t="s">
        <v>1191</v>
      </c>
      <c r="C620" s="4">
        <v>45315</v>
      </c>
      <c r="D620">
        <v>297579.31</v>
      </c>
      <c r="E620" t="s">
        <v>10</v>
      </c>
      <c r="F620" t="s">
        <v>11</v>
      </c>
      <c r="G620" t="s">
        <v>12</v>
      </c>
      <c r="H620">
        <v>23</v>
      </c>
    </row>
    <row r="621" spans="1:8" x14ac:dyDescent="0.3">
      <c r="A621" t="s">
        <v>1192</v>
      </c>
      <c r="B621" t="s">
        <v>1193</v>
      </c>
      <c r="C621" s="4">
        <v>45525</v>
      </c>
      <c r="D621">
        <v>18945.71</v>
      </c>
      <c r="E621" t="s">
        <v>19</v>
      </c>
      <c r="F621" t="s">
        <v>34</v>
      </c>
      <c r="G621" t="s">
        <v>24</v>
      </c>
      <c r="H621">
        <v>29</v>
      </c>
    </row>
    <row r="622" spans="1:8" x14ac:dyDescent="0.3">
      <c r="A622" t="s">
        <v>1194</v>
      </c>
      <c r="B622" t="s">
        <v>1195</v>
      </c>
      <c r="C622" s="4">
        <v>45269</v>
      </c>
      <c r="D622">
        <v>297545.99</v>
      </c>
      <c r="E622" t="s">
        <v>19</v>
      </c>
      <c r="F622" t="s">
        <v>34</v>
      </c>
      <c r="G622" t="s">
        <v>12</v>
      </c>
      <c r="H622">
        <v>56</v>
      </c>
    </row>
    <row r="623" spans="1:8" x14ac:dyDescent="0.3">
      <c r="A623" t="s">
        <v>1196</v>
      </c>
      <c r="B623" t="s">
        <v>1197</v>
      </c>
      <c r="C623" s="4">
        <v>44664</v>
      </c>
      <c r="D623">
        <v>159646.66</v>
      </c>
      <c r="E623" t="s">
        <v>10</v>
      </c>
      <c r="F623" t="s">
        <v>20</v>
      </c>
      <c r="G623" t="s">
        <v>24</v>
      </c>
      <c r="H623">
        <v>13</v>
      </c>
    </row>
    <row r="624" spans="1:8" x14ac:dyDescent="0.3">
      <c r="A624" t="s">
        <v>1198</v>
      </c>
      <c r="B624" t="s">
        <v>1199</v>
      </c>
      <c r="C624" s="4">
        <v>45143</v>
      </c>
      <c r="D624">
        <v>107215.57</v>
      </c>
      <c r="E624" t="s">
        <v>15</v>
      </c>
      <c r="F624" t="s">
        <v>34</v>
      </c>
      <c r="G624" t="s">
        <v>24</v>
      </c>
      <c r="H624">
        <v>38</v>
      </c>
    </row>
    <row r="625" spans="1:8" x14ac:dyDescent="0.3">
      <c r="A625" t="s">
        <v>1200</v>
      </c>
      <c r="B625" t="s">
        <v>1201</v>
      </c>
      <c r="C625" s="4">
        <v>45489</v>
      </c>
      <c r="D625">
        <v>109793.3</v>
      </c>
      <c r="E625" t="s">
        <v>15</v>
      </c>
      <c r="F625" t="s">
        <v>11</v>
      </c>
      <c r="G625" t="s">
        <v>12</v>
      </c>
      <c r="H625">
        <v>25</v>
      </c>
    </row>
    <row r="626" spans="1:8" x14ac:dyDescent="0.3">
      <c r="A626" t="s">
        <v>1202</v>
      </c>
      <c r="B626" t="s">
        <v>1203</v>
      </c>
      <c r="C626" s="4">
        <v>45468</v>
      </c>
      <c r="D626">
        <v>386387.63</v>
      </c>
      <c r="E626" t="s">
        <v>10</v>
      </c>
      <c r="F626" t="s">
        <v>16</v>
      </c>
      <c r="G626" t="s">
        <v>12</v>
      </c>
      <c r="H626">
        <v>51</v>
      </c>
    </row>
    <row r="627" spans="1:8" x14ac:dyDescent="0.3">
      <c r="A627" t="s">
        <v>1204</v>
      </c>
      <c r="B627" t="s">
        <v>1205</v>
      </c>
      <c r="C627" s="4">
        <v>45529</v>
      </c>
      <c r="D627">
        <v>270465</v>
      </c>
      <c r="E627" t="s">
        <v>15</v>
      </c>
      <c r="F627" t="s">
        <v>34</v>
      </c>
      <c r="G627" t="s">
        <v>12</v>
      </c>
      <c r="H627">
        <v>56</v>
      </c>
    </row>
    <row r="628" spans="1:8" x14ac:dyDescent="0.3">
      <c r="A628" t="s">
        <v>1206</v>
      </c>
      <c r="B628" t="s">
        <v>1207</v>
      </c>
      <c r="C628" s="4">
        <v>45658</v>
      </c>
      <c r="D628">
        <v>498748.22</v>
      </c>
      <c r="E628" t="s">
        <v>19</v>
      </c>
      <c r="F628" t="s">
        <v>16</v>
      </c>
      <c r="G628" t="s">
        <v>12</v>
      </c>
      <c r="H628">
        <v>50</v>
      </c>
    </row>
    <row r="629" spans="1:8" x14ac:dyDescent="0.3">
      <c r="A629" t="s">
        <v>1208</v>
      </c>
      <c r="B629" t="s">
        <v>1209</v>
      </c>
      <c r="C629" s="4">
        <v>45060</v>
      </c>
      <c r="D629">
        <v>167934.13</v>
      </c>
      <c r="E629" t="s">
        <v>10</v>
      </c>
      <c r="F629" t="s">
        <v>11</v>
      </c>
      <c r="G629" t="s">
        <v>24</v>
      </c>
      <c r="H629">
        <v>32</v>
      </c>
    </row>
    <row r="630" spans="1:8" x14ac:dyDescent="0.3">
      <c r="A630" t="s">
        <v>1210</v>
      </c>
      <c r="B630" t="s">
        <v>1211</v>
      </c>
      <c r="C630" s="4">
        <v>44874</v>
      </c>
      <c r="D630">
        <v>44116.87</v>
      </c>
      <c r="E630" t="s">
        <v>15</v>
      </c>
      <c r="F630" t="s">
        <v>34</v>
      </c>
      <c r="G630" t="s">
        <v>12</v>
      </c>
      <c r="H630">
        <v>48</v>
      </c>
    </row>
    <row r="631" spans="1:8" x14ac:dyDescent="0.3">
      <c r="A631" t="s">
        <v>1212</v>
      </c>
      <c r="B631" t="s">
        <v>1213</v>
      </c>
      <c r="C631" s="4">
        <v>45020</v>
      </c>
      <c r="D631">
        <v>451820.07</v>
      </c>
      <c r="E631" t="s">
        <v>10</v>
      </c>
      <c r="F631" t="s">
        <v>11</v>
      </c>
      <c r="G631" t="s">
        <v>24</v>
      </c>
      <c r="H631">
        <v>52</v>
      </c>
    </row>
    <row r="632" spans="1:8" x14ac:dyDescent="0.3">
      <c r="A632" t="s">
        <v>1214</v>
      </c>
      <c r="B632" t="s">
        <v>1215</v>
      </c>
      <c r="C632" s="4">
        <v>44713</v>
      </c>
      <c r="D632">
        <v>277690.40000000002</v>
      </c>
      <c r="E632" t="s">
        <v>10</v>
      </c>
      <c r="F632" t="s">
        <v>11</v>
      </c>
      <c r="G632" t="s">
        <v>12</v>
      </c>
      <c r="H632">
        <v>19</v>
      </c>
    </row>
    <row r="633" spans="1:8" x14ac:dyDescent="0.3">
      <c r="A633" t="s">
        <v>1216</v>
      </c>
      <c r="B633" t="s">
        <v>1217</v>
      </c>
      <c r="C633" s="4">
        <v>44520</v>
      </c>
      <c r="D633">
        <v>273066.11</v>
      </c>
      <c r="E633" t="s">
        <v>10</v>
      </c>
      <c r="F633" t="s">
        <v>20</v>
      </c>
      <c r="G633" t="s">
        <v>24</v>
      </c>
      <c r="H633">
        <v>20</v>
      </c>
    </row>
    <row r="634" spans="1:8" x14ac:dyDescent="0.3">
      <c r="A634" t="s">
        <v>1218</v>
      </c>
      <c r="B634" t="s">
        <v>1219</v>
      </c>
      <c r="C634" s="4">
        <v>44685</v>
      </c>
      <c r="D634">
        <v>260048.9</v>
      </c>
      <c r="E634" t="s">
        <v>15</v>
      </c>
      <c r="F634" t="s">
        <v>20</v>
      </c>
      <c r="G634" t="s">
        <v>24</v>
      </c>
      <c r="H634">
        <v>35</v>
      </c>
    </row>
    <row r="635" spans="1:8" x14ac:dyDescent="0.3">
      <c r="A635" t="s">
        <v>1220</v>
      </c>
      <c r="B635" t="s">
        <v>1221</v>
      </c>
      <c r="C635" s="4">
        <v>45056</v>
      </c>
      <c r="D635">
        <v>220719.21</v>
      </c>
      <c r="E635" t="s">
        <v>15</v>
      </c>
      <c r="F635" t="s">
        <v>23</v>
      </c>
      <c r="G635" t="s">
        <v>24</v>
      </c>
      <c r="H635">
        <v>15</v>
      </c>
    </row>
    <row r="636" spans="1:8" x14ac:dyDescent="0.3">
      <c r="A636" t="s">
        <v>1222</v>
      </c>
      <c r="B636" t="s">
        <v>1223</v>
      </c>
      <c r="C636" s="4">
        <v>45246</v>
      </c>
      <c r="D636">
        <v>278234.56</v>
      </c>
      <c r="E636" t="s">
        <v>15</v>
      </c>
      <c r="F636" t="s">
        <v>34</v>
      </c>
      <c r="G636" t="s">
        <v>12</v>
      </c>
      <c r="H636">
        <v>26</v>
      </c>
    </row>
    <row r="637" spans="1:8" x14ac:dyDescent="0.3">
      <c r="A637" t="s">
        <v>1224</v>
      </c>
      <c r="B637" t="s">
        <v>1225</v>
      </c>
      <c r="C637" s="4">
        <v>45223</v>
      </c>
      <c r="D637">
        <v>465176.73</v>
      </c>
      <c r="E637" t="s">
        <v>15</v>
      </c>
      <c r="F637" t="s">
        <v>23</v>
      </c>
      <c r="G637" t="s">
        <v>24</v>
      </c>
      <c r="H637">
        <v>14</v>
      </c>
    </row>
    <row r="638" spans="1:8" x14ac:dyDescent="0.3">
      <c r="A638" t="s">
        <v>1226</v>
      </c>
      <c r="B638" t="s">
        <v>1227</v>
      </c>
      <c r="C638" s="4">
        <v>45502</v>
      </c>
      <c r="D638">
        <v>203537.55</v>
      </c>
      <c r="E638" t="s">
        <v>19</v>
      </c>
      <c r="F638" t="s">
        <v>34</v>
      </c>
      <c r="G638" t="s">
        <v>12</v>
      </c>
      <c r="H638">
        <v>22</v>
      </c>
    </row>
    <row r="639" spans="1:8" x14ac:dyDescent="0.3">
      <c r="A639" t="s">
        <v>1228</v>
      </c>
      <c r="B639" t="s">
        <v>1229</v>
      </c>
      <c r="C639" s="4">
        <v>44819</v>
      </c>
      <c r="D639">
        <v>458726.37</v>
      </c>
      <c r="E639" t="s">
        <v>15</v>
      </c>
      <c r="F639" t="s">
        <v>20</v>
      </c>
      <c r="G639" t="s">
        <v>12</v>
      </c>
      <c r="H639">
        <v>20</v>
      </c>
    </row>
    <row r="640" spans="1:8" x14ac:dyDescent="0.3">
      <c r="A640" t="s">
        <v>1230</v>
      </c>
      <c r="B640" t="s">
        <v>1231</v>
      </c>
      <c r="C640" s="4">
        <v>44969</v>
      </c>
      <c r="D640">
        <v>165337.81</v>
      </c>
      <c r="E640" t="s">
        <v>10</v>
      </c>
      <c r="F640" t="s">
        <v>20</v>
      </c>
      <c r="G640" t="s">
        <v>12</v>
      </c>
      <c r="H640">
        <v>28</v>
      </c>
    </row>
    <row r="641" spans="1:8" x14ac:dyDescent="0.3">
      <c r="A641" t="s">
        <v>1232</v>
      </c>
      <c r="B641" t="s">
        <v>1233</v>
      </c>
      <c r="C641" s="4">
        <v>44981</v>
      </c>
      <c r="D641">
        <v>139371.9</v>
      </c>
      <c r="E641" t="s">
        <v>19</v>
      </c>
      <c r="F641" t="s">
        <v>20</v>
      </c>
      <c r="G641" t="s">
        <v>12</v>
      </c>
      <c r="H641">
        <v>16</v>
      </c>
    </row>
    <row r="642" spans="1:8" x14ac:dyDescent="0.3">
      <c r="A642" t="s">
        <v>1234</v>
      </c>
      <c r="B642" t="s">
        <v>1042</v>
      </c>
      <c r="C642" s="4">
        <v>44521</v>
      </c>
      <c r="D642">
        <v>246388.75</v>
      </c>
      <c r="E642" t="s">
        <v>15</v>
      </c>
      <c r="F642" t="s">
        <v>20</v>
      </c>
      <c r="G642" t="s">
        <v>24</v>
      </c>
      <c r="H642">
        <v>53</v>
      </c>
    </row>
    <row r="643" spans="1:8" x14ac:dyDescent="0.3">
      <c r="A643" t="s">
        <v>1235</v>
      </c>
      <c r="B643" t="s">
        <v>1236</v>
      </c>
      <c r="C643" s="4">
        <v>44551</v>
      </c>
      <c r="D643">
        <v>434997.73</v>
      </c>
      <c r="E643" t="s">
        <v>19</v>
      </c>
      <c r="F643" t="s">
        <v>23</v>
      </c>
      <c r="G643" t="s">
        <v>24</v>
      </c>
      <c r="H643">
        <v>2</v>
      </c>
    </row>
    <row r="644" spans="1:8" x14ac:dyDescent="0.3">
      <c r="A644" t="s">
        <v>1237</v>
      </c>
      <c r="B644" t="s">
        <v>1238</v>
      </c>
      <c r="C644" s="4">
        <v>45032</v>
      </c>
      <c r="D644">
        <v>321776.40000000002</v>
      </c>
      <c r="E644" t="s">
        <v>15</v>
      </c>
      <c r="F644" t="s">
        <v>20</v>
      </c>
      <c r="G644" t="s">
        <v>24</v>
      </c>
      <c r="H644">
        <v>42</v>
      </c>
    </row>
    <row r="645" spans="1:8" x14ac:dyDescent="0.3">
      <c r="A645" t="s">
        <v>1239</v>
      </c>
      <c r="B645" t="s">
        <v>1240</v>
      </c>
      <c r="C645" s="4">
        <v>44827</v>
      </c>
      <c r="D645">
        <v>72444.95</v>
      </c>
      <c r="E645" t="s">
        <v>15</v>
      </c>
      <c r="F645" t="s">
        <v>16</v>
      </c>
      <c r="G645" t="s">
        <v>12</v>
      </c>
      <c r="H645">
        <v>2</v>
      </c>
    </row>
    <row r="646" spans="1:8" x14ac:dyDescent="0.3">
      <c r="A646" t="s">
        <v>1241</v>
      </c>
      <c r="B646" t="s">
        <v>113</v>
      </c>
      <c r="C646" s="4">
        <v>45624</v>
      </c>
      <c r="D646">
        <v>86625.52</v>
      </c>
      <c r="E646" t="s">
        <v>10</v>
      </c>
      <c r="F646" t="s">
        <v>23</v>
      </c>
      <c r="G646" t="s">
        <v>12</v>
      </c>
      <c r="H646">
        <v>23</v>
      </c>
    </row>
    <row r="647" spans="1:8" x14ac:dyDescent="0.3">
      <c r="A647" t="s">
        <v>1242</v>
      </c>
      <c r="B647" t="s">
        <v>1243</v>
      </c>
      <c r="C647" s="4">
        <v>45425</v>
      </c>
      <c r="D647">
        <v>268157.78000000003</v>
      </c>
      <c r="E647" t="s">
        <v>19</v>
      </c>
      <c r="F647" t="s">
        <v>20</v>
      </c>
      <c r="G647" t="s">
        <v>24</v>
      </c>
      <c r="H647">
        <v>54</v>
      </c>
    </row>
    <row r="648" spans="1:8" x14ac:dyDescent="0.3">
      <c r="A648" t="s">
        <v>1244</v>
      </c>
      <c r="B648" t="s">
        <v>1245</v>
      </c>
      <c r="C648" s="4">
        <v>44837</v>
      </c>
      <c r="D648">
        <v>265189.88</v>
      </c>
      <c r="E648" t="s">
        <v>15</v>
      </c>
      <c r="F648" t="s">
        <v>20</v>
      </c>
      <c r="G648" t="s">
        <v>24</v>
      </c>
      <c r="H648">
        <v>10</v>
      </c>
    </row>
    <row r="649" spans="1:8" x14ac:dyDescent="0.3">
      <c r="A649" t="s">
        <v>1246</v>
      </c>
      <c r="B649" t="s">
        <v>1247</v>
      </c>
      <c r="C649" s="4">
        <v>44983</v>
      </c>
      <c r="D649">
        <v>184914.62</v>
      </c>
      <c r="E649" t="s">
        <v>10</v>
      </c>
      <c r="F649" t="s">
        <v>16</v>
      </c>
      <c r="G649" t="s">
        <v>24</v>
      </c>
      <c r="H649">
        <v>54</v>
      </c>
    </row>
    <row r="650" spans="1:8" x14ac:dyDescent="0.3">
      <c r="A650" t="s">
        <v>1248</v>
      </c>
      <c r="B650" t="s">
        <v>1249</v>
      </c>
      <c r="C650" s="4">
        <v>45138</v>
      </c>
      <c r="D650">
        <v>49825.79</v>
      </c>
      <c r="E650" t="s">
        <v>15</v>
      </c>
      <c r="F650" t="s">
        <v>11</v>
      </c>
      <c r="G650" t="s">
        <v>24</v>
      </c>
      <c r="H650">
        <v>20</v>
      </c>
    </row>
    <row r="651" spans="1:8" x14ac:dyDescent="0.3">
      <c r="A651" t="s">
        <v>1250</v>
      </c>
      <c r="B651" t="s">
        <v>1251</v>
      </c>
      <c r="C651" s="4">
        <v>44903</v>
      </c>
      <c r="D651">
        <v>462778.77</v>
      </c>
      <c r="E651" t="s">
        <v>15</v>
      </c>
      <c r="F651" t="s">
        <v>11</v>
      </c>
      <c r="G651" t="s">
        <v>12</v>
      </c>
      <c r="H651">
        <v>52</v>
      </c>
    </row>
    <row r="652" spans="1:8" x14ac:dyDescent="0.3">
      <c r="A652" t="s">
        <v>1252</v>
      </c>
      <c r="B652" t="s">
        <v>282</v>
      </c>
      <c r="C652" s="4">
        <v>44804</v>
      </c>
      <c r="D652">
        <v>264121.57</v>
      </c>
      <c r="E652" t="s">
        <v>19</v>
      </c>
      <c r="F652" t="s">
        <v>20</v>
      </c>
      <c r="G652" t="s">
        <v>24</v>
      </c>
      <c r="H652">
        <v>5</v>
      </c>
    </row>
    <row r="653" spans="1:8" x14ac:dyDescent="0.3">
      <c r="A653" t="s">
        <v>1253</v>
      </c>
      <c r="B653" t="s">
        <v>1254</v>
      </c>
      <c r="C653" s="4">
        <v>45355</v>
      </c>
      <c r="D653">
        <v>447669.65</v>
      </c>
      <c r="E653" t="s">
        <v>15</v>
      </c>
      <c r="F653" t="s">
        <v>23</v>
      </c>
      <c r="G653" t="s">
        <v>12</v>
      </c>
      <c r="H653">
        <v>57</v>
      </c>
    </row>
    <row r="654" spans="1:8" x14ac:dyDescent="0.3">
      <c r="A654" t="s">
        <v>1255</v>
      </c>
      <c r="B654" t="s">
        <v>549</v>
      </c>
      <c r="C654" s="4">
        <v>44740</v>
      </c>
      <c r="D654">
        <v>179713.16</v>
      </c>
      <c r="E654" t="s">
        <v>15</v>
      </c>
      <c r="F654" t="s">
        <v>16</v>
      </c>
      <c r="G654" t="s">
        <v>24</v>
      </c>
      <c r="H654">
        <v>49</v>
      </c>
    </row>
    <row r="655" spans="1:8" x14ac:dyDescent="0.3">
      <c r="A655" t="s">
        <v>1256</v>
      </c>
      <c r="B655" t="s">
        <v>932</v>
      </c>
      <c r="C655" s="4">
        <v>45542</v>
      </c>
      <c r="D655">
        <v>324825.77</v>
      </c>
      <c r="E655" t="s">
        <v>15</v>
      </c>
      <c r="F655" t="s">
        <v>34</v>
      </c>
      <c r="G655" t="s">
        <v>24</v>
      </c>
      <c r="H655">
        <v>52</v>
      </c>
    </row>
    <row r="656" spans="1:8" x14ac:dyDescent="0.3">
      <c r="A656" t="s">
        <v>1257</v>
      </c>
      <c r="B656" t="s">
        <v>352</v>
      </c>
      <c r="C656" s="4">
        <v>44217</v>
      </c>
      <c r="D656">
        <v>64301.9</v>
      </c>
      <c r="E656" t="s">
        <v>15</v>
      </c>
      <c r="F656" t="s">
        <v>11</v>
      </c>
      <c r="G656" t="s">
        <v>24</v>
      </c>
      <c r="H656">
        <v>49</v>
      </c>
    </row>
    <row r="657" spans="1:8" x14ac:dyDescent="0.3">
      <c r="A657" t="s">
        <v>1258</v>
      </c>
      <c r="B657" t="s">
        <v>1259</v>
      </c>
      <c r="C657" s="4">
        <v>45417</v>
      </c>
      <c r="D657">
        <v>193337.9</v>
      </c>
      <c r="E657" t="s">
        <v>15</v>
      </c>
      <c r="F657" t="s">
        <v>34</v>
      </c>
      <c r="G657" t="s">
        <v>12</v>
      </c>
      <c r="H657">
        <v>53</v>
      </c>
    </row>
    <row r="658" spans="1:8" x14ac:dyDescent="0.3">
      <c r="A658" t="s">
        <v>1260</v>
      </c>
      <c r="B658" t="s">
        <v>1116</v>
      </c>
      <c r="C658" s="4">
        <v>45232</v>
      </c>
      <c r="D658">
        <v>206109.17</v>
      </c>
      <c r="E658" t="s">
        <v>15</v>
      </c>
      <c r="F658" t="s">
        <v>11</v>
      </c>
      <c r="G658" t="s">
        <v>24</v>
      </c>
      <c r="H658">
        <v>38</v>
      </c>
    </row>
    <row r="659" spans="1:8" x14ac:dyDescent="0.3">
      <c r="A659" t="s">
        <v>1261</v>
      </c>
      <c r="B659" t="s">
        <v>1262</v>
      </c>
      <c r="C659" s="4">
        <v>44856</v>
      </c>
      <c r="D659">
        <v>287410.67</v>
      </c>
      <c r="E659" t="s">
        <v>10</v>
      </c>
      <c r="F659" t="s">
        <v>20</v>
      </c>
      <c r="G659" t="s">
        <v>24</v>
      </c>
      <c r="H659">
        <v>57</v>
      </c>
    </row>
    <row r="660" spans="1:8" x14ac:dyDescent="0.3">
      <c r="A660" t="s">
        <v>1263</v>
      </c>
      <c r="B660" t="s">
        <v>1264</v>
      </c>
      <c r="C660" s="4">
        <v>45248</v>
      </c>
      <c r="D660">
        <v>167720.25</v>
      </c>
      <c r="E660" t="s">
        <v>15</v>
      </c>
      <c r="F660" t="s">
        <v>11</v>
      </c>
      <c r="G660" t="s">
        <v>24</v>
      </c>
      <c r="H660">
        <v>21</v>
      </c>
    </row>
    <row r="661" spans="1:8" x14ac:dyDescent="0.3">
      <c r="A661" t="s">
        <v>1265</v>
      </c>
      <c r="B661" t="s">
        <v>1266</v>
      </c>
      <c r="C661" s="4">
        <v>45417</v>
      </c>
      <c r="D661">
        <v>386486.86</v>
      </c>
      <c r="E661" t="s">
        <v>15</v>
      </c>
      <c r="F661" t="s">
        <v>34</v>
      </c>
      <c r="G661" t="s">
        <v>12</v>
      </c>
      <c r="H661">
        <v>26</v>
      </c>
    </row>
    <row r="662" spans="1:8" x14ac:dyDescent="0.3">
      <c r="A662" t="s">
        <v>1267</v>
      </c>
      <c r="B662" t="s">
        <v>1268</v>
      </c>
      <c r="C662" s="4">
        <v>45645</v>
      </c>
      <c r="D662">
        <v>461748.87</v>
      </c>
      <c r="E662" t="s">
        <v>15</v>
      </c>
      <c r="F662" t="s">
        <v>34</v>
      </c>
      <c r="G662" t="s">
        <v>12</v>
      </c>
      <c r="H662">
        <v>13</v>
      </c>
    </row>
    <row r="663" spans="1:8" x14ac:dyDescent="0.3">
      <c r="A663" t="s">
        <v>1269</v>
      </c>
      <c r="B663" t="s">
        <v>1270</v>
      </c>
      <c r="C663" s="4">
        <v>45544</v>
      </c>
      <c r="D663">
        <v>127506.05</v>
      </c>
      <c r="E663" t="s">
        <v>10</v>
      </c>
      <c r="F663" t="s">
        <v>23</v>
      </c>
      <c r="G663" t="s">
        <v>12</v>
      </c>
      <c r="H663">
        <v>8</v>
      </c>
    </row>
    <row r="664" spans="1:8" x14ac:dyDescent="0.3">
      <c r="A664" t="s">
        <v>1271</v>
      </c>
      <c r="B664" t="s">
        <v>1272</v>
      </c>
      <c r="C664" s="4">
        <v>44939</v>
      </c>
      <c r="D664">
        <v>104690.04</v>
      </c>
      <c r="E664" t="s">
        <v>19</v>
      </c>
      <c r="F664" t="s">
        <v>34</v>
      </c>
      <c r="G664" t="s">
        <v>12</v>
      </c>
      <c r="H664">
        <v>3</v>
      </c>
    </row>
    <row r="665" spans="1:8" x14ac:dyDescent="0.3">
      <c r="A665" t="s">
        <v>1273</v>
      </c>
      <c r="B665" t="s">
        <v>528</v>
      </c>
      <c r="C665" s="4">
        <v>44591</v>
      </c>
      <c r="D665">
        <v>90820.2</v>
      </c>
      <c r="E665" t="s">
        <v>19</v>
      </c>
      <c r="F665" t="s">
        <v>34</v>
      </c>
      <c r="G665" t="s">
        <v>24</v>
      </c>
      <c r="H665">
        <v>36</v>
      </c>
    </row>
    <row r="666" spans="1:8" x14ac:dyDescent="0.3">
      <c r="A666" t="s">
        <v>1274</v>
      </c>
      <c r="B666" t="s">
        <v>82</v>
      </c>
      <c r="C666" s="4">
        <v>45520</v>
      </c>
      <c r="D666">
        <v>100467.14</v>
      </c>
      <c r="E666" t="s">
        <v>15</v>
      </c>
      <c r="F666" t="s">
        <v>11</v>
      </c>
      <c r="G666" t="s">
        <v>24</v>
      </c>
      <c r="H666">
        <v>37</v>
      </c>
    </row>
    <row r="667" spans="1:8" x14ac:dyDescent="0.3">
      <c r="A667" t="s">
        <v>1275</v>
      </c>
      <c r="B667" t="s">
        <v>1276</v>
      </c>
      <c r="C667" s="4">
        <v>45054</v>
      </c>
      <c r="D667">
        <v>372766.05</v>
      </c>
      <c r="E667" t="s">
        <v>10</v>
      </c>
      <c r="F667" t="s">
        <v>23</v>
      </c>
      <c r="G667" t="s">
        <v>12</v>
      </c>
      <c r="H667">
        <v>8</v>
      </c>
    </row>
    <row r="668" spans="1:8" x14ac:dyDescent="0.3">
      <c r="A668" t="s">
        <v>1277</v>
      </c>
      <c r="B668" t="s">
        <v>1278</v>
      </c>
      <c r="C668" s="4">
        <v>45042</v>
      </c>
      <c r="D668">
        <v>335982.3</v>
      </c>
      <c r="E668" t="s">
        <v>10</v>
      </c>
      <c r="F668" t="s">
        <v>11</v>
      </c>
      <c r="G668" t="s">
        <v>24</v>
      </c>
      <c r="H668">
        <v>30</v>
      </c>
    </row>
    <row r="669" spans="1:8" x14ac:dyDescent="0.3">
      <c r="A669" t="s">
        <v>1279</v>
      </c>
      <c r="B669" t="s">
        <v>1213</v>
      </c>
      <c r="C669" s="4">
        <v>44892</v>
      </c>
      <c r="D669">
        <v>329502.63</v>
      </c>
      <c r="E669" t="s">
        <v>10</v>
      </c>
      <c r="F669" t="s">
        <v>20</v>
      </c>
      <c r="G669" t="s">
        <v>12</v>
      </c>
      <c r="H669">
        <v>33</v>
      </c>
    </row>
    <row r="670" spans="1:8" x14ac:dyDescent="0.3">
      <c r="A670" t="s">
        <v>1280</v>
      </c>
      <c r="B670" t="s">
        <v>1281</v>
      </c>
      <c r="C670" s="4">
        <v>45276</v>
      </c>
      <c r="D670">
        <v>125164.73</v>
      </c>
      <c r="E670" t="s">
        <v>19</v>
      </c>
      <c r="F670" t="s">
        <v>20</v>
      </c>
      <c r="G670" t="s">
        <v>12</v>
      </c>
      <c r="H670">
        <v>31</v>
      </c>
    </row>
    <row r="671" spans="1:8" x14ac:dyDescent="0.3">
      <c r="A671" t="s">
        <v>1282</v>
      </c>
      <c r="B671" t="s">
        <v>906</v>
      </c>
      <c r="C671" s="4">
        <v>45179</v>
      </c>
      <c r="D671">
        <v>70927.25</v>
      </c>
      <c r="E671" t="s">
        <v>10</v>
      </c>
      <c r="F671" t="s">
        <v>16</v>
      </c>
      <c r="G671" t="s">
        <v>24</v>
      </c>
      <c r="H671">
        <v>39</v>
      </c>
    </row>
    <row r="672" spans="1:8" x14ac:dyDescent="0.3">
      <c r="A672" t="s">
        <v>1283</v>
      </c>
      <c r="B672" t="s">
        <v>1284</v>
      </c>
      <c r="C672" s="4">
        <v>45146</v>
      </c>
      <c r="D672">
        <v>69499.59</v>
      </c>
      <c r="E672" t="s">
        <v>10</v>
      </c>
      <c r="F672" t="s">
        <v>16</v>
      </c>
      <c r="G672" t="s">
        <v>12</v>
      </c>
      <c r="H672">
        <v>19</v>
      </c>
    </row>
    <row r="673" spans="1:8" x14ac:dyDescent="0.3">
      <c r="A673" t="s">
        <v>1285</v>
      </c>
      <c r="B673" t="s">
        <v>31</v>
      </c>
      <c r="C673" s="4">
        <v>45101</v>
      </c>
      <c r="D673">
        <v>271541.07</v>
      </c>
      <c r="E673" t="s">
        <v>10</v>
      </c>
      <c r="F673" t="s">
        <v>20</v>
      </c>
      <c r="G673" t="s">
        <v>12</v>
      </c>
      <c r="H673">
        <v>50</v>
      </c>
    </row>
    <row r="674" spans="1:8" x14ac:dyDescent="0.3">
      <c r="A674" t="s">
        <v>1286</v>
      </c>
      <c r="B674" t="s">
        <v>1287</v>
      </c>
      <c r="C674" s="4">
        <v>45383</v>
      </c>
      <c r="D674">
        <v>418662.56</v>
      </c>
      <c r="E674" t="s">
        <v>15</v>
      </c>
      <c r="F674" t="s">
        <v>20</v>
      </c>
      <c r="G674" t="s">
        <v>24</v>
      </c>
      <c r="H674">
        <v>33</v>
      </c>
    </row>
    <row r="675" spans="1:8" x14ac:dyDescent="0.3">
      <c r="A675" t="s">
        <v>1288</v>
      </c>
      <c r="B675" t="s">
        <v>1289</v>
      </c>
      <c r="C675" s="4">
        <v>45393</v>
      </c>
      <c r="D675">
        <v>235717.87</v>
      </c>
      <c r="E675" t="s">
        <v>15</v>
      </c>
      <c r="F675" t="s">
        <v>23</v>
      </c>
      <c r="G675" t="s">
        <v>24</v>
      </c>
      <c r="H675">
        <v>26</v>
      </c>
    </row>
    <row r="676" spans="1:8" x14ac:dyDescent="0.3">
      <c r="A676" t="s">
        <v>1290</v>
      </c>
      <c r="B676" t="s">
        <v>1291</v>
      </c>
      <c r="C676" s="4">
        <v>45402</v>
      </c>
      <c r="D676">
        <v>305888.05</v>
      </c>
      <c r="E676" t="s">
        <v>10</v>
      </c>
      <c r="F676" t="s">
        <v>34</v>
      </c>
      <c r="G676" t="s">
        <v>24</v>
      </c>
      <c r="H676">
        <v>36</v>
      </c>
    </row>
    <row r="677" spans="1:8" x14ac:dyDescent="0.3">
      <c r="A677" t="s">
        <v>1292</v>
      </c>
      <c r="B677" t="s">
        <v>1293</v>
      </c>
      <c r="C677" s="4">
        <v>44155</v>
      </c>
      <c r="D677">
        <v>418509.83</v>
      </c>
      <c r="E677" t="s">
        <v>15</v>
      </c>
      <c r="F677" t="s">
        <v>20</v>
      </c>
      <c r="G677" t="s">
        <v>24</v>
      </c>
      <c r="H677">
        <v>6</v>
      </c>
    </row>
    <row r="678" spans="1:8" x14ac:dyDescent="0.3">
      <c r="A678" t="s">
        <v>1294</v>
      </c>
      <c r="B678" t="s">
        <v>1295</v>
      </c>
      <c r="C678" s="4">
        <v>45582</v>
      </c>
      <c r="D678">
        <v>272938.82</v>
      </c>
      <c r="E678" t="s">
        <v>15</v>
      </c>
      <c r="F678" t="s">
        <v>34</v>
      </c>
      <c r="G678" t="s">
        <v>12</v>
      </c>
      <c r="H678">
        <v>42</v>
      </c>
    </row>
    <row r="679" spans="1:8" x14ac:dyDescent="0.3">
      <c r="A679" t="s">
        <v>1296</v>
      </c>
      <c r="B679" t="s">
        <v>1297</v>
      </c>
      <c r="C679" s="4">
        <v>44930</v>
      </c>
      <c r="D679">
        <v>186002.98</v>
      </c>
      <c r="E679" t="s">
        <v>10</v>
      </c>
      <c r="F679" t="s">
        <v>23</v>
      </c>
      <c r="G679" t="s">
        <v>12</v>
      </c>
      <c r="H679">
        <v>3</v>
      </c>
    </row>
    <row r="680" spans="1:8" x14ac:dyDescent="0.3">
      <c r="A680" t="s">
        <v>1298</v>
      </c>
      <c r="B680" t="s">
        <v>1299</v>
      </c>
      <c r="C680" s="4">
        <v>44638</v>
      </c>
      <c r="D680">
        <v>208190.28</v>
      </c>
      <c r="E680" t="s">
        <v>19</v>
      </c>
      <c r="F680" t="s">
        <v>20</v>
      </c>
      <c r="G680" t="s">
        <v>12</v>
      </c>
      <c r="H680">
        <v>40</v>
      </c>
    </row>
    <row r="681" spans="1:8" x14ac:dyDescent="0.3">
      <c r="A681" t="s">
        <v>1300</v>
      </c>
      <c r="B681" t="s">
        <v>1301</v>
      </c>
      <c r="C681" s="4">
        <v>45497</v>
      </c>
      <c r="D681">
        <v>280924.12</v>
      </c>
      <c r="E681" t="s">
        <v>10</v>
      </c>
      <c r="F681" t="s">
        <v>34</v>
      </c>
      <c r="G681" t="s">
        <v>24</v>
      </c>
      <c r="H681">
        <v>49</v>
      </c>
    </row>
    <row r="682" spans="1:8" x14ac:dyDescent="0.3">
      <c r="A682" t="s">
        <v>1302</v>
      </c>
      <c r="B682" t="s">
        <v>1303</v>
      </c>
      <c r="C682" s="4">
        <v>45370</v>
      </c>
      <c r="D682">
        <v>186652.35</v>
      </c>
      <c r="E682" t="s">
        <v>10</v>
      </c>
      <c r="F682" t="s">
        <v>34</v>
      </c>
      <c r="G682" t="s">
        <v>12</v>
      </c>
      <c r="H682">
        <v>42</v>
      </c>
    </row>
    <row r="683" spans="1:8" x14ac:dyDescent="0.3">
      <c r="A683" t="s">
        <v>1304</v>
      </c>
      <c r="B683" t="s">
        <v>1305</v>
      </c>
      <c r="C683" s="4">
        <v>44770</v>
      </c>
      <c r="D683">
        <v>455129.9</v>
      </c>
      <c r="E683" t="s">
        <v>19</v>
      </c>
      <c r="F683" t="s">
        <v>16</v>
      </c>
      <c r="G683" t="s">
        <v>12</v>
      </c>
      <c r="H683">
        <v>15</v>
      </c>
    </row>
    <row r="684" spans="1:8" x14ac:dyDescent="0.3">
      <c r="A684" t="s">
        <v>1306</v>
      </c>
      <c r="B684" t="s">
        <v>1307</v>
      </c>
      <c r="C684" s="4">
        <v>44996</v>
      </c>
      <c r="D684">
        <v>480528.32</v>
      </c>
      <c r="E684" t="s">
        <v>15</v>
      </c>
      <c r="F684" t="s">
        <v>23</v>
      </c>
      <c r="G684" t="s">
        <v>12</v>
      </c>
      <c r="H684">
        <v>57</v>
      </c>
    </row>
    <row r="685" spans="1:8" x14ac:dyDescent="0.3">
      <c r="A685" t="s">
        <v>1308</v>
      </c>
      <c r="B685" t="s">
        <v>1309</v>
      </c>
      <c r="C685" s="4">
        <v>44880</v>
      </c>
      <c r="D685">
        <v>383803.62</v>
      </c>
      <c r="E685" t="s">
        <v>10</v>
      </c>
      <c r="F685" t="s">
        <v>20</v>
      </c>
      <c r="G685" t="s">
        <v>24</v>
      </c>
      <c r="H685">
        <v>38</v>
      </c>
    </row>
    <row r="686" spans="1:8" x14ac:dyDescent="0.3">
      <c r="A686" t="s">
        <v>1310</v>
      </c>
      <c r="B686" t="s">
        <v>1251</v>
      </c>
      <c r="C686" s="4">
        <v>44783</v>
      </c>
      <c r="D686">
        <v>19931.48</v>
      </c>
      <c r="E686" t="s">
        <v>19</v>
      </c>
      <c r="F686" t="s">
        <v>23</v>
      </c>
      <c r="G686" t="s">
        <v>24</v>
      </c>
      <c r="H686">
        <v>13</v>
      </c>
    </row>
    <row r="687" spans="1:8" x14ac:dyDescent="0.3">
      <c r="A687" t="s">
        <v>1311</v>
      </c>
      <c r="B687" t="s">
        <v>1312</v>
      </c>
      <c r="C687" s="4">
        <v>45351</v>
      </c>
      <c r="D687">
        <v>142174.96</v>
      </c>
      <c r="E687" t="s">
        <v>15</v>
      </c>
      <c r="F687" t="s">
        <v>34</v>
      </c>
      <c r="G687" t="s">
        <v>24</v>
      </c>
      <c r="H687">
        <v>35</v>
      </c>
    </row>
    <row r="688" spans="1:8" x14ac:dyDescent="0.3">
      <c r="A688" t="s">
        <v>1313</v>
      </c>
      <c r="B688" t="s">
        <v>1314</v>
      </c>
      <c r="C688" s="4">
        <v>45297</v>
      </c>
      <c r="D688">
        <v>280838.71999999997</v>
      </c>
      <c r="E688" t="s">
        <v>19</v>
      </c>
      <c r="F688" t="s">
        <v>23</v>
      </c>
      <c r="G688" t="s">
        <v>24</v>
      </c>
      <c r="H688">
        <v>57</v>
      </c>
    </row>
    <row r="689" spans="1:8" x14ac:dyDescent="0.3">
      <c r="A689" t="s">
        <v>1315</v>
      </c>
      <c r="B689" t="s">
        <v>1316</v>
      </c>
      <c r="C689" s="4">
        <v>45514</v>
      </c>
      <c r="D689">
        <v>12541.81</v>
      </c>
      <c r="E689" t="s">
        <v>15</v>
      </c>
      <c r="F689" t="s">
        <v>34</v>
      </c>
      <c r="G689" t="s">
        <v>24</v>
      </c>
      <c r="H689">
        <v>56</v>
      </c>
    </row>
    <row r="690" spans="1:8" x14ac:dyDescent="0.3">
      <c r="A690" t="s">
        <v>1317</v>
      </c>
      <c r="B690" t="s">
        <v>1318</v>
      </c>
      <c r="C690" s="4">
        <v>45592</v>
      </c>
      <c r="D690">
        <v>411950.16</v>
      </c>
      <c r="E690" t="s">
        <v>15</v>
      </c>
      <c r="F690" t="s">
        <v>23</v>
      </c>
      <c r="G690" t="s">
        <v>12</v>
      </c>
      <c r="H690">
        <v>50</v>
      </c>
    </row>
    <row r="691" spans="1:8" x14ac:dyDescent="0.3">
      <c r="A691" t="s">
        <v>1319</v>
      </c>
      <c r="B691" t="s">
        <v>1320</v>
      </c>
      <c r="C691" s="4">
        <v>45598</v>
      </c>
      <c r="D691">
        <v>389154.49</v>
      </c>
      <c r="E691" t="s">
        <v>19</v>
      </c>
      <c r="F691" t="s">
        <v>11</v>
      </c>
      <c r="G691" t="s">
        <v>24</v>
      </c>
      <c r="H691">
        <v>58</v>
      </c>
    </row>
    <row r="692" spans="1:8" x14ac:dyDescent="0.3">
      <c r="A692" t="s">
        <v>1321</v>
      </c>
      <c r="B692" t="s">
        <v>1322</v>
      </c>
      <c r="C692" s="4">
        <v>45148</v>
      </c>
      <c r="D692">
        <v>171953.87</v>
      </c>
      <c r="E692" t="s">
        <v>19</v>
      </c>
      <c r="F692" t="s">
        <v>23</v>
      </c>
      <c r="G692" t="s">
        <v>12</v>
      </c>
      <c r="H692">
        <v>41</v>
      </c>
    </row>
    <row r="693" spans="1:8" x14ac:dyDescent="0.3">
      <c r="A693" t="s">
        <v>1323</v>
      </c>
      <c r="B693" t="s">
        <v>1324</v>
      </c>
      <c r="C693" s="4">
        <v>45229</v>
      </c>
      <c r="D693">
        <v>196452.17</v>
      </c>
      <c r="E693" t="s">
        <v>15</v>
      </c>
      <c r="F693" t="s">
        <v>34</v>
      </c>
      <c r="G693" t="s">
        <v>12</v>
      </c>
      <c r="H693">
        <v>46</v>
      </c>
    </row>
    <row r="694" spans="1:8" x14ac:dyDescent="0.3">
      <c r="A694" t="s">
        <v>1325</v>
      </c>
      <c r="B694" t="s">
        <v>1326</v>
      </c>
      <c r="C694" s="4">
        <v>44725</v>
      </c>
      <c r="D694">
        <v>168316.47</v>
      </c>
      <c r="E694" t="s">
        <v>15</v>
      </c>
      <c r="F694" t="s">
        <v>23</v>
      </c>
      <c r="G694" t="s">
        <v>12</v>
      </c>
      <c r="H694">
        <v>10</v>
      </c>
    </row>
    <row r="695" spans="1:8" x14ac:dyDescent="0.3">
      <c r="A695" t="s">
        <v>1327</v>
      </c>
      <c r="B695" t="s">
        <v>1328</v>
      </c>
      <c r="C695" s="4">
        <v>45697</v>
      </c>
      <c r="D695">
        <v>161065.57</v>
      </c>
      <c r="E695" t="s">
        <v>10</v>
      </c>
      <c r="F695" t="s">
        <v>16</v>
      </c>
      <c r="G695" t="s">
        <v>24</v>
      </c>
      <c r="H695">
        <v>38</v>
      </c>
    </row>
    <row r="696" spans="1:8" x14ac:dyDescent="0.3">
      <c r="A696" t="s">
        <v>1329</v>
      </c>
      <c r="B696" t="s">
        <v>759</v>
      </c>
      <c r="C696" s="4">
        <v>45193</v>
      </c>
      <c r="D696">
        <v>74811.33</v>
      </c>
      <c r="E696" t="s">
        <v>15</v>
      </c>
      <c r="F696" t="s">
        <v>20</v>
      </c>
      <c r="G696" t="s">
        <v>24</v>
      </c>
      <c r="H696">
        <v>26</v>
      </c>
    </row>
    <row r="697" spans="1:8" x14ac:dyDescent="0.3">
      <c r="A697" t="s">
        <v>1330</v>
      </c>
      <c r="B697" t="s">
        <v>1331</v>
      </c>
      <c r="C697" s="4">
        <v>45468</v>
      </c>
      <c r="D697">
        <v>496888.54</v>
      </c>
      <c r="E697" t="s">
        <v>15</v>
      </c>
      <c r="F697" t="s">
        <v>23</v>
      </c>
      <c r="G697" t="s">
        <v>12</v>
      </c>
      <c r="H697">
        <v>5</v>
      </c>
    </row>
    <row r="698" spans="1:8" x14ac:dyDescent="0.3">
      <c r="A698" t="s">
        <v>1332</v>
      </c>
      <c r="B698" t="s">
        <v>1333</v>
      </c>
      <c r="C698" s="4">
        <v>44357</v>
      </c>
      <c r="D698">
        <v>428682.8</v>
      </c>
      <c r="E698" t="s">
        <v>10</v>
      </c>
      <c r="F698" t="s">
        <v>16</v>
      </c>
      <c r="G698" t="s">
        <v>12</v>
      </c>
      <c r="H698">
        <v>40</v>
      </c>
    </row>
    <row r="699" spans="1:8" x14ac:dyDescent="0.3">
      <c r="A699" t="s">
        <v>1334</v>
      </c>
      <c r="B699" t="s">
        <v>135</v>
      </c>
      <c r="C699" s="4">
        <v>45468</v>
      </c>
      <c r="D699">
        <v>55085.35</v>
      </c>
      <c r="E699" t="s">
        <v>15</v>
      </c>
      <c r="F699" t="s">
        <v>11</v>
      </c>
      <c r="G699" t="s">
        <v>24</v>
      </c>
      <c r="H699">
        <v>20</v>
      </c>
    </row>
    <row r="700" spans="1:8" x14ac:dyDescent="0.3">
      <c r="A700" t="s">
        <v>1335</v>
      </c>
      <c r="B700" t="s">
        <v>1336</v>
      </c>
      <c r="C700" s="4">
        <v>45550</v>
      </c>
      <c r="D700">
        <v>354577.05</v>
      </c>
      <c r="E700" t="s">
        <v>19</v>
      </c>
      <c r="F700" t="s">
        <v>20</v>
      </c>
      <c r="G700" t="s">
        <v>24</v>
      </c>
      <c r="H700">
        <v>40</v>
      </c>
    </row>
    <row r="701" spans="1:8" x14ac:dyDescent="0.3">
      <c r="A701" t="s">
        <v>1337</v>
      </c>
      <c r="B701" t="s">
        <v>1338</v>
      </c>
      <c r="C701" s="4">
        <v>44809</v>
      </c>
      <c r="D701">
        <v>110071</v>
      </c>
      <c r="E701" t="s">
        <v>10</v>
      </c>
      <c r="F701" t="s">
        <v>16</v>
      </c>
      <c r="G701" t="s">
        <v>24</v>
      </c>
      <c r="H701">
        <v>38</v>
      </c>
    </row>
    <row r="702" spans="1:8" x14ac:dyDescent="0.3">
      <c r="A702" t="s">
        <v>1339</v>
      </c>
      <c r="B702" t="s">
        <v>1340</v>
      </c>
      <c r="C702" s="4">
        <v>45233</v>
      </c>
      <c r="D702">
        <v>185583.35</v>
      </c>
      <c r="E702" t="s">
        <v>10</v>
      </c>
      <c r="F702" t="s">
        <v>20</v>
      </c>
      <c r="G702" t="s">
        <v>12</v>
      </c>
      <c r="H702">
        <v>7</v>
      </c>
    </row>
    <row r="703" spans="1:8" x14ac:dyDescent="0.3">
      <c r="A703" t="s">
        <v>1341</v>
      </c>
      <c r="B703" t="s">
        <v>1342</v>
      </c>
      <c r="C703" s="4">
        <v>45443</v>
      </c>
      <c r="D703">
        <v>63545.32</v>
      </c>
      <c r="E703" t="s">
        <v>15</v>
      </c>
      <c r="F703" t="s">
        <v>23</v>
      </c>
      <c r="G703" t="s">
        <v>12</v>
      </c>
      <c r="H703">
        <v>15</v>
      </c>
    </row>
    <row r="704" spans="1:8" x14ac:dyDescent="0.3">
      <c r="A704" t="s">
        <v>1343</v>
      </c>
      <c r="B704" t="s">
        <v>1344</v>
      </c>
      <c r="C704" s="4">
        <v>45149</v>
      </c>
      <c r="D704">
        <v>130159.55</v>
      </c>
      <c r="E704" t="s">
        <v>19</v>
      </c>
      <c r="F704" t="s">
        <v>16</v>
      </c>
      <c r="G704" t="s">
        <v>24</v>
      </c>
      <c r="H704">
        <v>23</v>
      </c>
    </row>
    <row r="705" spans="1:8" x14ac:dyDescent="0.3">
      <c r="A705" t="s">
        <v>1345</v>
      </c>
      <c r="B705" t="s">
        <v>1346</v>
      </c>
      <c r="C705" s="4">
        <v>44420</v>
      </c>
      <c r="D705">
        <v>393426.65</v>
      </c>
      <c r="E705" t="s">
        <v>10</v>
      </c>
      <c r="F705" t="s">
        <v>16</v>
      </c>
      <c r="G705" t="s">
        <v>12</v>
      </c>
      <c r="H705">
        <v>27</v>
      </c>
    </row>
    <row r="706" spans="1:8" x14ac:dyDescent="0.3">
      <c r="A706" t="s">
        <v>1347</v>
      </c>
      <c r="B706" t="s">
        <v>1348</v>
      </c>
      <c r="C706" s="4">
        <v>45482</v>
      </c>
      <c r="D706">
        <v>436400.05</v>
      </c>
      <c r="E706" t="s">
        <v>10</v>
      </c>
      <c r="F706" t="s">
        <v>16</v>
      </c>
      <c r="G706" t="s">
        <v>24</v>
      </c>
      <c r="H706">
        <v>32</v>
      </c>
    </row>
    <row r="707" spans="1:8" x14ac:dyDescent="0.3">
      <c r="A707" t="s">
        <v>1349</v>
      </c>
      <c r="B707" t="s">
        <v>1350</v>
      </c>
      <c r="C707" s="4">
        <v>45131</v>
      </c>
      <c r="D707">
        <v>401019.4</v>
      </c>
      <c r="E707" t="s">
        <v>19</v>
      </c>
      <c r="F707" t="s">
        <v>11</v>
      </c>
      <c r="G707" t="s">
        <v>12</v>
      </c>
      <c r="H707">
        <v>58</v>
      </c>
    </row>
    <row r="708" spans="1:8" x14ac:dyDescent="0.3">
      <c r="A708" t="s">
        <v>1351</v>
      </c>
      <c r="B708" t="s">
        <v>616</v>
      </c>
      <c r="C708" s="4">
        <v>45441</v>
      </c>
      <c r="D708">
        <v>77953.06</v>
      </c>
      <c r="E708" t="s">
        <v>15</v>
      </c>
      <c r="F708" t="s">
        <v>20</v>
      </c>
      <c r="G708" t="s">
        <v>12</v>
      </c>
      <c r="H708">
        <v>44</v>
      </c>
    </row>
    <row r="709" spans="1:8" x14ac:dyDescent="0.3">
      <c r="A709" t="s">
        <v>1352</v>
      </c>
      <c r="B709" t="s">
        <v>1353</v>
      </c>
      <c r="C709" s="4">
        <v>45494</v>
      </c>
      <c r="D709">
        <v>305904.31</v>
      </c>
      <c r="E709" t="s">
        <v>15</v>
      </c>
      <c r="F709" t="s">
        <v>11</v>
      </c>
      <c r="G709" t="s">
        <v>24</v>
      </c>
      <c r="H709">
        <v>17</v>
      </c>
    </row>
    <row r="710" spans="1:8" x14ac:dyDescent="0.3">
      <c r="A710" t="s">
        <v>1354</v>
      </c>
      <c r="B710" t="s">
        <v>1355</v>
      </c>
      <c r="C710" s="4">
        <v>45177</v>
      </c>
      <c r="D710">
        <v>44898.27</v>
      </c>
      <c r="E710" t="s">
        <v>19</v>
      </c>
      <c r="F710" t="s">
        <v>23</v>
      </c>
      <c r="G710" t="s">
        <v>24</v>
      </c>
      <c r="H710">
        <v>31</v>
      </c>
    </row>
    <row r="711" spans="1:8" x14ac:dyDescent="0.3">
      <c r="A711" t="s">
        <v>1356</v>
      </c>
      <c r="B711" t="s">
        <v>1357</v>
      </c>
      <c r="C711" s="4">
        <v>44905</v>
      </c>
      <c r="D711">
        <v>366115.79</v>
      </c>
      <c r="E711" t="s">
        <v>19</v>
      </c>
      <c r="F711" t="s">
        <v>16</v>
      </c>
      <c r="G711" t="s">
        <v>24</v>
      </c>
      <c r="H711">
        <v>11</v>
      </c>
    </row>
    <row r="712" spans="1:8" x14ac:dyDescent="0.3">
      <c r="A712" t="s">
        <v>1358</v>
      </c>
      <c r="B712" t="s">
        <v>48</v>
      </c>
      <c r="C712" s="4">
        <v>45278</v>
      </c>
      <c r="D712">
        <v>132163.89000000001</v>
      </c>
      <c r="E712" t="s">
        <v>10</v>
      </c>
      <c r="F712" t="s">
        <v>23</v>
      </c>
      <c r="G712" t="s">
        <v>12</v>
      </c>
      <c r="H712">
        <v>50</v>
      </c>
    </row>
    <row r="713" spans="1:8" x14ac:dyDescent="0.3">
      <c r="A713" t="s">
        <v>1359</v>
      </c>
      <c r="B713" t="s">
        <v>1048</v>
      </c>
      <c r="C713" s="4">
        <v>45400</v>
      </c>
      <c r="D713">
        <v>469207.73</v>
      </c>
      <c r="E713" t="s">
        <v>15</v>
      </c>
      <c r="F713" t="s">
        <v>20</v>
      </c>
      <c r="G713" t="s">
        <v>12</v>
      </c>
      <c r="H713">
        <v>26</v>
      </c>
    </row>
    <row r="714" spans="1:8" x14ac:dyDescent="0.3">
      <c r="A714" t="s">
        <v>1360</v>
      </c>
      <c r="B714" t="s">
        <v>1361</v>
      </c>
      <c r="C714" s="4">
        <v>45065</v>
      </c>
      <c r="D714">
        <v>36317.19</v>
      </c>
      <c r="E714" t="s">
        <v>15</v>
      </c>
      <c r="F714" t="s">
        <v>11</v>
      </c>
      <c r="G714" t="s">
        <v>12</v>
      </c>
      <c r="H714">
        <v>4</v>
      </c>
    </row>
    <row r="715" spans="1:8" x14ac:dyDescent="0.3">
      <c r="A715" t="s">
        <v>1362</v>
      </c>
      <c r="B715" t="s">
        <v>1363</v>
      </c>
      <c r="C715" s="4">
        <v>44603</v>
      </c>
      <c r="D715">
        <v>425547.97</v>
      </c>
      <c r="E715" t="s">
        <v>19</v>
      </c>
      <c r="F715" t="s">
        <v>23</v>
      </c>
      <c r="G715" t="s">
        <v>12</v>
      </c>
      <c r="H715">
        <v>27</v>
      </c>
    </row>
    <row r="716" spans="1:8" x14ac:dyDescent="0.3">
      <c r="A716" t="s">
        <v>1364</v>
      </c>
      <c r="B716" t="s">
        <v>1365</v>
      </c>
      <c r="C716" s="4">
        <v>45437</v>
      </c>
      <c r="D716">
        <v>406589.38</v>
      </c>
      <c r="E716" t="s">
        <v>19</v>
      </c>
      <c r="F716" t="s">
        <v>20</v>
      </c>
      <c r="G716" t="s">
        <v>12</v>
      </c>
      <c r="H716">
        <v>2</v>
      </c>
    </row>
    <row r="717" spans="1:8" x14ac:dyDescent="0.3">
      <c r="A717" t="s">
        <v>1366</v>
      </c>
      <c r="B717" t="s">
        <v>1367</v>
      </c>
      <c r="C717" s="4">
        <v>45331</v>
      </c>
      <c r="D717">
        <v>440196.76</v>
      </c>
      <c r="E717" t="s">
        <v>15</v>
      </c>
      <c r="F717" t="s">
        <v>16</v>
      </c>
      <c r="G717" t="s">
        <v>24</v>
      </c>
      <c r="H717">
        <v>14</v>
      </c>
    </row>
    <row r="718" spans="1:8" x14ac:dyDescent="0.3">
      <c r="A718" t="s">
        <v>1368</v>
      </c>
      <c r="B718" t="s">
        <v>1369</v>
      </c>
      <c r="C718" s="4">
        <v>45382</v>
      </c>
      <c r="D718">
        <v>147562.70000000001</v>
      </c>
      <c r="E718" t="s">
        <v>15</v>
      </c>
      <c r="F718" t="s">
        <v>16</v>
      </c>
      <c r="G718" t="s">
        <v>24</v>
      </c>
      <c r="H718">
        <v>51</v>
      </c>
    </row>
    <row r="719" spans="1:8" x14ac:dyDescent="0.3">
      <c r="A719" t="s">
        <v>1370</v>
      </c>
      <c r="B719" t="s">
        <v>1371</v>
      </c>
      <c r="C719" s="4">
        <v>44820</v>
      </c>
      <c r="D719">
        <v>450430.04</v>
      </c>
      <c r="E719" t="s">
        <v>19</v>
      </c>
      <c r="F719" t="s">
        <v>11</v>
      </c>
      <c r="G719" t="s">
        <v>12</v>
      </c>
      <c r="H719">
        <v>58</v>
      </c>
    </row>
    <row r="720" spans="1:8" x14ac:dyDescent="0.3">
      <c r="A720" t="s">
        <v>1372</v>
      </c>
      <c r="B720" t="s">
        <v>1373</v>
      </c>
      <c r="C720" s="4">
        <v>45228</v>
      </c>
      <c r="D720">
        <v>29090.22</v>
      </c>
      <c r="E720" t="s">
        <v>19</v>
      </c>
      <c r="F720" t="s">
        <v>11</v>
      </c>
      <c r="G720" t="s">
        <v>12</v>
      </c>
      <c r="H720">
        <v>54</v>
      </c>
    </row>
    <row r="721" spans="1:8" x14ac:dyDescent="0.3">
      <c r="A721" t="s">
        <v>1374</v>
      </c>
      <c r="B721" t="s">
        <v>965</v>
      </c>
      <c r="C721" s="4">
        <v>44997</v>
      </c>
      <c r="D721">
        <v>217369.4</v>
      </c>
      <c r="E721" t="s">
        <v>19</v>
      </c>
      <c r="F721" t="s">
        <v>34</v>
      </c>
      <c r="G721" t="s">
        <v>24</v>
      </c>
      <c r="H721">
        <v>27</v>
      </c>
    </row>
    <row r="722" spans="1:8" x14ac:dyDescent="0.3">
      <c r="A722" t="s">
        <v>1375</v>
      </c>
      <c r="B722" t="s">
        <v>1376</v>
      </c>
      <c r="C722" s="4">
        <v>45300</v>
      </c>
      <c r="D722">
        <v>262048.94</v>
      </c>
      <c r="E722" t="s">
        <v>19</v>
      </c>
      <c r="F722" t="s">
        <v>23</v>
      </c>
      <c r="G722" t="s">
        <v>24</v>
      </c>
      <c r="H722">
        <v>20</v>
      </c>
    </row>
    <row r="723" spans="1:8" x14ac:dyDescent="0.3">
      <c r="A723" t="s">
        <v>1377</v>
      </c>
      <c r="B723" t="s">
        <v>1378</v>
      </c>
      <c r="C723" s="4">
        <v>45432</v>
      </c>
      <c r="D723">
        <v>348694.52</v>
      </c>
      <c r="E723" t="s">
        <v>15</v>
      </c>
      <c r="F723" t="s">
        <v>16</v>
      </c>
      <c r="G723" t="s">
        <v>12</v>
      </c>
      <c r="H723">
        <v>58</v>
      </c>
    </row>
    <row r="724" spans="1:8" x14ac:dyDescent="0.3">
      <c r="A724" t="s">
        <v>1379</v>
      </c>
      <c r="B724" t="s">
        <v>1380</v>
      </c>
      <c r="C724" s="4">
        <v>44251</v>
      </c>
      <c r="D724">
        <v>205448.64</v>
      </c>
      <c r="E724" t="s">
        <v>10</v>
      </c>
      <c r="F724" t="s">
        <v>20</v>
      </c>
      <c r="G724" t="s">
        <v>24</v>
      </c>
      <c r="H724">
        <v>48</v>
      </c>
    </row>
    <row r="725" spans="1:8" x14ac:dyDescent="0.3">
      <c r="A725" t="s">
        <v>1381</v>
      </c>
      <c r="B725" t="s">
        <v>1382</v>
      </c>
      <c r="C725" s="4">
        <v>45046</v>
      </c>
      <c r="D725">
        <v>348898.4</v>
      </c>
      <c r="E725" t="s">
        <v>15</v>
      </c>
      <c r="F725" t="s">
        <v>34</v>
      </c>
      <c r="G725" t="s">
        <v>24</v>
      </c>
      <c r="H725">
        <v>36</v>
      </c>
    </row>
    <row r="726" spans="1:8" x14ac:dyDescent="0.3">
      <c r="A726" t="s">
        <v>1383</v>
      </c>
      <c r="B726" t="s">
        <v>1384</v>
      </c>
      <c r="C726" s="4">
        <v>45555</v>
      </c>
      <c r="D726">
        <v>399628.02</v>
      </c>
      <c r="E726" t="s">
        <v>10</v>
      </c>
      <c r="F726" t="s">
        <v>34</v>
      </c>
      <c r="G726" t="s">
        <v>12</v>
      </c>
      <c r="H726">
        <v>9</v>
      </c>
    </row>
    <row r="727" spans="1:8" x14ac:dyDescent="0.3">
      <c r="A727" t="s">
        <v>1385</v>
      </c>
      <c r="B727" t="s">
        <v>1386</v>
      </c>
      <c r="C727" s="4">
        <v>45152</v>
      </c>
      <c r="D727">
        <v>494378.45</v>
      </c>
      <c r="E727" t="s">
        <v>15</v>
      </c>
      <c r="F727" t="s">
        <v>16</v>
      </c>
      <c r="G727" t="s">
        <v>12</v>
      </c>
      <c r="H727">
        <v>37</v>
      </c>
    </row>
    <row r="728" spans="1:8" x14ac:dyDescent="0.3">
      <c r="A728" t="s">
        <v>1387</v>
      </c>
      <c r="B728" t="s">
        <v>1388</v>
      </c>
      <c r="C728" s="4">
        <v>45245</v>
      </c>
      <c r="D728">
        <v>193760.12</v>
      </c>
      <c r="E728" t="s">
        <v>19</v>
      </c>
      <c r="F728" t="s">
        <v>16</v>
      </c>
      <c r="G728" t="s">
        <v>12</v>
      </c>
      <c r="H728">
        <v>41</v>
      </c>
    </row>
    <row r="729" spans="1:8" x14ac:dyDescent="0.3">
      <c r="A729" t="s">
        <v>1389</v>
      </c>
      <c r="B729" t="s">
        <v>1390</v>
      </c>
      <c r="C729" s="4">
        <v>45258</v>
      </c>
      <c r="D729">
        <v>423858.32</v>
      </c>
      <c r="E729" t="s">
        <v>15</v>
      </c>
      <c r="F729" t="s">
        <v>23</v>
      </c>
      <c r="G729" t="s">
        <v>12</v>
      </c>
      <c r="H729">
        <v>31</v>
      </c>
    </row>
    <row r="730" spans="1:8" x14ac:dyDescent="0.3">
      <c r="A730" t="s">
        <v>1391</v>
      </c>
      <c r="B730" t="s">
        <v>1392</v>
      </c>
      <c r="C730" s="4">
        <v>45202</v>
      </c>
      <c r="D730">
        <v>99421.82</v>
      </c>
      <c r="E730" t="s">
        <v>19</v>
      </c>
      <c r="F730" t="s">
        <v>11</v>
      </c>
      <c r="G730" t="s">
        <v>12</v>
      </c>
      <c r="H730">
        <v>35</v>
      </c>
    </row>
    <row r="731" spans="1:8" x14ac:dyDescent="0.3">
      <c r="A731" t="s">
        <v>1393</v>
      </c>
      <c r="B731" t="s">
        <v>1394</v>
      </c>
      <c r="C731" s="4">
        <v>45647</v>
      </c>
      <c r="D731">
        <v>110173.94</v>
      </c>
      <c r="E731" t="s">
        <v>10</v>
      </c>
      <c r="F731" t="s">
        <v>23</v>
      </c>
      <c r="G731" t="s">
        <v>24</v>
      </c>
      <c r="H731">
        <v>20</v>
      </c>
    </row>
    <row r="732" spans="1:8" x14ac:dyDescent="0.3">
      <c r="A732" t="s">
        <v>1395</v>
      </c>
      <c r="B732" t="s">
        <v>1396</v>
      </c>
      <c r="C732" s="4">
        <v>45502</v>
      </c>
      <c r="D732">
        <v>130474.61</v>
      </c>
      <c r="E732" t="s">
        <v>19</v>
      </c>
      <c r="F732" t="s">
        <v>11</v>
      </c>
      <c r="G732" t="s">
        <v>12</v>
      </c>
      <c r="H732">
        <v>13</v>
      </c>
    </row>
    <row r="733" spans="1:8" x14ac:dyDescent="0.3">
      <c r="A733" t="s">
        <v>1397</v>
      </c>
      <c r="B733" t="s">
        <v>1398</v>
      </c>
      <c r="C733" s="4">
        <v>45362</v>
      </c>
      <c r="D733">
        <v>65742.63</v>
      </c>
      <c r="E733" t="s">
        <v>15</v>
      </c>
      <c r="F733" t="s">
        <v>20</v>
      </c>
      <c r="G733" t="s">
        <v>24</v>
      </c>
      <c r="H733">
        <v>11</v>
      </c>
    </row>
    <row r="734" spans="1:8" x14ac:dyDescent="0.3">
      <c r="A734" t="s">
        <v>1399</v>
      </c>
      <c r="B734" t="s">
        <v>1400</v>
      </c>
      <c r="C734" s="4">
        <v>45473</v>
      </c>
      <c r="D734">
        <v>413832.5</v>
      </c>
      <c r="E734" t="s">
        <v>10</v>
      </c>
      <c r="F734" t="s">
        <v>34</v>
      </c>
      <c r="G734" t="s">
        <v>24</v>
      </c>
      <c r="H734">
        <v>11</v>
      </c>
    </row>
    <row r="735" spans="1:8" x14ac:dyDescent="0.3">
      <c r="A735" t="s">
        <v>1401</v>
      </c>
      <c r="B735" t="s">
        <v>1402</v>
      </c>
      <c r="C735" s="4">
        <v>45371</v>
      </c>
      <c r="D735">
        <v>153248.57</v>
      </c>
      <c r="E735" t="s">
        <v>10</v>
      </c>
      <c r="F735" t="s">
        <v>23</v>
      </c>
      <c r="G735" t="s">
        <v>12</v>
      </c>
      <c r="H735">
        <v>4</v>
      </c>
    </row>
    <row r="736" spans="1:8" x14ac:dyDescent="0.3">
      <c r="A736" t="s">
        <v>1403</v>
      </c>
      <c r="B736" t="s">
        <v>1404</v>
      </c>
      <c r="C736" s="4">
        <v>44742</v>
      </c>
      <c r="D736">
        <v>481864.13</v>
      </c>
      <c r="E736" t="s">
        <v>10</v>
      </c>
      <c r="F736" t="s">
        <v>11</v>
      </c>
      <c r="G736" t="s">
        <v>12</v>
      </c>
      <c r="H736">
        <v>7</v>
      </c>
    </row>
    <row r="737" spans="1:8" x14ac:dyDescent="0.3">
      <c r="A737" t="s">
        <v>1405</v>
      </c>
      <c r="B737" t="s">
        <v>539</v>
      </c>
      <c r="C737" s="4">
        <v>44941</v>
      </c>
      <c r="D737">
        <v>469357.59</v>
      </c>
      <c r="E737" t="s">
        <v>10</v>
      </c>
      <c r="F737" t="s">
        <v>11</v>
      </c>
      <c r="G737" t="s">
        <v>12</v>
      </c>
      <c r="H737">
        <v>37</v>
      </c>
    </row>
    <row r="738" spans="1:8" x14ac:dyDescent="0.3">
      <c r="A738" t="s">
        <v>1406</v>
      </c>
      <c r="B738" t="s">
        <v>830</v>
      </c>
      <c r="C738" s="4">
        <v>45352</v>
      </c>
      <c r="D738">
        <v>243154.64</v>
      </c>
      <c r="E738" t="s">
        <v>15</v>
      </c>
      <c r="F738" t="s">
        <v>23</v>
      </c>
      <c r="G738" t="s">
        <v>24</v>
      </c>
      <c r="H738">
        <v>23</v>
      </c>
    </row>
    <row r="739" spans="1:8" x14ac:dyDescent="0.3">
      <c r="A739" t="s">
        <v>1407</v>
      </c>
      <c r="B739" t="s">
        <v>91</v>
      </c>
      <c r="C739" s="4">
        <v>45396</v>
      </c>
      <c r="D739">
        <v>225284.11</v>
      </c>
      <c r="E739" t="s">
        <v>19</v>
      </c>
      <c r="F739" t="s">
        <v>23</v>
      </c>
      <c r="G739" t="s">
        <v>12</v>
      </c>
      <c r="H739">
        <v>48</v>
      </c>
    </row>
    <row r="740" spans="1:8" x14ac:dyDescent="0.3">
      <c r="A740" t="s">
        <v>1408</v>
      </c>
      <c r="B740" t="s">
        <v>1409</v>
      </c>
      <c r="C740" s="4">
        <v>45631</v>
      </c>
      <c r="D740">
        <v>263549.63</v>
      </c>
      <c r="E740" t="s">
        <v>10</v>
      </c>
      <c r="F740" t="s">
        <v>23</v>
      </c>
      <c r="G740" t="s">
        <v>24</v>
      </c>
      <c r="H740">
        <v>44</v>
      </c>
    </row>
    <row r="741" spans="1:8" x14ac:dyDescent="0.3">
      <c r="A741" t="s">
        <v>1410</v>
      </c>
      <c r="B741" t="s">
        <v>1411</v>
      </c>
      <c r="C741" s="4">
        <v>44653</v>
      </c>
      <c r="D741">
        <v>376559.38</v>
      </c>
      <c r="E741" t="s">
        <v>10</v>
      </c>
      <c r="F741" t="s">
        <v>16</v>
      </c>
      <c r="G741" t="s">
        <v>24</v>
      </c>
      <c r="H741">
        <v>2</v>
      </c>
    </row>
    <row r="742" spans="1:8" x14ac:dyDescent="0.3">
      <c r="A742" t="s">
        <v>1412</v>
      </c>
      <c r="B742" t="s">
        <v>1413</v>
      </c>
      <c r="C742" s="4">
        <v>45572</v>
      </c>
      <c r="D742">
        <v>390712.03</v>
      </c>
      <c r="E742" t="s">
        <v>10</v>
      </c>
      <c r="F742" t="s">
        <v>11</v>
      </c>
      <c r="G742" t="s">
        <v>12</v>
      </c>
      <c r="H742">
        <v>17</v>
      </c>
    </row>
    <row r="743" spans="1:8" x14ac:dyDescent="0.3">
      <c r="A743" t="s">
        <v>1414</v>
      </c>
      <c r="B743" t="s">
        <v>1415</v>
      </c>
      <c r="C743" s="4">
        <v>44984</v>
      </c>
      <c r="D743">
        <v>40417.61</v>
      </c>
      <c r="E743" t="s">
        <v>19</v>
      </c>
      <c r="F743" t="s">
        <v>16</v>
      </c>
      <c r="G743" t="s">
        <v>12</v>
      </c>
      <c r="H743">
        <v>42</v>
      </c>
    </row>
    <row r="744" spans="1:8" x14ac:dyDescent="0.3">
      <c r="A744" t="s">
        <v>1416</v>
      </c>
      <c r="B744" t="s">
        <v>84</v>
      </c>
      <c r="C744" s="4">
        <v>45559</v>
      </c>
      <c r="D744">
        <v>193796.58</v>
      </c>
      <c r="E744" t="s">
        <v>19</v>
      </c>
      <c r="F744" t="s">
        <v>34</v>
      </c>
      <c r="G744" t="s">
        <v>24</v>
      </c>
      <c r="H744">
        <v>31</v>
      </c>
    </row>
    <row r="745" spans="1:8" x14ac:dyDescent="0.3">
      <c r="A745" t="s">
        <v>1417</v>
      </c>
      <c r="B745" t="s">
        <v>1418</v>
      </c>
      <c r="C745" s="4">
        <v>44376</v>
      </c>
      <c r="D745">
        <v>256502.13</v>
      </c>
      <c r="E745" t="s">
        <v>15</v>
      </c>
      <c r="F745" t="s">
        <v>20</v>
      </c>
      <c r="G745" t="s">
        <v>12</v>
      </c>
      <c r="H745">
        <v>14</v>
      </c>
    </row>
    <row r="746" spans="1:8" x14ac:dyDescent="0.3">
      <c r="A746" t="s">
        <v>1419</v>
      </c>
      <c r="B746" t="s">
        <v>1420</v>
      </c>
      <c r="C746" s="4">
        <v>45402</v>
      </c>
      <c r="D746">
        <v>125624.27</v>
      </c>
      <c r="E746" t="s">
        <v>10</v>
      </c>
      <c r="F746" t="s">
        <v>20</v>
      </c>
      <c r="G746" t="s">
        <v>24</v>
      </c>
      <c r="H746">
        <v>20</v>
      </c>
    </row>
    <row r="747" spans="1:8" x14ac:dyDescent="0.3">
      <c r="A747" t="s">
        <v>1421</v>
      </c>
      <c r="B747" t="s">
        <v>1422</v>
      </c>
      <c r="C747" s="4">
        <v>45115</v>
      </c>
      <c r="D747">
        <v>486764.29</v>
      </c>
      <c r="E747" t="s">
        <v>15</v>
      </c>
      <c r="F747" t="s">
        <v>20</v>
      </c>
      <c r="G747" t="s">
        <v>24</v>
      </c>
      <c r="H747">
        <v>55</v>
      </c>
    </row>
    <row r="748" spans="1:8" x14ac:dyDescent="0.3">
      <c r="A748" t="s">
        <v>1423</v>
      </c>
      <c r="B748" t="s">
        <v>1424</v>
      </c>
      <c r="C748" s="4">
        <v>45746</v>
      </c>
      <c r="D748">
        <v>247141.28</v>
      </c>
      <c r="E748" t="s">
        <v>10</v>
      </c>
      <c r="F748" t="s">
        <v>34</v>
      </c>
      <c r="G748" t="s">
        <v>24</v>
      </c>
      <c r="H748">
        <v>4</v>
      </c>
    </row>
    <row r="749" spans="1:8" x14ac:dyDescent="0.3">
      <c r="A749" t="s">
        <v>1425</v>
      </c>
      <c r="B749" t="s">
        <v>1426</v>
      </c>
      <c r="C749" s="4">
        <v>45388</v>
      </c>
      <c r="D749">
        <v>182649.32</v>
      </c>
      <c r="E749" t="s">
        <v>15</v>
      </c>
      <c r="F749" t="s">
        <v>20</v>
      </c>
      <c r="G749" t="s">
        <v>12</v>
      </c>
      <c r="H749">
        <v>7</v>
      </c>
    </row>
    <row r="750" spans="1:8" x14ac:dyDescent="0.3">
      <c r="A750" t="s">
        <v>1427</v>
      </c>
      <c r="B750" t="s">
        <v>1428</v>
      </c>
      <c r="C750" s="4">
        <v>45582</v>
      </c>
      <c r="D750">
        <v>42853.97</v>
      </c>
      <c r="E750" t="s">
        <v>15</v>
      </c>
      <c r="F750" t="s">
        <v>20</v>
      </c>
      <c r="G750" t="s">
        <v>24</v>
      </c>
      <c r="H750">
        <v>36</v>
      </c>
    </row>
    <row r="751" spans="1:8" x14ac:dyDescent="0.3">
      <c r="A751" t="s">
        <v>1429</v>
      </c>
      <c r="B751" t="s">
        <v>1430</v>
      </c>
      <c r="C751" s="4">
        <v>45464</v>
      </c>
      <c r="D751">
        <v>12530.66</v>
      </c>
      <c r="E751" t="s">
        <v>19</v>
      </c>
      <c r="F751" t="s">
        <v>16</v>
      </c>
      <c r="G751" t="s">
        <v>12</v>
      </c>
      <c r="H751">
        <v>29</v>
      </c>
    </row>
    <row r="752" spans="1:8" x14ac:dyDescent="0.3">
      <c r="A752" t="s">
        <v>1431</v>
      </c>
      <c r="B752" t="s">
        <v>1432</v>
      </c>
      <c r="C752" s="4">
        <v>44969</v>
      </c>
      <c r="D752">
        <v>191717.07</v>
      </c>
      <c r="E752" t="s">
        <v>19</v>
      </c>
      <c r="F752" t="s">
        <v>23</v>
      </c>
      <c r="G752" t="s">
        <v>12</v>
      </c>
      <c r="H752">
        <v>59</v>
      </c>
    </row>
    <row r="753" spans="1:8" x14ac:dyDescent="0.3">
      <c r="A753" t="s">
        <v>1433</v>
      </c>
      <c r="B753" t="s">
        <v>280</v>
      </c>
      <c r="C753" s="4">
        <v>45050</v>
      </c>
      <c r="D753">
        <v>408524.45</v>
      </c>
      <c r="E753" t="s">
        <v>15</v>
      </c>
      <c r="F753" t="s">
        <v>11</v>
      </c>
      <c r="G753" t="s">
        <v>24</v>
      </c>
      <c r="H753">
        <v>13</v>
      </c>
    </row>
    <row r="754" spans="1:8" x14ac:dyDescent="0.3">
      <c r="A754" t="s">
        <v>1434</v>
      </c>
      <c r="B754" t="s">
        <v>1435</v>
      </c>
      <c r="C754" s="4">
        <v>44470</v>
      </c>
      <c r="D754">
        <v>44913.73</v>
      </c>
      <c r="E754" t="s">
        <v>19</v>
      </c>
      <c r="F754" t="s">
        <v>11</v>
      </c>
      <c r="G754" t="s">
        <v>12</v>
      </c>
      <c r="H754">
        <v>44</v>
      </c>
    </row>
    <row r="755" spans="1:8" x14ac:dyDescent="0.3">
      <c r="A755" t="s">
        <v>1436</v>
      </c>
      <c r="B755" t="s">
        <v>1437</v>
      </c>
      <c r="C755" s="4">
        <v>45389</v>
      </c>
      <c r="D755">
        <v>468760.84</v>
      </c>
      <c r="E755" t="s">
        <v>15</v>
      </c>
      <c r="F755" t="s">
        <v>16</v>
      </c>
      <c r="G755" t="s">
        <v>24</v>
      </c>
      <c r="H755">
        <v>8</v>
      </c>
    </row>
    <row r="756" spans="1:8" x14ac:dyDescent="0.3">
      <c r="A756" t="s">
        <v>1438</v>
      </c>
      <c r="B756" t="s">
        <v>1439</v>
      </c>
      <c r="C756" s="4">
        <v>45205</v>
      </c>
      <c r="D756">
        <v>150744.21</v>
      </c>
      <c r="E756" t="s">
        <v>19</v>
      </c>
      <c r="F756" t="s">
        <v>23</v>
      </c>
      <c r="G756" t="s">
        <v>12</v>
      </c>
      <c r="H756">
        <v>46</v>
      </c>
    </row>
    <row r="757" spans="1:8" x14ac:dyDescent="0.3">
      <c r="A757" t="s">
        <v>1440</v>
      </c>
      <c r="B757" t="s">
        <v>1441</v>
      </c>
      <c r="C757" s="4">
        <v>44713</v>
      </c>
      <c r="D757">
        <v>332426.77</v>
      </c>
      <c r="E757" t="s">
        <v>19</v>
      </c>
      <c r="F757" t="s">
        <v>11</v>
      </c>
      <c r="G757" t="s">
        <v>12</v>
      </c>
      <c r="H757">
        <v>5</v>
      </c>
    </row>
    <row r="758" spans="1:8" x14ac:dyDescent="0.3">
      <c r="A758" t="s">
        <v>1442</v>
      </c>
      <c r="B758" t="s">
        <v>1443</v>
      </c>
      <c r="C758" s="4">
        <v>45482</v>
      </c>
      <c r="D758">
        <v>186091.39</v>
      </c>
      <c r="E758" t="s">
        <v>10</v>
      </c>
      <c r="F758" t="s">
        <v>23</v>
      </c>
      <c r="G758" t="s">
        <v>24</v>
      </c>
      <c r="H758">
        <v>10</v>
      </c>
    </row>
    <row r="759" spans="1:8" x14ac:dyDescent="0.3">
      <c r="A759" t="s">
        <v>1444</v>
      </c>
      <c r="B759" t="s">
        <v>1445</v>
      </c>
      <c r="C759" s="4">
        <v>45210</v>
      </c>
      <c r="D759">
        <v>115817.65</v>
      </c>
      <c r="E759" t="s">
        <v>10</v>
      </c>
      <c r="F759" t="s">
        <v>23</v>
      </c>
      <c r="G759" t="s">
        <v>12</v>
      </c>
      <c r="H759">
        <v>30</v>
      </c>
    </row>
    <row r="760" spans="1:8" x14ac:dyDescent="0.3">
      <c r="A760" t="s">
        <v>1446</v>
      </c>
      <c r="B760" t="s">
        <v>959</v>
      </c>
      <c r="C760" s="4">
        <v>44675</v>
      </c>
      <c r="D760">
        <v>67033.679999999993</v>
      </c>
      <c r="E760" t="s">
        <v>19</v>
      </c>
      <c r="F760" t="s">
        <v>34</v>
      </c>
      <c r="G760" t="s">
        <v>24</v>
      </c>
      <c r="H760">
        <v>7</v>
      </c>
    </row>
    <row r="761" spans="1:8" x14ac:dyDescent="0.3">
      <c r="A761" t="s">
        <v>1447</v>
      </c>
      <c r="B761" t="s">
        <v>1448</v>
      </c>
      <c r="C761" s="4">
        <v>44665</v>
      </c>
      <c r="D761">
        <v>65821.77</v>
      </c>
      <c r="E761" t="s">
        <v>19</v>
      </c>
      <c r="F761" t="s">
        <v>11</v>
      </c>
      <c r="G761" t="s">
        <v>12</v>
      </c>
      <c r="H761">
        <v>55</v>
      </c>
    </row>
    <row r="762" spans="1:8" x14ac:dyDescent="0.3">
      <c r="A762" t="s">
        <v>1449</v>
      </c>
      <c r="B762" t="s">
        <v>804</v>
      </c>
      <c r="C762" s="4">
        <v>45002</v>
      </c>
      <c r="D762">
        <v>243083.57</v>
      </c>
      <c r="E762" t="s">
        <v>15</v>
      </c>
      <c r="F762" t="s">
        <v>20</v>
      </c>
      <c r="G762" t="s">
        <v>24</v>
      </c>
      <c r="H762">
        <v>26</v>
      </c>
    </row>
    <row r="763" spans="1:8" x14ac:dyDescent="0.3">
      <c r="A763" t="s">
        <v>1450</v>
      </c>
      <c r="B763" t="s">
        <v>1451</v>
      </c>
      <c r="C763" s="4">
        <v>45335</v>
      </c>
      <c r="D763">
        <v>309791.28000000003</v>
      </c>
      <c r="E763" t="s">
        <v>19</v>
      </c>
      <c r="F763" t="s">
        <v>23</v>
      </c>
      <c r="G763" t="s">
        <v>12</v>
      </c>
      <c r="H763">
        <v>20</v>
      </c>
    </row>
    <row r="764" spans="1:8" x14ac:dyDescent="0.3">
      <c r="A764" t="s">
        <v>1452</v>
      </c>
      <c r="B764" t="s">
        <v>1453</v>
      </c>
      <c r="C764" s="4">
        <v>45302</v>
      </c>
      <c r="D764">
        <v>176398.55</v>
      </c>
      <c r="E764" t="s">
        <v>15</v>
      </c>
      <c r="F764" t="s">
        <v>34</v>
      </c>
      <c r="G764" t="s">
        <v>12</v>
      </c>
      <c r="H764">
        <v>8</v>
      </c>
    </row>
    <row r="765" spans="1:8" x14ac:dyDescent="0.3">
      <c r="A765" t="s">
        <v>1454</v>
      </c>
      <c r="B765" t="s">
        <v>1455</v>
      </c>
      <c r="C765" s="4">
        <v>44687</v>
      </c>
      <c r="D765">
        <v>237235.5</v>
      </c>
      <c r="E765" t="s">
        <v>10</v>
      </c>
      <c r="F765" t="s">
        <v>11</v>
      </c>
      <c r="G765" t="s">
        <v>24</v>
      </c>
      <c r="H765">
        <v>10</v>
      </c>
    </row>
    <row r="766" spans="1:8" x14ac:dyDescent="0.3">
      <c r="A766" t="s">
        <v>1456</v>
      </c>
      <c r="B766" t="s">
        <v>426</v>
      </c>
      <c r="C766" s="4">
        <v>45611</v>
      </c>
      <c r="D766">
        <v>262269</v>
      </c>
      <c r="E766" t="s">
        <v>15</v>
      </c>
      <c r="F766" t="s">
        <v>34</v>
      </c>
      <c r="G766" t="s">
        <v>24</v>
      </c>
      <c r="H766">
        <v>2</v>
      </c>
    </row>
    <row r="767" spans="1:8" x14ac:dyDescent="0.3">
      <c r="A767" t="s">
        <v>1457</v>
      </c>
      <c r="B767" t="s">
        <v>1458</v>
      </c>
      <c r="C767" s="4">
        <v>45442</v>
      </c>
      <c r="D767">
        <v>194899.15</v>
      </c>
      <c r="E767" t="s">
        <v>19</v>
      </c>
      <c r="F767" t="s">
        <v>16</v>
      </c>
      <c r="G767" t="s">
        <v>24</v>
      </c>
      <c r="H767">
        <v>51</v>
      </c>
    </row>
    <row r="768" spans="1:8" x14ac:dyDescent="0.3">
      <c r="A768" t="s">
        <v>1459</v>
      </c>
      <c r="B768" t="s">
        <v>1203</v>
      </c>
      <c r="C768" s="4">
        <v>45340</v>
      </c>
      <c r="D768">
        <v>273605.21000000002</v>
      </c>
      <c r="E768" t="s">
        <v>19</v>
      </c>
      <c r="F768" t="s">
        <v>34</v>
      </c>
      <c r="G768" t="s">
        <v>12</v>
      </c>
      <c r="H768">
        <v>4</v>
      </c>
    </row>
    <row r="769" spans="1:8" x14ac:dyDescent="0.3">
      <c r="A769" t="s">
        <v>1460</v>
      </c>
      <c r="B769" t="s">
        <v>1415</v>
      </c>
      <c r="C769" s="4">
        <v>44989</v>
      </c>
      <c r="D769">
        <v>489325.03</v>
      </c>
      <c r="E769" t="s">
        <v>19</v>
      </c>
      <c r="F769" t="s">
        <v>34</v>
      </c>
      <c r="G769" t="s">
        <v>12</v>
      </c>
      <c r="H769">
        <v>10</v>
      </c>
    </row>
    <row r="770" spans="1:8" x14ac:dyDescent="0.3">
      <c r="A770" t="s">
        <v>1461</v>
      </c>
      <c r="B770" t="s">
        <v>1331</v>
      </c>
      <c r="C770" s="4">
        <v>45121</v>
      </c>
      <c r="D770">
        <v>172954.94</v>
      </c>
      <c r="E770" t="s">
        <v>10</v>
      </c>
      <c r="F770" t="s">
        <v>34</v>
      </c>
      <c r="G770" t="s">
        <v>24</v>
      </c>
      <c r="H770">
        <v>7</v>
      </c>
    </row>
    <row r="771" spans="1:8" x14ac:dyDescent="0.3">
      <c r="A771" t="s">
        <v>1462</v>
      </c>
      <c r="B771" t="s">
        <v>1463</v>
      </c>
      <c r="C771" s="4">
        <v>44717</v>
      </c>
      <c r="D771">
        <v>420256.17</v>
      </c>
      <c r="E771" t="s">
        <v>15</v>
      </c>
      <c r="F771" t="s">
        <v>11</v>
      </c>
      <c r="G771" t="s">
        <v>12</v>
      </c>
      <c r="H771">
        <v>55</v>
      </c>
    </row>
    <row r="772" spans="1:8" x14ac:dyDescent="0.3">
      <c r="A772" t="s">
        <v>1464</v>
      </c>
      <c r="B772" t="s">
        <v>22</v>
      </c>
      <c r="C772" s="4">
        <v>45727</v>
      </c>
      <c r="D772">
        <v>138446.15</v>
      </c>
      <c r="E772" t="s">
        <v>19</v>
      </c>
      <c r="F772" t="s">
        <v>16</v>
      </c>
      <c r="G772" t="s">
        <v>24</v>
      </c>
      <c r="H772">
        <v>25</v>
      </c>
    </row>
    <row r="773" spans="1:8" x14ac:dyDescent="0.3">
      <c r="A773" t="s">
        <v>1465</v>
      </c>
      <c r="B773" t="s">
        <v>1390</v>
      </c>
      <c r="C773" s="4">
        <v>45381</v>
      </c>
      <c r="D773">
        <v>169495.71</v>
      </c>
      <c r="E773" t="s">
        <v>19</v>
      </c>
      <c r="F773" t="s">
        <v>16</v>
      </c>
      <c r="G773" t="s">
        <v>12</v>
      </c>
      <c r="H773">
        <v>42</v>
      </c>
    </row>
    <row r="774" spans="1:8" x14ac:dyDescent="0.3">
      <c r="A774" t="s">
        <v>1466</v>
      </c>
      <c r="B774" t="s">
        <v>1467</v>
      </c>
      <c r="C774" s="4">
        <v>45102</v>
      </c>
      <c r="D774">
        <v>63361.79</v>
      </c>
      <c r="E774" t="s">
        <v>19</v>
      </c>
      <c r="F774" t="s">
        <v>23</v>
      </c>
      <c r="G774" t="s">
        <v>24</v>
      </c>
      <c r="H774">
        <v>4</v>
      </c>
    </row>
    <row r="775" spans="1:8" x14ac:dyDescent="0.3">
      <c r="A775" t="s">
        <v>1468</v>
      </c>
      <c r="B775" t="s">
        <v>500</v>
      </c>
      <c r="C775" s="4">
        <v>45469</v>
      </c>
      <c r="D775">
        <v>123437.93</v>
      </c>
      <c r="E775" t="s">
        <v>19</v>
      </c>
      <c r="F775" t="s">
        <v>34</v>
      </c>
      <c r="G775" t="s">
        <v>12</v>
      </c>
      <c r="H775">
        <v>12</v>
      </c>
    </row>
    <row r="776" spans="1:8" x14ac:dyDescent="0.3">
      <c r="A776" t="s">
        <v>1469</v>
      </c>
      <c r="B776" t="s">
        <v>1470</v>
      </c>
      <c r="C776" s="4">
        <v>44710</v>
      </c>
      <c r="D776">
        <v>167011.25</v>
      </c>
      <c r="E776" t="s">
        <v>15</v>
      </c>
      <c r="F776" t="s">
        <v>11</v>
      </c>
      <c r="G776" t="s">
        <v>24</v>
      </c>
      <c r="H776">
        <v>18</v>
      </c>
    </row>
    <row r="777" spans="1:8" x14ac:dyDescent="0.3">
      <c r="A777" t="s">
        <v>1471</v>
      </c>
      <c r="B777" t="s">
        <v>1472</v>
      </c>
      <c r="C777" s="4">
        <v>45308</v>
      </c>
      <c r="D777">
        <v>43538.74</v>
      </c>
      <c r="E777" t="s">
        <v>10</v>
      </c>
      <c r="F777" t="s">
        <v>23</v>
      </c>
      <c r="G777" t="s">
        <v>12</v>
      </c>
      <c r="H777">
        <v>40</v>
      </c>
    </row>
    <row r="778" spans="1:8" x14ac:dyDescent="0.3">
      <c r="A778" t="s">
        <v>1473</v>
      </c>
      <c r="B778" t="s">
        <v>1474</v>
      </c>
      <c r="C778" s="4">
        <v>45142</v>
      </c>
      <c r="D778">
        <v>381073.18</v>
      </c>
      <c r="E778" t="s">
        <v>19</v>
      </c>
      <c r="F778" t="s">
        <v>16</v>
      </c>
      <c r="G778" t="s">
        <v>24</v>
      </c>
      <c r="H778">
        <v>16</v>
      </c>
    </row>
    <row r="779" spans="1:8" x14ac:dyDescent="0.3">
      <c r="A779" t="s">
        <v>1475</v>
      </c>
      <c r="B779" t="s">
        <v>1476</v>
      </c>
      <c r="C779" s="4">
        <v>45182</v>
      </c>
      <c r="D779">
        <v>212227.11</v>
      </c>
      <c r="E779" t="s">
        <v>15</v>
      </c>
      <c r="F779" t="s">
        <v>20</v>
      </c>
      <c r="G779" t="s">
        <v>12</v>
      </c>
      <c r="H779">
        <v>26</v>
      </c>
    </row>
    <row r="780" spans="1:8" x14ac:dyDescent="0.3">
      <c r="A780" t="s">
        <v>1477</v>
      </c>
      <c r="B780" t="s">
        <v>31</v>
      </c>
      <c r="C780" s="4">
        <v>45118</v>
      </c>
      <c r="D780">
        <v>44675.87</v>
      </c>
      <c r="E780" t="s">
        <v>15</v>
      </c>
      <c r="F780" t="s">
        <v>20</v>
      </c>
      <c r="G780" t="s">
        <v>24</v>
      </c>
      <c r="H780">
        <v>6</v>
      </c>
    </row>
    <row r="781" spans="1:8" x14ac:dyDescent="0.3">
      <c r="A781" t="s">
        <v>1478</v>
      </c>
      <c r="B781" t="s">
        <v>1479</v>
      </c>
      <c r="C781" s="4">
        <v>45165</v>
      </c>
      <c r="D781">
        <v>496290.6</v>
      </c>
      <c r="E781" t="s">
        <v>10</v>
      </c>
      <c r="F781" t="s">
        <v>16</v>
      </c>
      <c r="G781" t="s">
        <v>12</v>
      </c>
      <c r="H781">
        <v>43</v>
      </c>
    </row>
    <row r="782" spans="1:8" x14ac:dyDescent="0.3">
      <c r="A782" t="s">
        <v>1480</v>
      </c>
      <c r="B782" t="s">
        <v>876</v>
      </c>
      <c r="C782" s="4">
        <v>44159</v>
      </c>
      <c r="D782">
        <v>313739.73</v>
      </c>
      <c r="E782" t="s">
        <v>15</v>
      </c>
      <c r="F782" t="s">
        <v>11</v>
      </c>
      <c r="G782" t="s">
        <v>12</v>
      </c>
      <c r="H782">
        <v>15</v>
      </c>
    </row>
    <row r="783" spans="1:8" x14ac:dyDescent="0.3">
      <c r="A783" t="s">
        <v>1481</v>
      </c>
      <c r="B783" t="s">
        <v>709</v>
      </c>
      <c r="C783" s="4">
        <v>45800</v>
      </c>
      <c r="D783">
        <v>471771.24</v>
      </c>
      <c r="E783" t="s">
        <v>15</v>
      </c>
      <c r="F783" t="s">
        <v>16</v>
      </c>
      <c r="G783" t="s">
        <v>24</v>
      </c>
      <c r="H783">
        <v>18</v>
      </c>
    </row>
    <row r="784" spans="1:8" x14ac:dyDescent="0.3">
      <c r="A784" t="s">
        <v>1482</v>
      </c>
      <c r="B784" t="s">
        <v>1483</v>
      </c>
      <c r="C784" s="4">
        <v>45110</v>
      </c>
      <c r="D784">
        <v>121450.89</v>
      </c>
      <c r="E784" t="s">
        <v>10</v>
      </c>
      <c r="F784" t="s">
        <v>23</v>
      </c>
      <c r="G784" t="s">
        <v>24</v>
      </c>
      <c r="H784">
        <v>20</v>
      </c>
    </row>
    <row r="785" spans="1:8" x14ac:dyDescent="0.3">
      <c r="A785" t="s">
        <v>1484</v>
      </c>
      <c r="B785" t="s">
        <v>1485</v>
      </c>
      <c r="C785" s="4">
        <v>45285</v>
      </c>
      <c r="D785">
        <v>301869.28000000003</v>
      </c>
      <c r="E785" t="s">
        <v>15</v>
      </c>
      <c r="F785" t="s">
        <v>11</v>
      </c>
      <c r="G785" t="s">
        <v>12</v>
      </c>
      <c r="H785">
        <v>48</v>
      </c>
    </row>
    <row r="786" spans="1:8" x14ac:dyDescent="0.3">
      <c r="A786" t="s">
        <v>1486</v>
      </c>
      <c r="B786" t="s">
        <v>794</v>
      </c>
      <c r="C786" s="4">
        <v>45528</v>
      </c>
      <c r="D786">
        <v>130944.07</v>
      </c>
      <c r="E786" t="s">
        <v>15</v>
      </c>
      <c r="F786" t="s">
        <v>11</v>
      </c>
      <c r="G786" t="s">
        <v>12</v>
      </c>
      <c r="H786">
        <v>57</v>
      </c>
    </row>
    <row r="787" spans="1:8" x14ac:dyDescent="0.3">
      <c r="A787" t="s">
        <v>1487</v>
      </c>
      <c r="B787" t="s">
        <v>1488</v>
      </c>
      <c r="C787" s="4">
        <v>44682</v>
      </c>
      <c r="D787">
        <v>341113.93</v>
      </c>
      <c r="E787" t="s">
        <v>19</v>
      </c>
      <c r="F787" t="s">
        <v>20</v>
      </c>
      <c r="G787" t="s">
        <v>24</v>
      </c>
      <c r="H787">
        <v>19</v>
      </c>
    </row>
    <row r="788" spans="1:8" x14ac:dyDescent="0.3">
      <c r="A788" t="s">
        <v>1489</v>
      </c>
      <c r="B788" t="s">
        <v>1490</v>
      </c>
      <c r="C788" s="4">
        <v>45201</v>
      </c>
      <c r="D788">
        <v>429163.27</v>
      </c>
      <c r="E788" t="s">
        <v>19</v>
      </c>
      <c r="F788" t="s">
        <v>16</v>
      </c>
      <c r="G788" t="s">
        <v>24</v>
      </c>
      <c r="H788">
        <v>14</v>
      </c>
    </row>
    <row r="789" spans="1:8" x14ac:dyDescent="0.3">
      <c r="A789" t="s">
        <v>1491</v>
      </c>
      <c r="B789" t="s">
        <v>1492</v>
      </c>
      <c r="C789" s="4">
        <v>45085</v>
      </c>
      <c r="D789">
        <v>191474.47</v>
      </c>
      <c r="E789" t="s">
        <v>10</v>
      </c>
      <c r="F789" t="s">
        <v>16</v>
      </c>
      <c r="G789" t="s">
        <v>12</v>
      </c>
      <c r="H789">
        <v>52</v>
      </c>
    </row>
    <row r="790" spans="1:8" x14ac:dyDescent="0.3">
      <c r="A790" t="s">
        <v>1493</v>
      </c>
      <c r="B790" t="s">
        <v>1177</v>
      </c>
      <c r="C790" s="4">
        <v>44235</v>
      </c>
      <c r="D790">
        <v>157892.15</v>
      </c>
      <c r="E790" t="s">
        <v>15</v>
      </c>
      <c r="F790" t="s">
        <v>34</v>
      </c>
      <c r="G790" t="s">
        <v>12</v>
      </c>
      <c r="H790">
        <v>19</v>
      </c>
    </row>
    <row r="791" spans="1:8" x14ac:dyDescent="0.3">
      <c r="A791" t="s">
        <v>1494</v>
      </c>
      <c r="B791" t="s">
        <v>1495</v>
      </c>
      <c r="C791" s="4">
        <v>45259</v>
      </c>
      <c r="D791">
        <v>311915.96999999997</v>
      </c>
      <c r="E791" t="s">
        <v>10</v>
      </c>
      <c r="F791" t="s">
        <v>20</v>
      </c>
      <c r="G791" t="s">
        <v>24</v>
      </c>
      <c r="H791">
        <v>17</v>
      </c>
    </row>
    <row r="792" spans="1:8" x14ac:dyDescent="0.3">
      <c r="A792" t="s">
        <v>1496</v>
      </c>
      <c r="B792" t="s">
        <v>1497</v>
      </c>
      <c r="C792" s="4">
        <v>45748</v>
      </c>
      <c r="D792">
        <v>90310.39</v>
      </c>
      <c r="E792" t="s">
        <v>15</v>
      </c>
      <c r="F792" t="s">
        <v>16</v>
      </c>
      <c r="G792" t="s">
        <v>12</v>
      </c>
      <c r="H792">
        <v>9</v>
      </c>
    </row>
    <row r="793" spans="1:8" x14ac:dyDescent="0.3">
      <c r="A793" t="s">
        <v>1498</v>
      </c>
      <c r="B793" t="s">
        <v>1324</v>
      </c>
      <c r="C793" s="4">
        <v>45117</v>
      </c>
      <c r="D793">
        <v>175139.82</v>
      </c>
      <c r="E793" t="s">
        <v>19</v>
      </c>
      <c r="F793" t="s">
        <v>16</v>
      </c>
      <c r="G793" t="s">
        <v>24</v>
      </c>
      <c r="H793">
        <v>21</v>
      </c>
    </row>
    <row r="794" spans="1:8" x14ac:dyDescent="0.3">
      <c r="A794" t="s">
        <v>1499</v>
      </c>
      <c r="B794" t="s">
        <v>1500</v>
      </c>
      <c r="C794" s="4">
        <v>44477</v>
      </c>
      <c r="D794">
        <v>127148.72</v>
      </c>
      <c r="E794" t="s">
        <v>10</v>
      </c>
      <c r="F794" t="s">
        <v>11</v>
      </c>
      <c r="G794" t="s">
        <v>12</v>
      </c>
      <c r="H794">
        <v>49</v>
      </c>
    </row>
    <row r="795" spans="1:8" x14ac:dyDescent="0.3">
      <c r="A795" t="s">
        <v>1501</v>
      </c>
      <c r="B795" t="s">
        <v>1502</v>
      </c>
      <c r="C795" s="4">
        <v>45168</v>
      </c>
      <c r="D795">
        <v>88281.36</v>
      </c>
      <c r="E795" t="s">
        <v>10</v>
      </c>
      <c r="F795" t="s">
        <v>20</v>
      </c>
      <c r="G795" t="s">
        <v>24</v>
      </c>
      <c r="H795">
        <v>27</v>
      </c>
    </row>
    <row r="796" spans="1:8" x14ac:dyDescent="0.3">
      <c r="A796" t="s">
        <v>1503</v>
      </c>
      <c r="B796" t="s">
        <v>1504</v>
      </c>
      <c r="C796" s="4">
        <v>45499</v>
      </c>
      <c r="D796">
        <v>208136.26</v>
      </c>
      <c r="E796" t="s">
        <v>10</v>
      </c>
      <c r="F796" t="s">
        <v>34</v>
      </c>
      <c r="G796" t="s">
        <v>24</v>
      </c>
      <c r="H796">
        <v>7</v>
      </c>
    </row>
    <row r="797" spans="1:8" x14ac:dyDescent="0.3">
      <c r="A797" t="s">
        <v>1505</v>
      </c>
      <c r="B797" t="s">
        <v>1506</v>
      </c>
      <c r="C797" s="4">
        <v>45294</v>
      </c>
      <c r="D797">
        <v>116339.84</v>
      </c>
      <c r="E797" t="s">
        <v>19</v>
      </c>
      <c r="F797" t="s">
        <v>34</v>
      </c>
      <c r="G797" t="s">
        <v>24</v>
      </c>
      <c r="H797">
        <v>19</v>
      </c>
    </row>
    <row r="798" spans="1:8" x14ac:dyDescent="0.3">
      <c r="A798" t="s">
        <v>1507</v>
      </c>
      <c r="B798" t="s">
        <v>1508</v>
      </c>
      <c r="C798" s="4">
        <v>45187</v>
      </c>
      <c r="D798">
        <v>438142.83</v>
      </c>
      <c r="E798" t="s">
        <v>15</v>
      </c>
      <c r="F798" t="s">
        <v>23</v>
      </c>
      <c r="G798" t="s">
        <v>12</v>
      </c>
      <c r="H798">
        <v>59</v>
      </c>
    </row>
    <row r="799" spans="1:8" x14ac:dyDescent="0.3">
      <c r="A799" t="s">
        <v>1509</v>
      </c>
      <c r="B799" t="s">
        <v>1510</v>
      </c>
      <c r="C799" s="4">
        <v>45296</v>
      </c>
      <c r="D799">
        <v>473718.12</v>
      </c>
      <c r="E799" t="s">
        <v>19</v>
      </c>
      <c r="F799" t="s">
        <v>16</v>
      </c>
      <c r="G799" t="s">
        <v>24</v>
      </c>
      <c r="H799">
        <v>18</v>
      </c>
    </row>
    <row r="800" spans="1:8" x14ac:dyDescent="0.3">
      <c r="A800" t="s">
        <v>1511</v>
      </c>
      <c r="B800" t="s">
        <v>1512</v>
      </c>
      <c r="C800" s="4">
        <v>44757</v>
      </c>
      <c r="D800">
        <v>389335.59</v>
      </c>
      <c r="E800" t="s">
        <v>15</v>
      </c>
      <c r="F800" t="s">
        <v>16</v>
      </c>
      <c r="G800" t="s">
        <v>12</v>
      </c>
      <c r="H800">
        <v>21</v>
      </c>
    </row>
    <row r="801" spans="1:8" x14ac:dyDescent="0.3">
      <c r="A801" t="s">
        <v>1513</v>
      </c>
      <c r="B801" t="s">
        <v>676</v>
      </c>
      <c r="C801" s="4">
        <v>44709</v>
      </c>
      <c r="D801">
        <v>412253.84</v>
      </c>
      <c r="E801" t="s">
        <v>10</v>
      </c>
      <c r="F801" t="s">
        <v>16</v>
      </c>
      <c r="G801" t="s">
        <v>24</v>
      </c>
      <c r="H801">
        <v>43</v>
      </c>
    </row>
    <row r="802" spans="1:8" x14ac:dyDescent="0.3">
      <c r="A802" t="s">
        <v>1514</v>
      </c>
      <c r="B802" t="s">
        <v>1515</v>
      </c>
      <c r="C802" s="4">
        <v>45121</v>
      </c>
      <c r="D802">
        <v>363565.7</v>
      </c>
      <c r="E802" t="s">
        <v>10</v>
      </c>
      <c r="F802" t="s">
        <v>34</v>
      </c>
      <c r="G802" t="s">
        <v>24</v>
      </c>
      <c r="H802">
        <v>32</v>
      </c>
    </row>
    <row r="803" spans="1:8" x14ac:dyDescent="0.3">
      <c r="A803" t="s">
        <v>1516</v>
      </c>
      <c r="B803" t="s">
        <v>1517</v>
      </c>
      <c r="C803" s="4">
        <v>45151</v>
      </c>
      <c r="D803">
        <v>395240.87</v>
      </c>
      <c r="E803" t="s">
        <v>19</v>
      </c>
      <c r="F803" t="s">
        <v>11</v>
      </c>
      <c r="G803" t="s">
        <v>24</v>
      </c>
      <c r="H803">
        <v>17</v>
      </c>
    </row>
    <row r="804" spans="1:8" x14ac:dyDescent="0.3">
      <c r="A804" t="s">
        <v>1518</v>
      </c>
      <c r="B804" t="s">
        <v>410</v>
      </c>
      <c r="C804" s="4">
        <v>45427</v>
      </c>
      <c r="D804">
        <v>190861.2</v>
      </c>
      <c r="E804" t="s">
        <v>10</v>
      </c>
      <c r="F804" t="s">
        <v>11</v>
      </c>
      <c r="G804" t="s">
        <v>24</v>
      </c>
      <c r="H804">
        <v>15</v>
      </c>
    </row>
    <row r="805" spans="1:8" x14ac:dyDescent="0.3">
      <c r="A805" t="s">
        <v>1519</v>
      </c>
      <c r="B805" t="s">
        <v>1520</v>
      </c>
      <c r="C805" s="4">
        <v>44405</v>
      </c>
      <c r="D805">
        <v>104444.39</v>
      </c>
      <c r="E805" t="s">
        <v>19</v>
      </c>
      <c r="F805" t="s">
        <v>20</v>
      </c>
      <c r="G805" t="s">
        <v>24</v>
      </c>
      <c r="H805">
        <v>39</v>
      </c>
    </row>
    <row r="806" spans="1:8" x14ac:dyDescent="0.3">
      <c r="A806" t="s">
        <v>1521</v>
      </c>
      <c r="B806" t="s">
        <v>1522</v>
      </c>
      <c r="C806" s="4">
        <v>44618</v>
      </c>
      <c r="D806">
        <v>290085.44</v>
      </c>
      <c r="E806" t="s">
        <v>19</v>
      </c>
      <c r="F806" t="s">
        <v>16</v>
      </c>
      <c r="G806" t="s">
        <v>24</v>
      </c>
      <c r="H806">
        <v>18</v>
      </c>
    </row>
    <row r="807" spans="1:8" x14ac:dyDescent="0.3">
      <c r="A807" t="s">
        <v>1523</v>
      </c>
      <c r="B807" t="s">
        <v>1524</v>
      </c>
      <c r="C807" s="4">
        <v>45058</v>
      </c>
      <c r="D807">
        <v>117351.88</v>
      </c>
      <c r="E807" t="s">
        <v>19</v>
      </c>
      <c r="F807" t="s">
        <v>23</v>
      </c>
      <c r="G807" t="s">
        <v>24</v>
      </c>
      <c r="H807">
        <v>46</v>
      </c>
    </row>
    <row r="808" spans="1:8" x14ac:dyDescent="0.3">
      <c r="A808" t="s">
        <v>1525</v>
      </c>
      <c r="B808" t="s">
        <v>1526</v>
      </c>
      <c r="C808" s="4">
        <v>45421</v>
      </c>
      <c r="D808">
        <v>250884.61</v>
      </c>
      <c r="E808" t="s">
        <v>15</v>
      </c>
      <c r="F808" t="s">
        <v>11</v>
      </c>
      <c r="G808" t="s">
        <v>12</v>
      </c>
      <c r="H808">
        <v>33</v>
      </c>
    </row>
    <row r="809" spans="1:8" x14ac:dyDescent="0.3">
      <c r="A809" t="s">
        <v>1527</v>
      </c>
      <c r="B809" t="s">
        <v>1528</v>
      </c>
      <c r="C809" s="4">
        <v>44655</v>
      </c>
      <c r="D809">
        <v>25197.75</v>
      </c>
      <c r="E809" t="s">
        <v>10</v>
      </c>
      <c r="F809" t="s">
        <v>23</v>
      </c>
      <c r="G809" t="s">
        <v>12</v>
      </c>
      <c r="H809">
        <v>7</v>
      </c>
    </row>
    <row r="810" spans="1:8" x14ac:dyDescent="0.3">
      <c r="A810" t="s">
        <v>1529</v>
      </c>
      <c r="B810" t="s">
        <v>1530</v>
      </c>
      <c r="C810" s="4">
        <v>45295</v>
      </c>
      <c r="D810">
        <v>446416.11</v>
      </c>
      <c r="E810" t="s">
        <v>19</v>
      </c>
      <c r="F810" t="s">
        <v>20</v>
      </c>
      <c r="G810" t="s">
        <v>24</v>
      </c>
      <c r="H810">
        <v>10</v>
      </c>
    </row>
    <row r="811" spans="1:8" x14ac:dyDescent="0.3">
      <c r="A811" t="s">
        <v>1531</v>
      </c>
      <c r="B811" t="s">
        <v>1532</v>
      </c>
      <c r="C811" s="4">
        <v>44767</v>
      </c>
      <c r="D811">
        <v>331135.65000000002</v>
      </c>
      <c r="E811" t="s">
        <v>15</v>
      </c>
      <c r="F811" t="s">
        <v>23</v>
      </c>
      <c r="G811" t="s">
        <v>12</v>
      </c>
      <c r="H811">
        <v>41</v>
      </c>
    </row>
    <row r="812" spans="1:8" x14ac:dyDescent="0.3">
      <c r="A812" t="s">
        <v>1533</v>
      </c>
      <c r="B812" t="s">
        <v>1534</v>
      </c>
      <c r="C812" s="4">
        <v>45670</v>
      </c>
      <c r="D812">
        <v>121080.34</v>
      </c>
      <c r="E812" t="s">
        <v>19</v>
      </c>
      <c r="F812" t="s">
        <v>34</v>
      </c>
      <c r="G812" t="s">
        <v>12</v>
      </c>
      <c r="H812">
        <v>38</v>
      </c>
    </row>
    <row r="813" spans="1:8" x14ac:dyDescent="0.3">
      <c r="A813" t="s">
        <v>1535</v>
      </c>
      <c r="B813" t="s">
        <v>1536</v>
      </c>
      <c r="C813" s="4">
        <v>44548</v>
      </c>
      <c r="D813">
        <v>434622.32</v>
      </c>
      <c r="E813" t="s">
        <v>19</v>
      </c>
      <c r="F813" t="s">
        <v>11</v>
      </c>
      <c r="G813" t="s">
        <v>12</v>
      </c>
      <c r="H813">
        <v>41</v>
      </c>
    </row>
    <row r="814" spans="1:8" x14ac:dyDescent="0.3">
      <c r="A814" t="s">
        <v>1537</v>
      </c>
      <c r="B814" t="s">
        <v>1538</v>
      </c>
      <c r="C814" s="4">
        <v>45461</v>
      </c>
      <c r="D814">
        <v>115908.86</v>
      </c>
      <c r="E814" t="s">
        <v>10</v>
      </c>
      <c r="F814" t="s">
        <v>16</v>
      </c>
      <c r="G814" t="s">
        <v>24</v>
      </c>
      <c r="H814">
        <v>20</v>
      </c>
    </row>
    <row r="815" spans="1:8" x14ac:dyDescent="0.3">
      <c r="A815" t="s">
        <v>1539</v>
      </c>
      <c r="B815" t="s">
        <v>1197</v>
      </c>
      <c r="C815" s="4">
        <v>44350</v>
      </c>
      <c r="D815">
        <v>197311.29</v>
      </c>
      <c r="E815" t="s">
        <v>19</v>
      </c>
      <c r="F815" t="s">
        <v>20</v>
      </c>
      <c r="G815" t="s">
        <v>12</v>
      </c>
      <c r="H815">
        <v>52</v>
      </c>
    </row>
    <row r="816" spans="1:8" x14ac:dyDescent="0.3">
      <c r="A816" t="s">
        <v>1540</v>
      </c>
      <c r="B816" t="s">
        <v>1541</v>
      </c>
      <c r="C816" s="4">
        <v>45060</v>
      </c>
      <c r="D816">
        <v>19824.41</v>
      </c>
      <c r="E816" t="s">
        <v>10</v>
      </c>
      <c r="F816" t="s">
        <v>16</v>
      </c>
      <c r="G816" t="s">
        <v>12</v>
      </c>
      <c r="H816">
        <v>39</v>
      </c>
    </row>
    <row r="817" spans="1:8" x14ac:dyDescent="0.3">
      <c r="A817" t="s">
        <v>1542</v>
      </c>
      <c r="B817" t="s">
        <v>1543</v>
      </c>
      <c r="C817" s="4">
        <v>45253</v>
      </c>
      <c r="D817">
        <v>183730.28</v>
      </c>
      <c r="E817" t="s">
        <v>15</v>
      </c>
      <c r="F817" t="s">
        <v>34</v>
      </c>
      <c r="G817" t="s">
        <v>12</v>
      </c>
      <c r="H817">
        <v>39</v>
      </c>
    </row>
    <row r="818" spans="1:8" x14ac:dyDescent="0.3">
      <c r="A818" t="s">
        <v>1544</v>
      </c>
      <c r="B818" t="s">
        <v>1545</v>
      </c>
      <c r="C818" s="4">
        <v>45505</v>
      </c>
      <c r="D818">
        <v>461062.52</v>
      </c>
      <c r="E818" t="s">
        <v>19</v>
      </c>
      <c r="F818" t="s">
        <v>16</v>
      </c>
      <c r="G818" t="s">
        <v>12</v>
      </c>
      <c r="H818">
        <v>24</v>
      </c>
    </row>
    <row r="819" spans="1:8" x14ac:dyDescent="0.3">
      <c r="A819" t="s">
        <v>1546</v>
      </c>
      <c r="B819" t="s">
        <v>703</v>
      </c>
      <c r="C819" s="4">
        <v>45315</v>
      </c>
      <c r="D819">
        <v>476562.16</v>
      </c>
      <c r="E819" t="s">
        <v>19</v>
      </c>
      <c r="F819" t="s">
        <v>34</v>
      </c>
      <c r="G819" t="s">
        <v>12</v>
      </c>
      <c r="H819">
        <v>37</v>
      </c>
    </row>
    <row r="820" spans="1:8" x14ac:dyDescent="0.3">
      <c r="A820" t="s">
        <v>1547</v>
      </c>
      <c r="B820" t="s">
        <v>1548</v>
      </c>
      <c r="C820" s="4">
        <v>45513</v>
      </c>
      <c r="D820">
        <v>354780.05</v>
      </c>
      <c r="E820" t="s">
        <v>19</v>
      </c>
      <c r="F820" t="s">
        <v>11</v>
      </c>
      <c r="G820" t="s">
        <v>24</v>
      </c>
      <c r="H820">
        <v>18</v>
      </c>
    </row>
    <row r="821" spans="1:8" x14ac:dyDescent="0.3">
      <c r="A821" t="s">
        <v>1549</v>
      </c>
      <c r="B821" t="s">
        <v>1550</v>
      </c>
      <c r="C821" s="4">
        <v>45698</v>
      </c>
      <c r="D821">
        <v>46126.62</v>
      </c>
      <c r="E821" t="s">
        <v>10</v>
      </c>
      <c r="F821" t="s">
        <v>16</v>
      </c>
      <c r="G821" t="s">
        <v>12</v>
      </c>
      <c r="H821">
        <v>42</v>
      </c>
    </row>
    <row r="822" spans="1:8" x14ac:dyDescent="0.3">
      <c r="A822" t="s">
        <v>1551</v>
      </c>
      <c r="B822" t="s">
        <v>1552</v>
      </c>
      <c r="C822" s="4">
        <v>45579</v>
      </c>
      <c r="D822">
        <v>443095.48</v>
      </c>
      <c r="E822" t="s">
        <v>10</v>
      </c>
      <c r="F822" t="s">
        <v>23</v>
      </c>
      <c r="G822" t="s">
        <v>12</v>
      </c>
      <c r="H822">
        <v>13</v>
      </c>
    </row>
    <row r="823" spans="1:8" x14ac:dyDescent="0.3">
      <c r="A823" t="s">
        <v>1553</v>
      </c>
      <c r="B823" t="s">
        <v>1554</v>
      </c>
      <c r="C823" s="4">
        <v>45321</v>
      </c>
      <c r="D823">
        <v>441438.75</v>
      </c>
      <c r="E823" t="s">
        <v>15</v>
      </c>
      <c r="F823" t="s">
        <v>20</v>
      </c>
      <c r="G823" t="s">
        <v>12</v>
      </c>
      <c r="H823">
        <v>59</v>
      </c>
    </row>
    <row r="824" spans="1:8" x14ac:dyDescent="0.3">
      <c r="A824" t="s">
        <v>1555</v>
      </c>
      <c r="B824" t="s">
        <v>908</v>
      </c>
      <c r="C824" s="4">
        <v>45131</v>
      </c>
      <c r="D824">
        <v>273326.07</v>
      </c>
      <c r="E824" t="s">
        <v>15</v>
      </c>
      <c r="F824" t="s">
        <v>16</v>
      </c>
      <c r="G824" t="s">
        <v>12</v>
      </c>
      <c r="H824">
        <v>34</v>
      </c>
    </row>
    <row r="825" spans="1:8" x14ac:dyDescent="0.3">
      <c r="A825" t="s">
        <v>1556</v>
      </c>
      <c r="B825" t="s">
        <v>1557</v>
      </c>
      <c r="C825" s="4">
        <v>45297</v>
      </c>
      <c r="D825">
        <v>416492.42</v>
      </c>
      <c r="E825" t="s">
        <v>19</v>
      </c>
      <c r="F825" t="s">
        <v>34</v>
      </c>
      <c r="G825" t="s">
        <v>24</v>
      </c>
      <c r="H825">
        <v>11</v>
      </c>
    </row>
    <row r="826" spans="1:8" x14ac:dyDescent="0.3">
      <c r="A826" t="s">
        <v>1558</v>
      </c>
      <c r="B826" t="s">
        <v>1559</v>
      </c>
      <c r="C826" s="4">
        <v>45762</v>
      </c>
      <c r="D826">
        <v>478523.21</v>
      </c>
      <c r="E826" t="s">
        <v>10</v>
      </c>
      <c r="F826" t="s">
        <v>23</v>
      </c>
      <c r="G826" t="s">
        <v>12</v>
      </c>
      <c r="H826">
        <v>18</v>
      </c>
    </row>
    <row r="827" spans="1:8" x14ac:dyDescent="0.3">
      <c r="A827" t="s">
        <v>1560</v>
      </c>
      <c r="B827" t="s">
        <v>1561</v>
      </c>
      <c r="C827" s="4">
        <v>45538</v>
      </c>
      <c r="D827">
        <v>239239.16</v>
      </c>
      <c r="E827" t="s">
        <v>15</v>
      </c>
      <c r="F827" t="s">
        <v>16</v>
      </c>
      <c r="G827" t="s">
        <v>24</v>
      </c>
      <c r="H827">
        <v>4</v>
      </c>
    </row>
    <row r="828" spans="1:8" x14ac:dyDescent="0.3">
      <c r="A828" t="s">
        <v>1562</v>
      </c>
      <c r="B828" t="s">
        <v>1563</v>
      </c>
      <c r="C828" s="4">
        <v>45230</v>
      </c>
      <c r="D828">
        <v>18905.36</v>
      </c>
      <c r="E828" t="s">
        <v>10</v>
      </c>
      <c r="F828" t="s">
        <v>34</v>
      </c>
      <c r="G828" t="s">
        <v>12</v>
      </c>
      <c r="H828">
        <v>10</v>
      </c>
    </row>
    <row r="829" spans="1:8" x14ac:dyDescent="0.3">
      <c r="A829" t="s">
        <v>1564</v>
      </c>
      <c r="B829" t="s">
        <v>923</v>
      </c>
      <c r="C829" s="4">
        <v>45333</v>
      </c>
      <c r="D829">
        <v>494353.9</v>
      </c>
      <c r="E829" t="s">
        <v>15</v>
      </c>
      <c r="F829" t="s">
        <v>11</v>
      </c>
      <c r="G829" t="s">
        <v>12</v>
      </c>
      <c r="H829">
        <v>57</v>
      </c>
    </row>
    <row r="830" spans="1:8" x14ac:dyDescent="0.3">
      <c r="A830" t="s">
        <v>1565</v>
      </c>
      <c r="B830" t="s">
        <v>1566</v>
      </c>
      <c r="C830" s="4">
        <v>45440</v>
      </c>
      <c r="D830">
        <v>365637.41</v>
      </c>
      <c r="E830" t="s">
        <v>19</v>
      </c>
      <c r="F830" t="s">
        <v>11</v>
      </c>
      <c r="G830" t="s">
        <v>12</v>
      </c>
      <c r="H830">
        <v>29</v>
      </c>
    </row>
    <row r="831" spans="1:8" x14ac:dyDescent="0.3">
      <c r="A831" t="s">
        <v>1567</v>
      </c>
      <c r="B831" t="s">
        <v>1568</v>
      </c>
      <c r="C831" s="4">
        <v>45397</v>
      </c>
      <c r="D831">
        <v>135672.17000000001</v>
      </c>
      <c r="E831" t="s">
        <v>15</v>
      </c>
      <c r="F831" t="s">
        <v>34</v>
      </c>
      <c r="G831" t="s">
        <v>12</v>
      </c>
      <c r="H831">
        <v>2</v>
      </c>
    </row>
    <row r="832" spans="1:8" x14ac:dyDescent="0.3">
      <c r="A832" t="s">
        <v>1569</v>
      </c>
      <c r="B832" t="s">
        <v>1570</v>
      </c>
      <c r="C832" s="4">
        <v>45253</v>
      </c>
      <c r="D832">
        <v>30193.75</v>
      </c>
      <c r="E832" t="s">
        <v>10</v>
      </c>
      <c r="F832" t="s">
        <v>20</v>
      </c>
      <c r="G832" t="s">
        <v>12</v>
      </c>
      <c r="H832">
        <v>34</v>
      </c>
    </row>
    <row r="833" spans="1:8" x14ac:dyDescent="0.3">
      <c r="A833" t="s">
        <v>1571</v>
      </c>
      <c r="B833" t="s">
        <v>1572</v>
      </c>
      <c r="C833" s="4">
        <v>45232</v>
      </c>
      <c r="D833">
        <v>233732.89</v>
      </c>
      <c r="E833" t="s">
        <v>15</v>
      </c>
      <c r="F833" t="s">
        <v>34</v>
      </c>
      <c r="G833" t="s">
        <v>24</v>
      </c>
      <c r="H833">
        <v>46</v>
      </c>
    </row>
    <row r="834" spans="1:8" x14ac:dyDescent="0.3">
      <c r="A834" t="s">
        <v>1573</v>
      </c>
      <c r="B834" t="s">
        <v>1574</v>
      </c>
      <c r="C834" s="4">
        <v>45468</v>
      </c>
      <c r="D834">
        <v>46075.199999999997</v>
      </c>
      <c r="E834" t="s">
        <v>10</v>
      </c>
      <c r="F834" t="s">
        <v>11</v>
      </c>
      <c r="G834" t="s">
        <v>12</v>
      </c>
      <c r="H834">
        <v>5</v>
      </c>
    </row>
    <row r="835" spans="1:8" x14ac:dyDescent="0.3">
      <c r="A835" t="s">
        <v>1575</v>
      </c>
      <c r="B835" t="s">
        <v>1576</v>
      </c>
      <c r="C835" s="4">
        <v>45243</v>
      </c>
      <c r="D835">
        <v>452201.34</v>
      </c>
      <c r="E835" t="s">
        <v>15</v>
      </c>
      <c r="F835" t="s">
        <v>20</v>
      </c>
      <c r="G835" t="s">
        <v>12</v>
      </c>
      <c r="H835">
        <v>39</v>
      </c>
    </row>
    <row r="836" spans="1:8" x14ac:dyDescent="0.3">
      <c r="A836" t="s">
        <v>1577</v>
      </c>
      <c r="B836" t="s">
        <v>1578</v>
      </c>
      <c r="C836" s="4">
        <v>45451</v>
      </c>
      <c r="D836">
        <v>270201.88</v>
      </c>
      <c r="E836" t="s">
        <v>19</v>
      </c>
      <c r="F836" t="s">
        <v>34</v>
      </c>
      <c r="G836" t="s">
        <v>12</v>
      </c>
      <c r="H836">
        <v>50</v>
      </c>
    </row>
    <row r="837" spans="1:8" x14ac:dyDescent="0.3">
      <c r="A837" t="s">
        <v>1579</v>
      </c>
      <c r="B837" t="s">
        <v>1580</v>
      </c>
      <c r="C837" s="4">
        <v>45075</v>
      </c>
      <c r="D837">
        <v>278569.69</v>
      </c>
      <c r="E837" t="s">
        <v>10</v>
      </c>
      <c r="F837" t="s">
        <v>16</v>
      </c>
      <c r="G837" t="s">
        <v>12</v>
      </c>
      <c r="H837">
        <v>39</v>
      </c>
    </row>
    <row r="838" spans="1:8" x14ac:dyDescent="0.3">
      <c r="A838" t="s">
        <v>1581</v>
      </c>
      <c r="B838" t="s">
        <v>1582</v>
      </c>
      <c r="C838" s="4">
        <v>45150</v>
      </c>
      <c r="D838">
        <v>339899.29</v>
      </c>
      <c r="E838" t="s">
        <v>10</v>
      </c>
      <c r="F838" t="s">
        <v>11</v>
      </c>
      <c r="G838" t="s">
        <v>12</v>
      </c>
      <c r="H838">
        <v>56</v>
      </c>
    </row>
    <row r="839" spans="1:8" x14ac:dyDescent="0.3">
      <c r="A839" t="s">
        <v>1583</v>
      </c>
      <c r="B839" t="s">
        <v>810</v>
      </c>
      <c r="C839" s="4">
        <v>45275</v>
      </c>
      <c r="D839">
        <v>183892.44</v>
      </c>
      <c r="E839" t="s">
        <v>10</v>
      </c>
      <c r="F839" t="s">
        <v>34</v>
      </c>
      <c r="G839" t="s">
        <v>12</v>
      </c>
      <c r="H839">
        <v>49</v>
      </c>
    </row>
    <row r="840" spans="1:8" x14ac:dyDescent="0.3">
      <c r="A840" t="s">
        <v>1584</v>
      </c>
      <c r="B840" t="s">
        <v>1585</v>
      </c>
      <c r="C840" s="4">
        <v>45073</v>
      </c>
      <c r="D840">
        <v>208566.61</v>
      </c>
      <c r="E840" t="s">
        <v>10</v>
      </c>
      <c r="F840" t="s">
        <v>23</v>
      </c>
      <c r="G840" t="s">
        <v>24</v>
      </c>
      <c r="H840">
        <v>40</v>
      </c>
    </row>
    <row r="841" spans="1:8" x14ac:dyDescent="0.3">
      <c r="A841" t="s">
        <v>1586</v>
      </c>
      <c r="B841" t="s">
        <v>1587</v>
      </c>
      <c r="C841" s="4">
        <v>45698</v>
      </c>
      <c r="D841">
        <v>105679.5</v>
      </c>
      <c r="E841" t="s">
        <v>19</v>
      </c>
      <c r="F841" t="s">
        <v>11</v>
      </c>
      <c r="G841" t="s">
        <v>24</v>
      </c>
      <c r="H841">
        <v>17</v>
      </c>
    </row>
    <row r="842" spans="1:8" x14ac:dyDescent="0.3">
      <c r="A842" t="s">
        <v>1588</v>
      </c>
      <c r="B842" t="s">
        <v>1589</v>
      </c>
      <c r="C842" s="4">
        <v>45320</v>
      </c>
      <c r="D842">
        <v>219007.51</v>
      </c>
      <c r="E842" t="s">
        <v>10</v>
      </c>
      <c r="F842" t="s">
        <v>23</v>
      </c>
      <c r="G842" t="s">
        <v>24</v>
      </c>
      <c r="H842">
        <v>47</v>
      </c>
    </row>
    <row r="843" spans="1:8" x14ac:dyDescent="0.3">
      <c r="A843" t="s">
        <v>1590</v>
      </c>
      <c r="B843" t="s">
        <v>1591</v>
      </c>
      <c r="C843" s="4">
        <v>44559</v>
      </c>
      <c r="D843">
        <v>191311.61</v>
      </c>
      <c r="E843" t="s">
        <v>10</v>
      </c>
      <c r="F843" t="s">
        <v>16</v>
      </c>
      <c r="G843" t="s">
        <v>12</v>
      </c>
      <c r="H843">
        <v>11</v>
      </c>
    </row>
    <row r="844" spans="1:8" x14ac:dyDescent="0.3">
      <c r="A844" t="s">
        <v>1592</v>
      </c>
      <c r="B844" t="s">
        <v>1593</v>
      </c>
      <c r="C844" s="4">
        <v>44995</v>
      </c>
      <c r="D844">
        <v>167642.79</v>
      </c>
      <c r="E844" t="s">
        <v>19</v>
      </c>
      <c r="F844" t="s">
        <v>11</v>
      </c>
      <c r="G844" t="s">
        <v>24</v>
      </c>
      <c r="H844">
        <v>25</v>
      </c>
    </row>
    <row r="845" spans="1:8" x14ac:dyDescent="0.3">
      <c r="A845" t="s">
        <v>1594</v>
      </c>
      <c r="B845" t="s">
        <v>1595</v>
      </c>
      <c r="C845" s="4">
        <v>45483</v>
      </c>
      <c r="D845">
        <v>169887.9</v>
      </c>
      <c r="E845" t="s">
        <v>10</v>
      </c>
      <c r="F845" t="s">
        <v>16</v>
      </c>
      <c r="G845" t="s">
        <v>12</v>
      </c>
      <c r="H845">
        <v>41</v>
      </c>
    </row>
    <row r="846" spans="1:8" x14ac:dyDescent="0.3">
      <c r="A846" t="s">
        <v>1596</v>
      </c>
      <c r="B846" t="s">
        <v>1597</v>
      </c>
      <c r="C846" s="4">
        <v>45605</v>
      </c>
      <c r="D846">
        <v>55533.57</v>
      </c>
      <c r="E846" t="s">
        <v>19</v>
      </c>
      <c r="F846" t="s">
        <v>23</v>
      </c>
      <c r="G846" t="s">
        <v>12</v>
      </c>
      <c r="H846">
        <v>56</v>
      </c>
    </row>
    <row r="847" spans="1:8" x14ac:dyDescent="0.3">
      <c r="A847" t="s">
        <v>1598</v>
      </c>
      <c r="B847" t="s">
        <v>1365</v>
      </c>
      <c r="C847" s="4">
        <v>45467</v>
      </c>
      <c r="D847">
        <v>124968.58</v>
      </c>
      <c r="E847" t="s">
        <v>15</v>
      </c>
      <c r="F847" t="s">
        <v>34</v>
      </c>
      <c r="G847" t="s">
        <v>12</v>
      </c>
      <c r="H847">
        <v>58</v>
      </c>
    </row>
    <row r="848" spans="1:8" x14ac:dyDescent="0.3">
      <c r="A848" t="s">
        <v>1599</v>
      </c>
      <c r="B848" t="s">
        <v>1600</v>
      </c>
      <c r="C848" s="4">
        <v>45232</v>
      </c>
      <c r="D848">
        <v>110220.4</v>
      </c>
      <c r="E848" t="s">
        <v>10</v>
      </c>
      <c r="F848" t="s">
        <v>20</v>
      </c>
      <c r="G848" t="s">
        <v>24</v>
      </c>
      <c r="H848">
        <v>17</v>
      </c>
    </row>
    <row r="849" spans="1:8" x14ac:dyDescent="0.3">
      <c r="A849" t="s">
        <v>1601</v>
      </c>
      <c r="B849" t="s">
        <v>1602</v>
      </c>
      <c r="C849" s="4">
        <v>44445</v>
      </c>
      <c r="D849">
        <v>99694.080000000002</v>
      </c>
      <c r="E849" t="s">
        <v>15</v>
      </c>
      <c r="F849" t="s">
        <v>11</v>
      </c>
      <c r="G849" t="s">
        <v>12</v>
      </c>
      <c r="H849">
        <v>39</v>
      </c>
    </row>
    <row r="850" spans="1:8" x14ac:dyDescent="0.3">
      <c r="A850" t="s">
        <v>1603</v>
      </c>
      <c r="B850" t="s">
        <v>1604</v>
      </c>
      <c r="C850" s="4">
        <v>45322</v>
      </c>
      <c r="D850">
        <v>200527.17</v>
      </c>
      <c r="E850" t="s">
        <v>19</v>
      </c>
      <c r="F850" t="s">
        <v>16</v>
      </c>
      <c r="G850" t="s">
        <v>12</v>
      </c>
      <c r="H850">
        <v>17</v>
      </c>
    </row>
    <row r="851" spans="1:8" x14ac:dyDescent="0.3">
      <c r="A851" t="s">
        <v>1605</v>
      </c>
      <c r="B851" t="s">
        <v>857</v>
      </c>
      <c r="C851" s="4">
        <v>45402</v>
      </c>
      <c r="D851">
        <v>220802.92</v>
      </c>
      <c r="E851" t="s">
        <v>15</v>
      </c>
      <c r="F851" t="s">
        <v>23</v>
      </c>
      <c r="G851" t="s">
        <v>24</v>
      </c>
      <c r="H851">
        <v>4</v>
      </c>
    </row>
    <row r="852" spans="1:8" x14ac:dyDescent="0.3">
      <c r="A852" t="s">
        <v>1606</v>
      </c>
      <c r="B852" t="s">
        <v>1607</v>
      </c>
      <c r="C852" s="4">
        <v>45012</v>
      </c>
      <c r="D852">
        <v>233659.67</v>
      </c>
      <c r="E852" t="s">
        <v>15</v>
      </c>
      <c r="F852" t="s">
        <v>34</v>
      </c>
      <c r="G852" t="s">
        <v>24</v>
      </c>
      <c r="H852">
        <v>36</v>
      </c>
    </row>
    <row r="853" spans="1:8" x14ac:dyDescent="0.3">
      <c r="A853" t="s">
        <v>1608</v>
      </c>
      <c r="B853" t="s">
        <v>1532</v>
      </c>
      <c r="C853" s="4">
        <v>44771</v>
      </c>
      <c r="D853">
        <v>153408.16</v>
      </c>
      <c r="E853" t="s">
        <v>19</v>
      </c>
      <c r="F853" t="s">
        <v>23</v>
      </c>
      <c r="G853" t="s">
        <v>12</v>
      </c>
      <c r="H853">
        <v>58</v>
      </c>
    </row>
    <row r="854" spans="1:8" x14ac:dyDescent="0.3">
      <c r="A854" t="s">
        <v>1609</v>
      </c>
      <c r="B854" t="s">
        <v>1610</v>
      </c>
      <c r="C854" s="4">
        <v>45400</v>
      </c>
      <c r="D854">
        <v>285861.71000000002</v>
      </c>
      <c r="E854" t="s">
        <v>10</v>
      </c>
      <c r="F854" t="s">
        <v>11</v>
      </c>
      <c r="G854" t="s">
        <v>12</v>
      </c>
      <c r="H854">
        <v>29</v>
      </c>
    </row>
    <row r="855" spans="1:8" x14ac:dyDescent="0.3">
      <c r="A855" t="s">
        <v>1611</v>
      </c>
      <c r="B855" t="s">
        <v>14</v>
      </c>
      <c r="C855" s="4">
        <v>44660</v>
      </c>
      <c r="D855">
        <v>450077.9</v>
      </c>
      <c r="E855" t="s">
        <v>19</v>
      </c>
      <c r="F855" t="s">
        <v>23</v>
      </c>
      <c r="G855" t="s">
        <v>12</v>
      </c>
      <c r="H855">
        <v>27</v>
      </c>
    </row>
    <row r="856" spans="1:8" x14ac:dyDescent="0.3">
      <c r="A856" t="s">
        <v>1612</v>
      </c>
      <c r="B856" t="s">
        <v>1357</v>
      </c>
      <c r="C856" s="4">
        <v>44913</v>
      </c>
      <c r="D856">
        <v>132591.39000000001</v>
      </c>
      <c r="E856" t="s">
        <v>10</v>
      </c>
      <c r="F856" t="s">
        <v>23</v>
      </c>
      <c r="G856" t="s">
        <v>24</v>
      </c>
      <c r="H856">
        <v>48</v>
      </c>
    </row>
    <row r="857" spans="1:8" x14ac:dyDescent="0.3">
      <c r="A857" t="s">
        <v>1613</v>
      </c>
      <c r="B857" t="s">
        <v>1614</v>
      </c>
      <c r="C857" s="4">
        <v>45365</v>
      </c>
      <c r="D857">
        <v>480640.27</v>
      </c>
      <c r="E857" t="s">
        <v>15</v>
      </c>
      <c r="F857" t="s">
        <v>23</v>
      </c>
      <c r="G857" t="s">
        <v>12</v>
      </c>
      <c r="H857">
        <v>59</v>
      </c>
    </row>
    <row r="858" spans="1:8" x14ac:dyDescent="0.3">
      <c r="A858" t="s">
        <v>1615</v>
      </c>
      <c r="B858" t="s">
        <v>398</v>
      </c>
      <c r="C858" s="4">
        <v>45264</v>
      </c>
      <c r="D858">
        <v>113827.07</v>
      </c>
      <c r="E858" t="s">
        <v>15</v>
      </c>
      <c r="F858" t="s">
        <v>11</v>
      </c>
      <c r="G858" t="s">
        <v>24</v>
      </c>
      <c r="H858">
        <v>25</v>
      </c>
    </row>
    <row r="859" spans="1:8" x14ac:dyDescent="0.3">
      <c r="A859" t="s">
        <v>1616</v>
      </c>
      <c r="B859" t="s">
        <v>237</v>
      </c>
      <c r="C859" s="4">
        <v>45368</v>
      </c>
      <c r="D859">
        <v>188934.89</v>
      </c>
      <c r="E859" t="s">
        <v>15</v>
      </c>
      <c r="F859" t="s">
        <v>34</v>
      </c>
      <c r="G859" t="s">
        <v>12</v>
      </c>
      <c r="H859">
        <v>23</v>
      </c>
    </row>
    <row r="860" spans="1:8" x14ac:dyDescent="0.3">
      <c r="A860" t="s">
        <v>1617</v>
      </c>
      <c r="B860" t="s">
        <v>1618</v>
      </c>
      <c r="C860" s="4">
        <v>44501</v>
      </c>
      <c r="D860">
        <v>141006.24</v>
      </c>
      <c r="E860" t="s">
        <v>10</v>
      </c>
      <c r="F860" t="s">
        <v>23</v>
      </c>
      <c r="G860" t="s">
        <v>12</v>
      </c>
      <c r="H860">
        <v>18</v>
      </c>
    </row>
    <row r="861" spans="1:8" x14ac:dyDescent="0.3">
      <c r="A861" t="s">
        <v>1619</v>
      </c>
      <c r="B861" t="s">
        <v>1620</v>
      </c>
      <c r="C861" s="4">
        <v>44960</v>
      </c>
      <c r="D861">
        <v>326579.23</v>
      </c>
      <c r="E861" t="s">
        <v>19</v>
      </c>
      <c r="F861" t="s">
        <v>11</v>
      </c>
      <c r="G861" t="s">
        <v>12</v>
      </c>
      <c r="H861">
        <v>2</v>
      </c>
    </row>
    <row r="862" spans="1:8" x14ac:dyDescent="0.3">
      <c r="A862" t="s">
        <v>1621</v>
      </c>
      <c r="B862" t="s">
        <v>1622</v>
      </c>
      <c r="C862" s="4">
        <v>44703</v>
      </c>
      <c r="D862">
        <v>303270.61</v>
      </c>
      <c r="E862" t="s">
        <v>15</v>
      </c>
      <c r="F862" t="s">
        <v>11</v>
      </c>
      <c r="G862" t="s">
        <v>12</v>
      </c>
      <c r="H862">
        <v>39</v>
      </c>
    </row>
    <row r="863" spans="1:8" x14ac:dyDescent="0.3">
      <c r="A863" t="s">
        <v>1623</v>
      </c>
      <c r="B863" t="s">
        <v>1624</v>
      </c>
      <c r="C863" s="4">
        <v>45489</v>
      </c>
      <c r="D863">
        <v>267527.42</v>
      </c>
      <c r="E863" t="s">
        <v>15</v>
      </c>
      <c r="F863" t="s">
        <v>20</v>
      </c>
      <c r="G863" t="s">
        <v>12</v>
      </c>
      <c r="H863">
        <v>50</v>
      </c>
    </row>
    <row r="864" spans="1:8" x14ac:dyDescent="0.3">
      <c r="A864" t="s">
        <v>1625</v>
      </c>
      <c r="B864" t="s">
        <v>1626</v>
      </c>
      <c r="C864" s="4">
        <v>44881</v>
      </c>
      <c r="D864">
        <v>10473.36</v>
      </c>
      <c r="E864" t="s">
        <v>10</v>
      </c>
      <c r="F864" t="s">
        <v>11</v>
      </c>
      <c r="G864" t="s">
        <v>24</v>
      </c>
      <c r="H864">
        <v>53</v>
      </c>
    </row>
    <row r="865" spans="1:8" x14ac:dyDescent="0.3">
      <c r="A865" t="s">
        <v>1627</v>
      </c>
      <c r="B865" t="s">
        <v>1628</v>
      </c>
      <c r="C865" s="4">
        <v>44906</v>
      </c>
      <c r="D865">
        <v>465418.81</v>
      </c>
      <c r="E865" t="s">
        <v>10</v>
      </c>
      <c r="F865" t="s">
        <v>34</v>
      </c>
      <c r="G865" t="s">
        <v>12</v>
      </c>
      <c r="H865">
        <v>15</v>
      </c>
    </row>
    <row r="866" spans="1:8" x14ac:dyDescent="0.3">
      <c r="A866" t="s">
        <v>1629</v>
      </c>
      <c r="B866" t="s">
        <v>1630</v>
      </c>
      <c r="C866" s="4">
        <v>45173</v>
      </c>
      <c r="D866">
        <v>467510.34</v>
      </c>
      <c r="E866" t="s">
        <v>19</v>
      </c>
      <c r="F866" t="s">
        <v>16</v>
      </c>
      <c r="G866" t="s">
        <v>12</v>
      </c>
      <c r="H866">
        <v>32</v>
      </c>
    </row>
    <row r="867" spans="1:8" x14ac:dyDescent="0.3">
      <c r="A867" t="s">
        <v>1631</v>
      </c>
      <c r="B867" t="s">
        <v>1632</v>
      </c>
      <c r="C867" s="4">
        <v>45382</v>
      </c>
      <c r="D867">
        <v>315790.74</v>
      </c>
      <c r="E867" t="s">
        <v>10</v>
      </c>
      <c r="F867" t="s">
        <v>16</v>
      </c>
      <c r="G867" t="s">
        <v>12</v>
      </c>
      <c r="H867">
        <v>38</v>
      </c>
    </row>
    <row r="868" spans="1:8" x14ac:dyDescent="0.3">
      <c r="A868" t="s">
        <v>1633</v>
      </c>
      <c r="B868" t="s">
        <v>792</v>
      </c>
      <c r="C868" s="4">
        <v>44307</v>
      </c>
      <c r="D868">
        <v>121358.55</v>
      </c>
      <c r="E868" t="s">
        <v>15</v>
      </c>
      <c r="F868" t="s">
        <v>16</v>
      </c>
      <c r="G868" t="s">
        <v>12</v>
      </c>
      <c r="H868">
        <v>49</v>
      </c>
    </row>
    <row r="869" spans="1:8" x14ac:dyDescent="0.3">
      <c r="A869" t="s">
        <v>1634</v>
      </c>
      <c r="B869" t="s">
        <v>1635</v>
      </c>
      <c r="C869" s="4">
        <v>44914</v>
      </c>
      <c r="D869">
        <v>401912.99</v>
      </c>
      <c r="E869" t="s">
        <v>10</v>
      </c>
      <c r="F869" t="s">
        <v>11</v>
      </c>
      <c r="G869" t="s">
        <v>12</v>
      </c>
      <c r="H869">
        <v>19</v>
      </c>
    </row>
    <row r="870" spans="1:8" x14ac:dyDescent="0.3">
      <c r="A870" t="s">
        <v>1636</v>
      </c>
      <c r="B870" t="s">
        <v>1637</v>
      </c>
      <c r="C870" s="4">
        <v>45213</v>
      </c>
      <c r="D870">
        <v>186979.35</v>
      </c>
      <c r="E870" t="s">
        <v>15</v>
      </c>
      <c r="F870" t="s">
        <v>34</v>
      </c>
      <c r="G870" t="s">
        <v>12</v>
      </c>
      <c r="H870">
        <v>6</v>
      </c>
    </row>
    <row r="871" spans="1:8" x14ac:dyDescent="0.3">
      <c r="A871" t="s">
        <v>1638</v>
      </c>
      <c r="B871" t="s">
        <v>1639</v>
      </c>
      <c r="C871" s="4">
        <v>45536</v>
      </c>
      <c r="D871">
        <v>301209.59999999998</v>
      </c>
      <c r="E871" t="s">
        <v>19</v>
      </c>
      <c r="F871" t="s">
        <v>20</v>
      </c>
      <c r="G871" t="s">
        <v>12</v>
      </c>
      <c r="H871">
        <v>10</v>
      </c>
    </row>
    <row r="872" spans="1:8" x14ac:dyDescent="0.3">
      <c r="A872" t="s">
        <v>1640</v>
      </c>
      <c r="B872" t="s">
        <v>1641</v>
      </c>
      <c r="C872" s="4">
        <v>45342</v>
      </c>
      <c r="D872">
        <v>267582.53999999998</v>
      </c>
      <c r="E872" t="s">
        <v>19</v>
      </c>
      <c r="F872" t="s">
        <v>34</v>
      </c>
      <c r="G872" t="s">
        <v>12</v>
      </c>
      <c r="H872">
        <v>22</v>
      </c>
    </row>
    <row r="873" spans="1:8" x14ac:dyDescent="0.3">
      <c r="A873" t="s">
        <v>1642</v>
      </c>
      <c r="B873" t="s">
        <v>1643</v>
      </c>
      <c r="C873" s="4">
        <v>45512</v>
      </c>
      <c r="D873">
        <v>169464.35</v>
      </c>
      <c r="E873" t="s">
        <v>10</v>
      </c>
      <c r="F873" t="s">
        <v>16</v>
      </c>
      <c r="G873" t="s">
        <v>24</v>
      </c>
      <c r="H873">
        <v>6</v>
      </c>
    </row>
    <row r="874" spans="1:8" x14ac:dyDescent="0.3">
      <c r="A874" t="s">
        <v>1644</v>
      </c>
      <c r="B874" t="s">
        <v>250</v>
      </c>
      <c r="C874" s="4">
        <v>45456</v>
      </c>
      <c r="D874">
        <v>449358.59</v>
      </c>
      <c r="E874" t="s">
        <v>10</v>
      </c>
      <c r="F874" t="s">
        <v>11</v>
      </c>
      <c r="G874" t="s">
        <v>12</v>
      </c>
      <c r="H874">
        <v>22</v>
      </c>
    </row>
    <row r="875" spans="1:8" x14ac:dyDescent="0.3">
      <c r="A875" t="s">
        <v>1645</v>
      </c>
      <c r="B875" t="s">
        <v>1646</v>
      </c>
      <c r="C875" s="4">
        <v>44919</v>
      </c>
      <c r="D875">
        <v>289482.56</v>
      </c>
      <c r="E875" t="s">
        <v>10</v>
      </c>
      <c r="F875" t="s">
        <v>16</v>
      </c>
      <c r="G875" t="s">
        <v>12</v>
      </c>
      <c r="H875">
        <v>35</v>
      </c>
    </row>
    <row r="876" spans="1:8" x14ac:dyDescent="0.3">
      <c r="A876" t="s">
        <v>1647</v>
      </c>
      <c r="B876" t="s">
        <v>626</v>
      </c>
      <c r="C876" s="4">
        <v>45349</v>
      </c>
      <c r="D876">
        <v>118778.14</v>
      </c>
      <c r="E876" t="s">
        <v>15</v>
      </c>
      <c r="F876" t="s">
        <v>34</v>
      </c>
      <c r="G876" t="s">
        <v>24</v>
      </c>
      <c r="H876">
        <v>44</v>
      </c>
    </row>
    <row r="877" spans="1:8" x14ac:dyDescent="0.3">
      <c r="A877" t="s">
        <v>1648</v>
      </c>
      <c r="B877" t="s">
        <v>1219</v>
      </c>
      <c r="C877" s="4">
        <v>44754</v>
      </c>
      <c r="D877">
        <v>131003.35</v>
      </c>
      <c r="E877" t="s">
        <v>15</v>
      </c>
      <c r="F877" t="s">
        <v>16</v>
      </c>
      <c r="G877" t="s">
        <v>12</v>
      </c>
      <c r="H877">
        <v>38</v>
      </c>
    </row>
    <row r="878" spans="1:8" x14ac:dyDescent="0.3">
      <c r="A878" t="s">
        <v>1649</v>
      </c>
      <c r="B878" t="s">
        <v>1650</v>
      </c>
      <c r="C878" s="4">
        <v>44777</v>
      </c>
      <c r="D878">
        <v>449503.95</v>
      </c>
      <c r="E878" t="s">
        <v>10</v>
      </c>
      <c r="F878" t="s">
        <v>16</v>
      </c>
      <c r="G878" t="s">
        <v>24</v>
      </c>
      <c r="H878">
        <v>45</v>
      </c>
    </row>
    <row r="879" spans="1:8" x14ac:dyDescent="0.3">
      <c r="A879" t="s">
        <v>1651</v>
      </c>
      <c r="B879" t="s">
        <v>1652</v>
      </c>
      <c r="C879" s="4">
        <v>45456</v>
      </c>
      <c r="D879">
        <v>205377.29</v>
      </c>
      <c r="E879" t="s">
        <v>15</v>
      </c>
      <c r="F879" t="s">
        <v>16</v>
      </c>
      <c r="G879" t="s">
        <v>24</v>
      </c>
      <c r="H879">
        <v>32</v>
      </c>
    </row>
    <row r="880" spans="1:8" x14ac:dyDescent="0.3">
      <c r="A880" t="s">
        <v>1653</v>
      </c>
      <c r="B880" t="s">
        <v>1654</v>
      </c>
      <c r="C880" s="4">
        <v>45745</v>
      </c>
      <c r="D880">
        <v>363991.44</v>
      </c>
      <c r="E880" t="s">
        <v>19</v>
      </c>
      <c r="F880" t="s">
        <v>11</v>
      </c>
      <c r="G880" t="s">
        <v>24</v>
      </c>
      <c r="H880">
        <v>48</v>
      </c>
    </row>
    <row r="881" spans="1:8" x14ac:dyDescent="0.3">
      <c r="A881" t="s">
        <v>1655</v>
      </c>
      <c r="B881" t="s">
        <v>1656</v>
      </c>
      <c r="C881" s="4">
        <v>44996</v>
      </c>
      <c r="D881">
        <v>141286.07999999999</v>
      </c>
      <c r="E881" t="s">
        <v>19</v>
      </c>
      <c r="F881" t="s">
        <v>11</v>
      </c>
      <c r="G881" t="s">
        <v>12</v>
      </c>
      <c r="H881">
        <v>45</v>
      </c>
    </row>
    <row r="882" spans="1:8" x14ac:dyDescent="0.3">
      <c r="A882" t="s">
        <v>1657</v>
      </c>
      <c r="B882" t="s">
        <v>1658</v>
      </c>
      <c r="C882" s="4">
        <v>45727</v>
      </c>
      <c r="D882">
        <v>438293.13</v>
      </c>
      <c r="E882" t="s">
        <v>19</v>
      </c>
      <c r="F882" t="s">
        <v>34</v>
      </c>
      <c r="G882" t="s">
        <v>24</v>
      </c>
      <c r="H882">
        <v>4</v>
      </c>
    </row>
    <row r="883" spans="1:8" x14ac:dyDescent="0.3">
      <c r="A883" t="s">
        <v>1659</v>
      </c>
      <c r="B883" t="s">
        <v>1660</v>
      </c>
      <c r="C883" s="4">
        <v>44627</v>
      </c>
      <c r="D883">
        <v>160249.46</v>
      </c>
      <c r="E883" t="s">
        <v>10</v>
      </c>
      <c r="F883" t="s">
        <v>16</v>
      </c>
      <c r="G883" t="s">
        <v>12</v>
      </c>
      <c r="H883">
        <v>13</v>
      </c>
    </row>
    <row r="884" spans="1:8" x14ac:dyDescent="0.3">
      <c r="A884" t="s">
        <v>1661</v>
      </c>
      <c r="B884" t="s">
        <v>1662</v>
      </c>
      <c r="C884" s="4">
        <v>45554</v>
      </c>
      <c r="D884">
        <v>30001.4</v>
      </c>
      <c r="E884" t="s">
        <v>10</v>
      </c>
      <c r="F884" t="s">
        <v>11</v>
      </c>
      <c r="G884" t="s">
        <v>12</v>
      </c>
      <c r="H884">
        <v>22</v>
      </c>
    </row>
    <row r="885" spans="1:8" x14ac:dyDescent="0.3">
      <c r="A885" t="s">
        <v>1663</v>
      </c>
      <c r="B885" t="s">
        <v>537</v>
      </c>
      <c r="C885" s="4">
        <v>45520</v>
      </c>
      <c r="D885">
        <v>268026.08</v>
      </c>
      <c r="E885" t="s">
        <v>10</v>
      </c>
      <c r="F885" t="s">
        <v>16</v>
      </c>
      <c r="G885" t="s">
        <v>24</v>
      </c>
      <c r="H885">
        <v>34</v>
      </c>
    </row>
    <row r="886" spans="1:8" x14ac:dyDescent="0.3">
      <c r="A886" t="s">
        <v>1664</v>
      </c>
      <c r="B886" t="s">
        <v>1665</v>
      </c>
      <c r="C886" s="4">
        <v>45670</v>
      </c>
      <c r="D886">
        <v>301755.32</v>
      </c>
      <c r="E886" t="s">
        <v>19</v>
      </c>
      <c r="F886" t="s">
        <v>11</v>
      </c>
      <c r="G886" t="s">
        <v>24</v>
      </c>
      <c r="H886">
        <v>54</v>
      </c>
    </row>
    <row r="887" spans="1:8" x14ac:dyDescent="0.3">
      <c r="A887" t="s">
        <v>1666</v>
      </c>
      <c r="B887" t="s">
        <v>1667</v>
      </c>
      <c r="C887" s="4">
        <v>45336</v>
      </c>
      <c r="D887">
        <v>289260.89</v>
      </c>
      <c r="E887" t="s">
        <v>10</v>
      </c>
      <c r="F887" t="s">
        <v>11</v>
      </c>
      <c r="G887" t="s">
        <v>24</v>
      </c>
      <c r="H887">
        <v>56</v>
      </c>
    </row>
    <row r="888" spans="1:8" x14ac:dyDescent="0.3">
      <c r="A888" t="s">
        <v>1668</v>
      </c>
      <c r="B888" t="s">
        <v>473</v>
      </c>
      <c r="C888" s="4">
        <v>45399</v>
      </c>
      <c r="D888">
        <v>74245.83</v>
      </c>
      <c r="E888" t="s">
        <v>10</v>
      </c>
      <c r="F888" t="s">
        <v>16</v>
      </c>
      <c r="G888" t="s">
        <v>24</v>
      </c>
      <c r="H888">
        <v>9</v>
      </c>
    </row>
    <row r="889" spans="1:8" x14ac:dyDescent="0.3">
      <c r="A889" t="s">
        <v>1669</v>
      </c>
      <c r="B889" t="s">
        <v>1670</v>
      </c>
      <c r="C889" s="4">
        <v>45013</v>
      </c>
      <c r="D889">
        <v>450675.9</v>
      </c>
      <c r="E889" t="s">
        <v>15</v>
      </c>
      <c r="F889" t="s">
        <v>23</v>
      </c>
      <c r="G889" t="s">
        <v>24</v>
      </c>
      <c r="H889">
        <v>39</v>
      </c>
    </row>
    <row r="890" spans="1:8" x14ac:dyDescent="0.3">
      <c r="A890" t="s">
        <v>1671</v>
      </c>
      <c r="B890" t="s">
        <v>1672</v>
      </c>
      <c r="C890" s="4">
        <v>45351</v>
      </c>
      <c r="D890">
        <v>383780.52</v>
      </c>
      <c r="E890" t="s">
        <v>10</v>
      </c>
      <c r="F890" t="s">
        <v>20</v>
      </c>
      <c r="G890" t="s">
        <v>24</v>
      </c>
      <c r="H890">
        <v>29</v>
      </c>
    </row>
    <row r="891" spans="1:8" x14ac:dyDescent="0.3">
      <c r="A891" t="s">
        <v>1673</v>
      </c>
      <c r="B891" t="s">
        <v>1674</v>
      </c>
      <c r="C891" s="4">
        <v>45302</v>
      </c>
      <c r="D891">
        <v>321808.40999999997</v>
      </c>
      <c r="E891" t="s">
        <v>10</v>
      </c>
      <c r="F891" t="s">
        <v>11</v>
      </c>
      <c r="G891" t="s">
        <v>24</v>
      </c>
      <c r="H891">
        <v>31</v>
      </c>
    </row>
    <row r="892" spans="1:8" x14ac:dyDescent="0.3">
      <c r="A892" t="s">
        <v>1675</v>
      </c>
      <c r="B892" t="s">
        <v>1676</v>
      </c>
      <c r="C892" s="4">
        <v>44976</v>
      </c>
      <c r="D892">
        <v>340973.85</v>
      </c>
      <c r="E892" t="s">
        <v>19</v>
      </c>
      <c r="F892" t="s">
        <v>34</v>
      </c>
      <c r="G892" t="s">
        <v>24</v>
      </c>
      <c r="H892">
        <v>59</v>
      </c>
    </row>
    <row r="893" spans="1:8" x14ac:dyDescent="0.3">
      <c r="A893" t="s">
        <v>1677</v>
      </c>
      <c r="B893" t="s">
        <v>1678</v>
      </c>
      <c r="C893" s="4">
        <v>45280</v>
      </c>
      <c r="D893">
        <v>262674.95</v>
      </c>
      <c r="E893" t="s">
        <v>10</v>
      </c>
      <c r="F893" t="s">
        <v>20</v>
      </c>
      <c r="G893" t="s">
        <v>12</v>
      </c>
      <c r="H893">
        <v>59</v>
      </c>
    </row>
    <row r="894" spans="1:8" x14ac:dyDescent="0.3">
      <c r="A894" t="s">
        <v>1679</v>
      </c>
      <c r="B894" t="s">
        <v>1680</v>
      </c>
      <c r="C894" s="4">
        <v>44991</v>
      </c>
      <c r="D894">
        <v>209903.85</v>
      </c>
      <c r="E894" t="s">
        <v>15</v>
      </c>
      <c r="F894" t="s">
        <v>34</v>
      </c>
      <c r="G894" t="s">
        <v>24</v>
      </c>
      <c r="H894">
        <v>25</v>
      </c>
    </row>
    <row r="895" spans="1:8" x14ac:dyDescent="0.3">
      <c r="A895" t="s">
        <v>1681</v>
      </c>
      <c r="B895" t="s">
        <v>1131</v>
      </c>
      <c r="C895" s="4">
        <v>45769</v>
      </c>
      <c r="D895">
        <v>327396.53000000003</v>
      </c>
      <c r="E895" t="s">
        <v>15</v>
      </c>
      <c r="F895" t="s">
        <v>11</v>
      </c>
      <c r="G895" t="s">
        <v>12</v>
      </c>
      <c r="H895">
        <v>38</v>
      </c>
    </row>
    <row r="896" spans="1:8" x14ac:dyDescent="0.3">
      <c r="A896" t="s">
        <v>1682</v>
      </c>
      <c r="B896" t="s">
        <v>1683</v>
      </c>
      <c r="C896" s="4">
        <v>45302</v>
      </c>
      <c r="D896">
        <v>64582.54</v>
      </c>
      <c r="E896" t="s">
        <v>15</v>
      </c>
      <c r="F896" t="s">
        <v>20</v>
      </c>
      <c r="G896" t="s">
        <v>12</v>
      </c>
      <c r="H896">
        <v>15</v>
      </c>
    </row>
    <row r="897" spans="1:8" x14ac:dyDescent="0.3">
      <c r="A897" t="s">
        <v>1684</v>
      </c>
      <c r="B897" t="s">
        <v>1685</v>
      </c>
      <c r="C897" s="4">
        <v>45075</v>
      </c>
      <c r="D897">
        <v>393695.15</v>
      </c>
      <c r="E897" t="s">
        <v>19</v>
      </c>
      <c r="F897" t="s">
        <v>16</v>
      </c>
      <c r="G897" t="s">
        <v>12</v>
      </c>
      <c r="H897">
        <v>14</v>
      </c>
    </row>
    <row r="898" spans="1:8" x14ac:dyDescent="0.3">
      <c r="A898" t="s">
        <v>1686</v>
      </c>
      <c r="B898" t="s">
        <v>1687</v>
      </c>
      <c r="C898" s="4">
        <v>45474</v>
      </c>
      <c r="D898">
        <v>186748.54</v>
      </c>
      <c r="E898" t="s">
        <v>19</v>
      </c>
      <c r="F898" t="s">
        <v>11</v>
      </c>
      <c r="G898" t="s">
        <v>12</v>
      </c>
      <c r="H898">
        <v>23</v>
      </c>
    </row>
    <row r="899" spans="1:8" x14ac:dyDescent="0.3">
      <c r="A899" t="s">
        <v>1688</v>
      </c>
      <c r="B899" t="s">
        <v>1689</v>
      </c>
      <c r="C899" s="4">
        <v>45702</v>
      </c>
      <c r="D899">
        <v>363479.77</v>
      </c>
      <c r="E899" t="s">
        <v>19</v>
      </c>
      <c r="F899" t="s">
        <v>16</v>
      </c>
      <c r="G899" t="s">
        <v>12</v>
      </c>
      <c r="H899">
        <v>35</v>
      </c>
    </row>
    <row r="900" spans="1:8" x14ac:dyDescent="0.3">
      <c r="A900" t="s">
        <v>1690</v>
      </c>
      <c r="B900" t="s">
        <v>568</v>
      </c>
      <c r="C900" s="4">
        <v>45012</v>
      </c>
      <c r="D900">
        <v>253270.13</v>
      </c>
      <c r="E900" t="s">
        <v>15</v>
      </c>
      <c r="F900" t="s">
        <v>23</v>
      </c>
      <c r="G900" t="s">
        <v>24</v>
      </c>
      <c r="H900">
        <v>13</v>
      </c>
    </row>
    <row r="901" spans="1:8" x14ac:dyDescent="0.3">
      <c r="A901" t="s">
        <v>1691</v>
      </c>
      <c r="B901" t="s">
        <v>248</v>
      </c>
      <c r="C901" s="4">
        <v>45301</v>
      </c>
      <c r="D901">
        <v>292835.25</v>
      </c>
      <c r="E901" t="s">
        <v>10</v>
      </c>
      <c r="F901" t="s">
        <v>20</v>
      </c>
      <c r="G901" t="s">
        <v>24</v>
      </c>
      <c r="H901">
        <v>32</v>
      </c>
    </row>
    <row r="902" spans="1:8" x14ac:dyDescent="0.3">
      <c r="A902" t="s">
        <v>1692</v>
      </c>
      <c r="B902" t="s">
        <v>1693</v>
      </c>
      <c r="C902" s="4">
        <v>45048</v>
      </c>
      <c r="D902">
        <v>17815.04</v>
      </c>
      <c r="E902" t="s">
        <v>15</v>
      </c>
      <c r="F902" t="s">
        <v>34</v>
      </c>
      <c r="G902" t="s">
        <v>12</v>
      </c>
      <c r="H902">
        <v>48</v>
      </c>
    </row>
    <row r="903" spans="1:8" x14ac:dyDescent="0.3">
      <c r="A903" t="s">
        <v>1694</v>
      </c>
      <c r="B903" t="s">
        <v>1695</v>
      </c>
      <c r="C903" s="4">
        <v>44981</v>
      </c>
      <c r="D903">
        <v>452720.43</v>
      </c>
      <c r="E903" t="s">
        <v>19</v>
      </c>
      <c r="F903" t="s">
        <v>16</v>
      </c>
      <c r="G903" t="s">
        <v>24</v>
      </c>
      <c r="H903">
        <v>51</v>
      </c>
    </row>
    <row r="904" spans="1:8" x14ac:dyDescent="0.3">
      <c r="A904" t="s">
        <v>1696</v>
      </c>
      <c r="B904" t="s">
        <v>1697</v>
      </c>
      <c r="C904" s="4">
        <v>45102</v>
      </c>
      <c r="D904">
        <v>490352.67</v>
      </c>
      <c r="E904" t="s">
        <v>15</v>
      </c>
      <c r="F904" t="s">
        <v>23</v>
      </c>
      <c r="G904" t="s">
        <v>24</v>
      </c>
      <c r="H904">
        <v>46</v>
      </c>
    </row>
    <row r="905" spans="1:8" x14ac:dyDescent="0.3">
      <c r="A905" t="s">
        <v>1698</v>
      </c>
      <c r="B905" t="s">
        <v>1699</v>
      </c>
      <c r="C905" s="4">
        <v>45601</v>
      </c>
      <c r="D905">
        <v>376466.96</v>
      </c>
      <c r="E905" t="s">
        <v>10</v>
      </c>
      <c r="F905" t="s">
        <v>11</v>
      </c>
      <c r="G905" t="s">
        <v>24</v>
      </c>
      <c r="H905">
        <v>20</v>
      </c>
    </row>
    <row r="906" spans="1:8" x14ac:dyDescent="0.3">
      <c r="A906" t="s">
        <v>1700</v>
      </c>
      <c r="B906" t="s">
        <v>1701</v>
      </c>
      <c r="C906" s="4">
        <v>44975</v>
      </c>
      <c r="D906">
        <v>434878.95</v>
      </c>
      <c r="E906" t="s">
        <v>10</v>
      </c>
      <c r="F906" t="s">
        <v>16</v>
      </c>
      <c r="G906" t="s">
        <v>24</v>
      </c>
      <c r="H906">
        <v>13</v>
      </c>
    </row>
    <row r="907" spans="1:8" x14ac:dyDescent="0.3">
      <c r="A907" t="s">
        <v>1702</v>
      </c>
      <c r="B907" t="s">
        <v>439</v>
      </c>
      <c r="C907" s="4">
        <v>45625</v>
      </c>
      <c r="D907">
        <v>448286.88</v>
      </c>
      <c r="E907" t="s">
        <v>10</v>
      </c>
      <c r="F907" t="s">
        <v>34</v>
      </c>
      <c r="G907" t="s">
        <v>24</v>
      </c>
      <c r="H907">
        <v>26</v>
      </c>
    </row>
    <row r="908" spans="1:8" x14ac:dyDescent="0.3">
      <c r="A908" t="s">
        <v>1703</v>
      </c>
      <c r="B908" t="s">
        <v>1268</v>
      </c>
      <c r="C908" s="4">
        <v>45572</v>
      </c>
      <c r="D908">
        <v>51162.78</v>
      </c>
      <c r="E908" t="s">
        <v>10</v>
      </c>
      <c r="F908" t="s">
        <v>16</v>
      </c>
      <c r="G908" t="s">
        <v>24</v>
      </c>
      <c r="H908">
        <v>20</v>
      </c>
    </row>
    <row r="909" spans="1:8" x14ac:dyDescent="0.3">
      <c r="A909" t="s">
        <v>1704</v>
      </c>
      <c r="B909" t="s">
        <v>86</v>
      </c>
      <c r="C909" s="4">
        <v>45517</v>
      </c>
      <c r="D909">
        <v>281264.43</v>
      </c>
      <c r="E909" t="s">
        <v>19</v>
      </c>
      <c r="F909" t="s">
        <v>20</v>
      </c>
      <c r="G909" t="s">
        <v>24</v>
      </c>
      <c r="H909">
        <v>54</v>
      </c>
    </row>
    <row r="910" spans="1:8" x14ac:dyDescent="0.3">
      <c r="A910" t="s">
        <v>1705</v>
      </c>
      <c r="B910" t="s">
        <v>1706</v>
      </c>
      <c r="C910" s="4">
        <v>45527</v>
      </c>
      <c r="D910">
        <v>408506.72</v>
      </c>
      <c r="E910" t="s">
        <v>19</v>
      </c>
      <c r="F910" t="s">
        <v>11</v>
      </c>
      <c r="G910" t="s">
        <v>24</v>
      </c>
      <c r="H910">
        <v>36</v>
      </c>
    </row>
    <row r="911" spans="1:8" x14ac:dyDescent="0.3">
      <c r="A911" t="s">
        <v>1707</v>
      </c>
      <c r="B911" t="s">
        <v>1708</v>
      </c>
      <c r="C911" s="4">
        <v>44933</v>
      </c>
      <c r="D911">
        <v>467078.24</v>
      </c>
      <c r="E911" t="s">
        <v>15</v>
      </c>
      <c r="F911" t="s">
        <v>20</v>
      </c>
      <c r="G911" t="s">
        <v>24</v>
      </c>
      <c r="H911">
        <v>12</v>
      </c>
    </row>
    <row r="912" spans="1:8" x14ac:dyDescent="0.3">
      <c r="A912" t="s">
        <v>1709</v>
      </c>
      <c r="B912" t="s">
        <v>1710</v>
      </c>
      <c r="C912" s="4">
        <v>44077</v>
      </c>
      <c r="D912">
        <v>256785.91</v>
      </c>
      <c r="E912" t="s">
        <v>15</v>
      </c>
      <c r="F912" t="s">
        <v>16</v>
      </c>
      <c r="G912" t="s">
        <v>12</v>
      </c>
      <c r="H912">
        <v>33</v>
      </c>
    </row>
    <row r="913" spans="1:8" x14ac:dyDescent="0.3">
      <c r="A913" t="s">
        <v>1711</v>
      </c>
      <c r="B913" t="s">
        <v>487</v>
      </c>
      <c r="C913" s="4">
        <v>44468</v>
      </c>
      <c r="D913">
        <v>69511.55</v>
      </c>
      <c r="E913" t="s">
        <v>15</v>
      </c>
      <c r="F913" t="s">
        <v>11</v>
      </c>
      <c r="G913" t="s">
        <v>24</v>
      </c>
      <c r="H913">
        <v>17</v>
      </c>
    </row>
    <row r="914" spans="1:8" x14ac:dyDescent="0.3">
      <c r="A914" t="s">
        <v>1712</v>
      </c>
      <c r="B914" t="s">
        <v>105</v>
      </c>
      <c r="C914" s="4">
        <v>45382</v>
      </c>
      <c r="D914">
        <v>14203.35</v>
      </c>
      <c r="E914" t="s">
        <v>15</v>
      </c>
      <c r="F914" t="s">
        <v>16</v>
      </c>
      <c r="G914" t="s">
        <v>12</v>
      </c>
      <c r="H914">
        <v>48</v>
      </c>
    </row>
    <row r="915" spans="1:8" x14ac:dyDescent="0.3">
      <c r="A915" t="s">
        <v>1713</v>
      </c>
      <c r="B915" t="s">
        <v>1714</v>
      </c>
      <c r="C915" s="4">
        <v>45011</v>
      </c>
      <c r="D915">
        <v>70028.34</v>
      </c>
      <c r="E915" t="s">
        <v>19</v>
      </c>
      <c r="F915" t="s">
        <v>16</v>
      </c>
      <c r="G915" t="s">
        <v>24</v>
      </c>
      <c r="H915">
        <v>46</v>
      </c>
    </row>
    <row r="916" spans="1:8" x14ac:dyDescent="0.3">
      <c r="A916" t="s">
        <v>1715</v>
      </c>
      <c r="B916" t="s">
        <v>1716</v>
      </c>
      <c r="C916" s="4">
        <v>44688</v>
      </c>
      <c r="D916">
        <v>294902.53999999998</v>
      </c>
      <c r="E916" t="s">
        <v>10</v>
      </c>
      <c r="F916" t="s">
        <v>16</v>
      </c>
      <c r="G916" t="s">
        <v>24</v>
      </c>
      <c r="H916">
        <v>47</v>
      </c>
    </row>
    <row r="917" spans="1:8" x14ac:dyDescent="0.3">
      <c r="A917" t="s">
        <v>1717</v>
      </c>
      <c r="B917" t="s">
        <v>1718</v>
      </c>
      <c r="C917" s="4">
        <v>44129</v>
      </c>
      <c r="D917">
        <v>442524.66</v>
      </c>
      <c r="E917" t="s">
        <v>15</v>
      </c>
      <c r="F917" t="s">
        <v>16</v>
      </c>
      <c r="G917" t="s">
        <v>12</v>
      </c>
      <c r="H917">
        <v>58</v>
      </c>
    </row>
    <row r="918" spans="1:8" x14ac:dyDescent="0.3">
      <c r="A918" t="s">
        <v>1719</v>
      </c>
      <c r="B918" t="s">
        <v>1720</v>
      </c>
      <c r="C918" s="4">
        <v>44591</v>
      </c>
      <c r="D918">
        <v>62621.23</v>
      </c>
      <c r="E918" t="s">
        <v>10</v>
      </c>
      <c r="F918" t="s">
        <v>34</v>
      </c>
      <c r="G918" t="s">
        <v>24</v>
      </c>
      <c r="H918">
        <v>58</v>
      </c>
    </row>
    <row r="919" spans="1:8" x14ac:dyDescent="0.3">
      <c r="A919" t="s">
        <v>1721</v>
      </c>
      <c r="B919" t="s">
        <v>1722</v>
      </c>
      <c r="C919" s="4">
        <v>45010</v>
      </c>
      <c r="D919">
        <v>33165.300000000003</v>
      </c>
      <c r="E919" t="s">
        <v>15</v>
      </c>
      <c r="F919" t="s">
        <v>23</v>
      </c>
      <c r="G919" t="s">
        <v>12</v>
      </c>
      <c r="H919">
        <v>33</v>
      </c>
    </row>
    <row r="920" spans="1:8" x14ac:dyDescent="0.3">
      <c r="A920" t="s">
        <v>1723</v>
      </c>
      <c r="B920" t="s">
        <v>1724</v>
      </c>
      <c r="C920" s="4">
        <v>44594</v>
      </c>
      <c r="D920">
        <v>448583.61</v>
      </c>
      <c r="E920" t="s">
        <v>10</v>
      </c>
      <c r="F920" t="s">
        <v>23</v>
      </c>
      <c r="G920" t="s">
        <v>12</v>
      </c>
      <c r="H920">
        <v>37</v>
      </c>
    </row>
    <row r="921" spans="1:8" x14ac:dyDescent="0.3">
      <c r="A921" t="s">
        <v>1725</v>
      </c>
      <c r="B921" t="s">
        <v>1726</v>
      </c>
      <c r="C921" s="4">
        <v>45777</v>
      </c>
      <c r="D921">
        <v>145481.57</v>
      </c>
      <c r="E921" t="s">
        <v>19</v>
      </c>
      <c r="F921" t="s">
        <v>20</v>
      </c>
      <c r="G921" t="s">
        <v>24</v>
      </c>
      <c r="H921">
        <v>46</v>
      </c>
    </row>
    <row r="922" spans="1:8" x14ac:dyDescent="0.3">
      <c r="A922" t="s">
        <v>1727</v>
      </c>
      <c r="B922" t="s">
        <v>1728</v>
      </c>
      <c r="C922" s="4">
        <v>45373</v>
      </c>
      <c r="D922">
        <v>186593.2</v>
      </c>
      <c r="E922" t="s">
        <v>15</v>
      </c>
      <c r="F922" t="s">
        <v>20</v>
      </c>
      <c r="G922" t="s">
        <v>24</v>
      </c>
      <c r="H922">
        <v>10</v>
      </c>
    </row>
    <row r="923" spans="1:8" x14ac:dyDescent="0.3">
      <c r="A923" t="s">
        <v>1729</v>
      </c>
      <c r="B923" t="s">
        <v>1185</v>
      </c>
      <c r="C923" s="4">
        <v>45432</v>
      </c>
      <c r="D923">
        <v>427754.36</v>
      </c>
      <c r="E923" t="s">
        <v>19</v>
      </c>
      <c r="F923" t="s">
        <v>20</v>
      </c>
      <c r="G923" t="s">
        <v>12</v>
      </c>
      <c r="H923">
        <v>5</v>
      </c>
    </row>
    <row r="924" spans="1:8" x14ac:dyDescent="0.3">
      <c r="A924" t="s">
        <v>1730</v>
      </c>
      <c r="B924" t="s">
        <v>1595</v>
      </c>
      <c r="C924" s="4">
        <v>45645</v>
      </c>
      <c r="D924">
        <v>98635.43</v>
      </c>
      <c r="E924" t="s">
        <v>19</v>
      </c>
      <c r="F924" t="s">
        <v>20</v>
      </c>
      <c r="G924" t="s">
        <v>24</v>
      </c>
      <c r="H924">
        <v>4</v>
      </c>
    </row>
    <row r="925" spans="1:8" x14ac:dyDescent="0.3">
      <c r="A925" t="s">
        <v>1731</v>
      </c>
      <c r="B925" t="s">
        <v>1732</v>
      </c>
      <c r="C925" s="4">
        <v>45579</v>
      </c>
      <c r="D925">
        <v>173955.71</v>
      </c>
      <c r="E925" t="s">
        <v>15</v>
      </c>
      <c r="F925" t="s">
        <v>16</v>
      </c>
      <c r="G925" t="s">
        <v>12</v>
      </c>
      <c r="H925">
        <v>6</v>
      </c>
    </row>
    <row r="926" spans="1:8" x14ac:dyDescent="0.3">
      <c r="A926" t="s">
        <v>1733</v>
      </c>
      <c r="B926" t="s">
        <v>1734</v>
      </c>
      <c r="C926" s="4">
        <v>45298</v>
      </c>
      <c r="D926">
        <v>102260.26</v>
      </c>
      <c r="E926" t="s">
        <v>15</v>
      </c>
      <c r="F926" t="s">
        <v>34</v>
      </c>
      <c r="G926" t="s">
        <v>24</v>
      </c>
      <c r="H926">
        <v>25</v>
      </c>
    </row>
    <row r="927" spans="1:8" x14ac:dyDescent="0.3">
      <c r="A927" t="s">
        <v>1735</v>
      </c>
      <c r="B927" t="s">
        <v>1736</v>
      </c>
      <c r="C927" s="4">
        <v>45179</v>
      </c>
      <c r="D927">
        <v>219703.71</v>
      </c>
      <c r="E927" t="s">
        <v>10</v>
      </c>
      <c r="F927" t="s">
        <v>11</v>
      </c>
      <c r="G927" t="s">
        <v>24</v>
      </c>
      <c r="H927">
        <v>58</v>
      </c>
    </row>
    <row r="928" spans="1:8" x14ac:dyDescent="0.3">
      <c r="A928" t="s">
        <v>1737</v>
      </c>
      <c r="B928" t="s">
        <v>963</v>
      </c>
      <c r="C928" s="4">
        <v>45416</v>
      </c>
      <c r="D928">
        <v>489698.88</v>
      </c>
      <c r="E928" t="s">
        <v>10</v>
      </c>
      <c r="F928" t="s">
        <v>11</v>
      </c>
      <c r="G928" t="s">
        <v>24</v>
      </c>
      <c r="H928">
        <v>56</v>
      </c>
    </row>
    <row r="929" spans="1:8" x14ac:dyDescent="0.3">
      <c r="A929" t="s">
        <v>1738</v>
      </c>
      <c r="B929" t="s">
        <v>1739</v>
      </c>
      <c r="C929" s="4">
        <v>45041</v>
      </c>
      <c r="D929">
        <v>316779.75</v>
      </c>
      <c r="E929" t="s">
        <v>15</v>
      </c>
      <c r="F929" t="s">
        <v>20</v>
      </c>
      <c r="G929" t="s">
        <v>24</v>
      </c>
      <c r="H929">
        <v>26</v>
      </c>
    </row>
    <row r="930" spans="1:8" x14ac:dyDescent="0.3">
      <c r="A930" t="s">
        <v>1740</v>
      </c>
      <c r="B930" t="s">
        <v>1741</v>
      </c>
      <c r="C930" s="4">
        <v>45160</v>
      </c>
      <c r="D930">
        <v>281457.71000000002</v>
      </c>
      <c r="E930" t="s">
        <v>10</v>
      </c>
      <c r="F930" t="s">
        <v>20</v>
      </c>
      <c r="G930" t="s">
        <v>12</v>
      </c>
      <c r="H930">
        <v>31</v>
      </c>
    </row>
    <row r="931" spans="1:8" x14ac:dyDescent="0.3">
      <c r="A931" t="s">
        <v>1742</v>
      </c>
      <c r="B931" t="s">
        <v>1743</v>
      </c>
      <c r="C931" s="4">
        <v>45677</v>
      </c>
      <c r="D931">
        <v>122199.35</v>
      </c>
      <c r="E931" t="s">
        <v>15</v>
      </c>
      <c r="F931" t="s">
        <v>23</v>
      </c>
      <c r="G931" t="s">
        <v>12</v>
      </c>
      <c r="H931">
        <v>2</v>
      </c>
    </row>
    <row r="932" spans="1:8" x14ac:dyDescent="0.3">
      <c r="A932" t="s">
        <v>1744</v>
      </c>
      <c r="B932" t="s">
        <v>1745</v>
      </c>
      <c r="C932" s="4">
        <v>44672</v>
      </c>
      <c r="D932">
        <v>310127.23</v>
      </c>
      <c r="E932" t="s">
        <v>19</v>
      </c>
      <c r="F932" t="s">
        <v>20</v>
      </c>
      <c r="G932" t="s">
        <v>12</v>
      </c>
      <c r="H932">
        <v>59</v>
      </c>
    </row>
    <row r="933" spans="1:8" x14ac:dyDescent="0.3">
      <c r="A933" t="s">
        <v>1746</v>
      </c>
      <c r="B933" t="s">
        <v>1747</v>
      </c>
      <c r="C933" s="4">
        <v>44836</v>
      </c>
      <c r="D933">
        <v>81678.789999999994</v>
      </c>
      <c r="E933" t="s">
        <v>10</v>
      </c>
      <c r="F933" t="s">
        <v>23</v>
      </c>
      <c r="G933" t="s">
        <v>12</v>
      </c>
      <c r="H933">
        <v>30</v>
      </c>
    </row>
    <row r="934" spans="1:8" x14ac:dyDescent="0.3">
      <c r="A934" t="s">
        <v>1748</v>
      </c>
      <c r="B934" t="s">
        <v>1749</v>
      </c>
      <c r="C934" s="4">
        <v>45091</v>
      </c>
      <c r="D934">
        <v>324333.51</v>
      </c>
      <c r="E934" t="s">
        <v>10</v>
      </c>
      <c r="F934" t="s">
        <v>34</v>
      </c>
      <c r="G934" t="s">
        <v>24</v>
      </c>
      <c r="H934">
        <v>47</v>
      </c>
    </row>
    <row r="935" spans="1:8" x14ac:dyDescent="0.3">
      <c r="A935" t="s">
        <v>1750</v>
      </c>
      <c r="B935" t="s">
        <v>1751</v>
      </c>
      <c r="C935" s="4">
        <v>45426</v>
      </c>
      <c r="D935">
        <v>230398.73</v>
      </c>
      <c r="E935" t="s">
        <v>10</v>
      </c>
      <c r="F935" t="s">
        <v>16</v>
      </c>
      <c r="G935" t="s">
        <v>12</v>
      </c>
      <c r="H935">
        <v>24</v>
      </c>
    </row>
    <row r="936" spans="1:8" x14ac:dyDescent="0.3">
      <c r="A936" t="s">
        <v>1752</v>
      </c>
      <c r="B936" t="s">
        <v>1753</v>
      </c>
      <c r="C936" s="4">
        <v>45319</v>
      </c>
      <c r="D936">
        <v>25511.98</v>
      </c>
      <c r="E936" t="s">
        <v>15</v>
      </c>
      <c r="F936" t="s">
        <v>11</v>
      </c>
      <c r="G936" t="s">
        <v>24</v>
      </c>
      <c r="H936">
        <v>4</v>
      </c>
    </row>
    <row r="937" spans="1:8" x14ac:dyDescent="0.3">
      <c r="A937" t="s">
        <v>1754</v>
      </c>
      <c r="B937" t="s">
        <v>796</v>
      </c>
      <c r="C937" s="4">
        <v>45050</v>
      </c>
      <c r="D937">
        <v>24262.07</v>
      </c>
      <c r="E937" t="s">
        <v>15</v>
      </c>
      <c r="F937" t="s">
        <v>23</v>
      </c>
      <c r="G937" t="s">
        <v>12</v>
      </c>
      <c r="H937">
        <v>30</v>
      </c>
    </row>
    <row r="938" spans="1:8" x14ac:dyDescent="0.3">
      <c r="A938" t="s">
        <v>1755</v>
      </c>
      <c r="B938" t="s">
        <v>449</v>
      </c>
      <c r="C938" s="4">
        <v>45453</v>
      </c>
      <c r="D938">
        <v>438552.96</v>
      </c>
      <c r="E938" t="s">
        <v>15</v>
      </c>
      <c r="F938" t="s">
        <v>23</v>
      </c>
      <c r="G938" t="s">
        <v>12</v>
      </c>
      <c r="H938">
        <v>49</v>
      </c>
    </row>
    <row r="939" spans="1:8" x14ac:dyDescent="0.3">
      <c r="A939" t="s">
        <v>1756</v>
      </c>
      <c r="B939" t="s">
        <v>1757</v>
      </c>
      <c r="C939" s="4">
        <v>45529</v>
      </c>
      <c r="D939">
        <v>403571.91</v>
      </c>
      <c r="E939" t="s">
        <v>10</v>
      </c>
      <c r="F939" t="s">
        <v>16</v>
      </c>
      <c r="G939" t="s">
        <v>12</v>
      </c>
      <c r="H939">
        <v>30</v>
      </c>
    </row>
    <row r="940" spans="1:8" x14ac:dyDescent="0.3">
      <c r="A940" t="s">
        <v>1758</v>
      </c>
      <c r="B940" t="s">
        <v>1157</v>
      </c>
      <c r="C940" s="4">
        <v>45209</v>
      </c>
      <c r="D940">
        <v>222606.71</v>
      </c>
      <c r="E940" t="s">
        <v>19</v>
      </c>
      <c r="F940" t="s">
        <v>16</v>
      </c>
      <c r="G940" t="s">
        <v>12</v>
      </c>
      <c r="H940">
        <v>10</v>
      </c>
    </row>
    <row r="941" spans="1:8" x14ac:dyDescent="0.3">
      <c r="A941" t="s">
        <v>1759</v>
      </c>
      <c r="B941" t="s">
        <v>1534</v>
      </c>
      <c r="C941" s="4">
        <v>45489</v>
      </c>
      <c r="D941">
        <v>51886.1</v>
      </c>
      <c r="E941" t="s">
        <v>10</v>
      </c>
      <c r="F941" t="s">
        <v>11</v>
      </c>
      <c r="G941" t="s">
        <v>24</v>
      </c>
      <c r="H941">
        <v>26</v>
      </c>
    </row>
    <row r="942" spans="1:8" x14ac:dyDescent="0.3">
      <c r="A942" t="s">
        <v>1760</v>
      </c>
      <c r="B942" t="s">
        <v>906</v>
      </c>
      <c r="C942" s="4">
        <v>45517</v>
      </c>
      <c r="D942">
        <v>444858.46</v>
      </c>
      <c r="E942" t="s">
        <v>15</v>
      </c>
      <c r="F942" t="s">
        <v>20</v>
      </c>
      <c r="G942" t="s">
        <v>24</v>
      </c>
      <c r="H942">
        <v>4</v>
      </c>
    </row>
    <row r="943" spans="1:8" x14ac:dyDescent="0.3">
      <c r="A943" t="s">
        <v>1761</v>
      </c>
      <c r="B943" t="s">
        <v>1762</v>
      </c>
      <c r="C943" s="4">
        <v>45447</v>
      </c>
      <c r="D943">
        <v>227970.96</v>
      </c>
      <c r="E943" t="s">
        <v>15</v>
      </c>
      <c r="F943" t="s">
        <v>16</v>
      </c>
      <c r="G943" t="s">
        <v>24</v>
      </c>
      <c r="H943">
        <v>42</v>
      </c>
    </row>
    <row r="944" spans="1:8" x14ac:dyDescent="0.3">
      <c r="A944" t="s">
        <v>1763</v>
      </c>
      <c r="B944" t="s">
        <v>1764</v>
      </c>
      <c r="C944" s="4">
        <v>45575</v>
      </c>
      <c r="D944">
        <v>363971.77</v>
      </c>
      <c r="E944" t="s">
        <v>10</v>
      </c>
      <c r="F944" t="s">
        <v>23</v>
      </c>
      <c r="G944" t="s">
        <v>24</v>
      </c>
      <c r="H944">
        <v>43</v>
      </c>
    </row>
    <row r="945" spans="1:8" x14ac:dyDescent="0.3">
      <c r="A945" t="s">
        <v>1765</v>
      </c>
      <c r="B945" t="s">
        <v>1595</v>
      </c>
      <c r="C945" s="4">
        <v>45523</v>
      </c>
      <c r="D945">
        <v>392192.18</v>
      </c>
      <c r="E945" t="s">
        <v>19</v>
      </c>
      <c r="F945" t="s">
        <v>23</v>
      </c>
      <c r="G945" t="s">
        <v>24</v>
      </c>
      <c r="H945">
        <v>45</v>
      </c>
    </row>
    <row r="946" spans="1:8" x14ac:dyDescent="0.3">
      <c r="A946" t="s">
        <v>1766</v>
      </c>
      <c r="B946" t="s">
        <v>1767</v>
      </c>
      <c r="C946" s="4">
        <v>44671</v>
      </c>
      <c r="D946">
        <v>297341.03999999998</v>
      </c>
      <c r="E946" t="s">
        <v>10</v>
      </c>
      <c r="F946" t="s">
        <v>23</v>
      </c>
      <c r="G946" t="s">
        <v>12</v>
      </c>
      <c r="H946">
        <v>22</v>
      </c>
    </row>
    <row r="947" spans="1:8" x14ac:dyDescent="0.3">
      <c r="A947" t="s">
        <v>1768</v>
      </c>
      <c r="B947" t="s">
        <v>872</v>
      </c>
      <c r="C947" s="4">
        <v>45485</v>
      </c>
      <c r="D947">
        <v>466075.58</v>
      </c>
      <c r="E947" t="s">
        <v>15</v>
      </c>
      <c r="F947" t="s">
        <v>20</v>
      </c>
      <c r="G947" t="s">
        <v>24</v>
      </c>
      <c r="H947">
        <v>35</v>
      </c>
    </row>
    <row r="948" spans="1:8" x14ac:dyDescent="0.3">
      <c r="A948" t="s">
        <v>1769</v>
      </c>
      <c r="B948" t="s">
        <v>1420</v>
      </c>
      <c r="C948" s="4">
        <v>45308</v>
      </c>
      <c r="D948">
        <v>30454.61</v>
      </c>
      <c r="E948" t="s">
        <v>15</v>
      </c>
      <c r="F948" t="s">
        <v>16</v>
      </c>
      <c r="G948" t="s">
        <v>12</v>
      </c>
      <c r="H948">
        <v>56</v>
      </c>
    </row>
    <row r="949" spans="1:8" x14ac:dyDescent="0.3">
      <c r="A949" t="s">
        <v>1770</v>
      </c>
      <c r="B949" t="s">
        <v>1771</v>
      </c>
      <c r="C949" s="4">
        <v>44427</v>
      </c>
      <c r="D949">
        <v>256231.87</v>
      </c>
      <c r="E949" t="s">
        <v>15</v>
      </c>
      <c r="F949" t="s">
        <v>16</v>
      </c>
      <c r="G949" t="s">
        <v>24</v>
      </c>
      <c r="H949">
        <v>9</v>
      </c>
    </row>
    <row r="950" spans="1:8" x14ac:dyDescent="0.3">
      <c r="A950" t="s">
        <v>1772</v>
      </c>
      <c r="B950" t="s">
        <v>1773</v>
      </c>
      <c r="C950" s="4">
        <v>45081</v>
      </c>
      <c r="D950">
        <v>363104.83</v>
      </c>
      <c r="E950" t="s">
        <v>10</v>
      </c>
      <c r="F950" t="s">
        <v>34</v>
      </c>
      <c r="G950" t="s">
        <v>12</v>
      </c>
      <c r="H950">
        <v>36</v>
      </c>
    </row>
    <row r="951" spans="1:8" x14ac:dyDescent="0.3">
      <c r="A951" t="s">
        <v>1774</v>
      </c>
      <c r="B951" t="s">
        <v>196</v>
      </c>
      <c r="C951" s="4">
        <v>45636</v>
      </c>
      <c r="D951">
        <v>184621.55</v>
      </c>
      <c r="E951" t="s">
        <v>15</v>
      </c>
      <c r="F951" t="s">
        <v>34</v>
      </c>
      <c r="G951" t="s">
        <v>12</v>
      </c>
      <c r="H951">
        <v>15</v>
      </c>
    </row>
    <row r="952" spans="1:8" x14ac:dyDescent="0.3">
      <c r="A952" t="s">
        <v>1775</v>
      </c>
      <c r="B952" t="s">
        <v>1776</v>
      </c>
      <c r="C952" s="4">
        <v>44971</v>
      </c>
      <c r="D952">
        <v>99410.72</v>
      </c>
      <c r="E952" t="s">
        <v>19</v>
      </c>
      <c r="F952" t="s">
        <v>16</v>
      </c>
      <c r="G952" t="s">
        <v>24</v>
      </c>
      <c r="H952">
        <v>4</v>
      </c>
    </row>
    <row r="953" spans="1:8" x14ac:dyDescent="0.3">
      <c r="A953" t="s">
        <v>1777</v>
      </c>
      <c r="B953" t="s">
        <v>1778</v>
      </c>
      <c r="C953" s="4">
        <v>44772</v>
      </c>
      <c r="D953">
        <v>164023.38</v>
      </c>
      <c r="E953" t="s">
        <v>10</v>
      </c>
      <c r="F953" t="s">
        <v>16</v>
      </c>
      <c r="G953" t="s">
        <v>12</v>
      </c>
      <c r="H953">
        <v>18</v>
      </c>
    </row>
    <row r="954" spans="1:8" x14ac:dyDescent="0.3">
      <c r="A954" t="s">
        <v>1779</v>
      </c>
      <c r="B954" t="s">
        <v>1780</v>
      </c>
      <c r="C954" s="4">
        <v>45080</v>
      </c>
      <c r="D954">
        <v>65350.77</v>
      </c>
      <c r="E954" t="s">
        <v>15</v>
      </c>
      <c r="F954" t="s">
        <v>23</v>
      </c>
      <c r="G954" t="s">
        <v>12</v>
      </c>
      <c r="H954">
        <v>30</v>
      </c>
    </row>
    <row r="955" spans="1:8" x14ac:dyDescent="0.3">
      <c r="A955" t="s">
        <v>1781</v>
      </c>
      <c r="B955" t="s">
        <v>1069</v>
      </c>
      <c r="C955" s="4">
        <v>45566</v>
      </c>
      <c r="D955">
        <v>131376.03</v>
      </c>
      <c r="E955" t="s">
        <v>10</v>
      </c>
      <c r="F955" t="s">
        <v>11</v>
      </c>
      <c r="G955" t="s">
        <v>24</v>
      </c>
      <c r="H955">
        <v>55</v>
      </c>
    </row>
    <row r="956" spans="1:8" x14ac:dyDescent="0.3">
      <c r="A956" t="s">
        <v>1782</v>
      </c>
      <c r="B956" t="s">
        <v>1783</v>
      </c>
      <c r="C956" s="4">
        <v>45804</v>
      </c>
      <c r="D956">
        <v>107879.58</v>
      </c>
      <c r="E956" t="s">
        <v>10</v>
      </c>
      <c r="F956" t="s">
        <v>34</v>
      </c>
      <c r="G956" t="s">
        <v>24</v>
      </c>
      <c r="H956">
        <v>2</v>
      </c>
    </row>
    <row r="957" spans="1:8" x14ac:dyDescent="0.3">
      <c r="A957" t="s">
        <v>1784</v>
      </c>
      <c r="B957" t="s">
        <v>1785</v>
      </c>
      <c r="C957" s="4">
        <v>45147</v>
      </c>
      <c r="D957">
        <v>297394.61</v>
      </c>
      <c r="E957" t="s">
        <v>15</v>
      </c>
      <c r="F957" t="s">
        <v>11</v>
      </c>
      <c r="G957" t="s">
        <v>12</v>
      </c>
      <c r="H957">
        <v>23</v>
      </c>
    </row>
    <row r="958" spans="1:8" x14ac:dyDescent="0.3">
      <c r="A958" t="s">
        <v>1786</v>
      </c>
      <c r="B958" t="s">
        <v>1532</v>
      </c>
      <c r="C958" s="4">
        <v>44676</v>
      </c>
      <c r="D958">
        <v>55835.12</v>
      </c>
      <c r="E958" t="s">
        <v>10</v>
      </c>
      <c r="F958" t="s">
        <v>11</v>
      </c>
      <c r="G958" t="s">
        <v>12</v>
      </c>
      <c r="H958">
        <v>41</v>
      </c>
    </row>
    <row r="959" spans="1:8" x14ac:dyDescent="0.3">
      <c r="A959" t="s">
        <v>1787</v>
      </c>
      <c r="B959" t="s">
        <v>1788</v>
      </c>
      <c r="C959" s="4">
        <v>45052</v>
      </c>
      <c r="D959">
        <v>431221.21</v>
      </c>
      <c r="E959" t="s">
        <v>10</v>
      </c>
      <c r="F959" t="s">
        <v>16</v>
      </c>
      <c r="G959" t="s">
        <v>12</v>
      </c>
      <c r="H959">
        <v>10</v>
      </c>
    </row>
    <row r="960" spans="1:8" x14ac:dyDescent="0.3">
      <c r="A960" t="s">
        <v>1789</v>
      </c>
      <c r="B960" t="s">
        <v>1790</v>
      </c>
      <c r="C960" s="4">
        <v>45290</v>
      </c>
      <c r="D960">
        <v>217464.11</v>
      </c>
      <c r="E960" t="s">
        <v>10</v>
      </c>
      <c r="F960" t="s">
        <v>20</v>
      </c>
      <c r="G960" t="s">
        <v>24</v>
      </c>
      <c r="H960">
        <v>18</v>
      </c>
    </row>
    <row r="961" spans="1:8" x14ac:dyDescent="0.3">
      <c r="A961" t="s">
        <v>1791</v>
      </c>
      <c r="B961" t="s">
        <v>1587</v>
      </c>
      <c r="C961" s="4">
        <v>45672</v>
      </c>
      <c r="D961">
        <v>212266.47</v>
      </c>
      <c r="E961" t="s">
        <v>19</v>
      </c>
      <c r="F961" t="s">
        <v>23</v>
      </c>
      <c r="G961" t="s">
        <v>24</v>
      </c>
      <c r="H961">
        <v>35</v>
      </c>
    </row>
    <row r="962" spans="1:8" x14ac:dyDescent="0.3">
      <c r="A962" t="s">
        <v>1792</v>
      </c>
      <c r="B962" t="s">
        <v>1328</v>
      </c>
      <c r="C962" s="4">
        <v>45703</v>
      </c>
      <c r="D962">
        <v>242528.86</v>
      </c>
      <c r="E962" t="s">
        <v>15</v>
      </c>
      <c r="F962" t="s">
        <v>34</v>
      </c>
      <c r="G962" t="s">
        <v>12</v>
      </c>
      <c r="H962">
        <v>28</v>
      </c>
    </row>
    <row r="963" spans="1:8" x14ac:dyDescent="0.3">
      <c r="A963" t="s">
        <v>1793</v>
      </c>
      <c r="B963" t="s">
        <v>1794</v>
      </c>
      <c r="C963" s="4">
        <v>45403</v>
      </c>
      <c r="D963">
        <v>388062.71999999997</v>
      </c>
      <c r="E963" t="s">
        <v>15</v>
      </c>
      <c r="F963" t="s">
        <v>11</v>
      </c>
      <c r="G963" t="s">
        <v>12</v>
      </c>
      <c r="H963">
        <v>55</v>
      </c>
    </row>
    <row r="964" spans="1:8" x14ac:dyDescent="0.3">
      <c r="A964" t="s">
        <v>1795</v>
      </c>
      <c r="B964" t="s">
        <v>272</v>
      </c>
      <c r="C964" s="4">
        <v>45686</v>
      </c>
      <c r="D964">
        <v>313938.03999999998</v>
      </c>
      <c r="E964" t="s">
        <v>19</v>
      </c>
      <c r="F964" t="s">
        <v>34</v>
      </c>
      <c r="G964" t="s">
        <v>12</v>
      </c>
      <c r="H964">
        <v>40</v>
      </c>
    </row>
    <row r="965" spans="1:8" x14ac:dyDescent="0.3">
      <c r="A965" t="s">
        <v>1796</v>
      </c>
      <c r="B965" t="s">
        <v>1797</v>
      </c>
      <c r="C965" s="4">
        <v>44891</v>
      </c>
      <c r="D965">
        <v>107608.48</v>
      </c>
      <c r="E965" t="s">
        <v>19</v>
      </c>
      <c r="F965" t="s">
        <v>20</v>
      </c>
      <c r="G965" t="s">
        <v>24</v>
      </c>
      <c r="H965">
        <v>41</v>
      </c>
    </row>
    <row r="966" spans="1:8" x14ac:dyDescent="0.3">
      <c r="A966" t="s">
        <v>1798</v>
      </c>
      <c r="B966" t="s">
        <v>1799</v>
      </c>
      <c r="C966" s="4">
        <v>45623</v>
      </c>
      <c r="D966">
        <v>402575.37</v>
      </c>
      <c r="E966" t="s">
        <v>10</v>
      </c>
      <c r="F966" t="s">
        <v>23</v>
      </c>
      <c r="G966" t="s">
        <v>24</v>
      </c>
      <c r="H966">
        <v>54</v>
      </c>
    </row>
    <row r="967" spans="1:8" x14ac:dyDescent="0.3">
      <c r="A967" t="s">
        <v>1800</v>
      </c>
      <c r="B967" t="s">
        <v>1801</v>
      </c>
      <c r="C967" s="4">
        <v>44548</v>
      </c>
      <c r="D967">
        <v>65524.7</v>
      </c>
      <c r="E967" t="s">
        <v>19</v>
      </c>
      <c r="F967" t="s">
        <v>20</v>
      </c>
      <c r="G967" t="s">
        <v>24</v>
      </c>
      <c r="H967">
        <v>53</v>
      </c>
    </row>
    <row r="968" spans="1:8" x14ac:dyDescent="0.3">
      <c r="A968" t="s">
        <v>1802</v>
      </c>
      <c r="B968" t="s">
        <v>1803</v>
      </c>
      <c r="C968" s="4">
        <v>45449</v>
      </c>
      <c r="D968">
        <v>412472.95</v>
      </c>
      <c r="E968" t="s">
        <v>15</v>
      </c>
      <c r="F968" t="s">
        <v>20</v>
      </c>
      <c r="G968" t="s">
        <v>12</v>
      </c>
      <c r="H968">
        <v>43</v>
      </c>
    </row>
    <row r="969" spans="1:8" x14ac:dyDescent="0.3">
      <c r="A969" t="s">
        <v>1804</v>
      </c>
      <c r="B969" t="s">
        <v>342</v>
      </c>
      <c r="C969" s="4">
        <v>45010</v>
      </c>
      <c r="D969">
        <v>449406.42</v>
      </c>
      <c r="E969" t="s">
        <v>19</v>
      </c>
      <c r="F969" t="s">
        <v>16</v>
      </c>
      <c r="G969" t="s">
        <v>24</v>
      </c>
      <c r="H969">
        <v>5</v>
      </c>
    </row>
    <row r="970" spans="1:8" x14ac:dyDescent="0.3">
      <c r="A970" t="s">
        <v>1805</v>
      </c>
      <c r="B970" t="s">
        <v>1806</v>
      </c>
      <c r="C970" s="4">
        <v>45086</v>
      </c>
      <c r="D970">
        <v>346420.98</v>
      </c>
      <c r="E970" t="s">
        <v>10</v>
      </c>
      <c r="F970" t="s">
        <v>34</v>
      </c>
      <c r="G970" t="s">
        <v>24</v>
      </c>
      <c r="H970">
        <v>37</v>
      </c>
    </row>
    <row r="971" spans="1:8" x14ac:dyDescent="0.3">
      <c r="A971" t="s">
        <v>1807</v>
      </c>
      <c r="B971" t="s">
        <v>1808</v>
      </c>
      <c r="C971" s="4">
        <v>45164</v>
      </c>
      <c r="D971">
        <v>466486.03</v>
      </c>
      <c r="E971" t="s">
        <v>10</v>
      </c>
      <c r="F971" t="s">
        <v>16</v>
      </c>
      <c r="G971" t="s">
        <v>12</v>
      </c>
      <c r="H971">
        <v>32</v>
      </c>
    </row>
    <row r="972" spans="1:8" x14ac:dyDescent="0.3">
      <c r="A972" t="s">
        <v>1809</v>
      </c>
      <c r="B972" t="s">
        <v>1810</v>
      </c>
      <c r="C972" s="4">
        <v>44877</v>
      </c>
      <c r="D972">
        <v>335943.48</v>
      </c>
      <c r="E972" t="s">
        <v>19</v>
      </c>
      <c r="F972" t="s">
        <v>34</v>
      </c>
      <c r="G972" t="s">
        <v>12</v>
      </c>
      <c r="H972">
        <v>58</v>
      </c>
    </row>
    <row r="973" spans="1:8" x14ac:dyDescent="0.3">
      <c r="A973" t="s">
        <v>1811</v>
      </c>
      <c r="B973" t="s">
        <v>1812</v>
      </c>
      <c r="C973" s="4">
        <v>45504</v>
      </c>
      <c r="D973">
        <v>117533.23</v>
      </c>
      <c r="E973" t="s">
        <v>10</v>
      </c>
      <c r="F973" t="s">
        <v>11</v>
      </c>
      <c r="G973" t="s">
        <v>24</v>
      </c>
      <c r="H973">
        <v>8</v>
      </c>
    </row>
    <row r="974" spans="1:8" x14ac:dyDescent="0.3">
      <c r="A974" t="s">
        <v>1813</v>
      </c>
      <c r="B974" t="s">
        <v>1814</v>
      </c>
      <c r="C974" s="4">
        <v>45281</v>
      </c>
      <c r="D974">
        <v>238958.37</v>
      </c>
      <c r="E974" t="s">
        <v>19</v>
      </c>
      <c r="F974" t="s">
        <v>11</v>
      </c>
      <c r="G974" t="s">
        <v>12</v>
      </c>
      <c r="H974">
        <v>4</v>
      </c>
    </row>
    <row r="975" spans="1:8" x14ac:dyDescent="0.3">
      <c r="A975" t="s">
        <v>1815</v>
      </c>
      <c r="B975" t="s">
        <v>1816</v>
      </c>
      <c r="C975" s="4">
        <v>44450</v>
      </c>
      <c r="D975">
        <v>70974.990000000005</v>
      </c>
      <c r="E975" t="s">
        <v>15</v>
      </c>
      <c r="F975" t="s">
        <v>34</v>
      </c>
      <c r="G975" t="s">
        <v>24</v>
      </c>
      <c r="H975">
        <v>45</v>
      </c>
    </row>
    <row r="976" spans="1:8" x14ac:dyDescent="0.3">
      <c r="A976" t="s">
        <v>1817</v>
      </c>
      <c r="B976" t="s">
        <v>1818</v>
      </c>
      <c r="C976" s="4">
        <v>44413</v>
      </c>
      <c r="D976">
        <v>491879.08</v>
      </c>
      <c r="E976" t="s">
        <v>10</v>
      </c>
      <c r="F976" t="s">
        <v>11</v>
      </c>
      <c r="G976" t="s">
        <v>12</v>
      </c>
      <c r="H976">
        <v>26</v>
      </c>
    </row>
    <row r="977" spans="1:8" x14ac:dyDescent="0.3">
      <c r="A977" t="s">
        <v>1819</v>
      </c>
      <c r="B977" t="s">
        <v>1820</v>
      </c>
      <c r="C977" s="4">
        <v>45010</v>
      </c>
      <c r="D977">
        <v>419832.32000000001</v>
      </c>
      <c r="E977" t="s">
        <v>15</v>
      </c>
      <c r="F977" t="s">
        <v>23</v>
      </c>
      <c r="G977" t="s">
        <v>12</v>
      </c>
      <c r="H977">
        <v>52</v>
      </c>
    </row>
    <row r="978" spans="1:8" x14ac:dyDescent="0.3">
      <c r="A978" t="s">
        <v>1821</v>
      </c>
      <c r="B978" t="s">
        <v>1822</v>
      </c>
      <c r="C978" s="4">
        <v>45305</v>
      </c>
      <c r="D978">
        <v>290503.36</v>
      </c>
      <c r="E978" t="s">
        <v>19</v>
      </c>
      <c r="F978" t="s">
        <v>34</v>
      </c>
      <c r="G978" t="s">
        <v>24</v>
      </c>
      <c r="H978">
        <v>34</v>
      </c>
    </row>
    <row r="979" spans="1:8" x14ac:dyDescent="0.3">
      <c r="A979" t="s">
        <v>1823</v>
      </c>
      <c r="B979" t="s">
        <v>1824</v>
      </c>
      <c r="C979" s="4">
        <v>45394</v>
      </c>
      <c r="D979">
        <v>255423.59</v>
      </c>
      <c r="E979" t="s">
        <v>10</v>
      </c>
      <c r="F979" t="s">
        <v>16</v>
      </c>
      <c r="G979" t="s">
        <v>12</v>
      </c>
      <c r="H979">
        <v>54</v>
      </c>
    </row>
    <row r="980" spans="1:8" x14ac:dyDescent="0.3">
      <c r="A980" t="s">
        <v>1825</v>
      </c>
      <c r="B980" t="s">
        <v>1826</v>
      </c>
      <c r="C980" s="4">
        <v>45489</v>
      </c>
      <c r="D980">
        <v>285421.67</v>
      </c>
      <c r="E980" t="s">
        <v>19</v>
      </c>
      <c r="F980" t="s">
        <v>20</v>
      </c>
      <c r="G980" t="s">
        <v>12</v>
      </c>
      <c r="H980">
        <v>33</v>
      </c>
    </row>
    <row r="981" spans="1:8" x14ac:dyDescent="0.3">
      <c r="A981" t="s">
        <v>1827</v>
      </c>
      <c r="B981" t="s">
        <v>1828</v>
      </c>
      <c r="C981" s="4">
        <v>45456</v>
      </c>
      <c r="D981">
        <v>459108.8</v>
      </c>
      <c r="E981" t="s">
        <v>10</v>
      </c>
      <c r="F981" t="s">
        <v>23</v>
      </c>
      <c r="G981" t="s">
        <v>24</v>
      </c>
      <c r="H981">
        <v>15</v>
      </c>
    </row>
    <row r="982" spans="1:8" x14ac:dyDescent="0.3">
      <c r="A982" t="s">
        <v>1829</v>
      </c>
      <c r="B982" t="s">
        <v>107</v>
      </c>
      <c r="C982" s="4">
        <v>44598</v>
      </c>
      <c r="D982">
        <v>410501.31</v>
      </c>
      <c r="E982" t="s">
        <v>19</v>
      </c>
      <c r="F982" t="s">
        <v>34</v>
      </c>
      <c r="G982" t="s">
        <v>24</v>
      </c>
      <c r="H982">
        <v>56</v>
      </c>
    </row>
    <row r="983" spans="1:8" x14ac:dyDescent="0.3">
      <c r="A983" t="s">
        <v>1830</v>
      </c>
      <c r="B983" t="s">
        <v>1831</v>
      </c>
      <c r="C983" s="4">
        <v>45368</v>
      </c>
      <c r="D983">
        <v>216546.04</v>
      </c>
      <c r="E983" t="s">
        <v>19</v>
      </c>
      <c r="F983" t="s">
        <v>20</v>
      </c>
      <c r="G983" t="s">
        <v>24</v>
      </c>
      <c r="H983">
        <v>31</v>
      </c>
    </row>
    <row r="984" spans="1:8" x14ac:dyDescent="0.3">
      <c r="A984" t="s">
        <v>1832</v>
      </c>
      <c r="B984" t="s">
        <v>1833</v>
      </c>
      <c r="C984" s="4">
        <v>45261</v>
      </c>
      <c r="D984">
        <v>425110.46</v>
      </c>
      <c r="E984" t="s">
        <v>10</v>
      </c>
      <c r="F984" t="s">
        <v>34</v>
      </c>
      <c r="G984" t="s">
        <v>24</v>
      </c>
      <c r="H984">
        <v>47</v>
      </c>
    </row>
    <row r="985" spans="1:8" x14ac:dyDescent="0.3">
      <c r="A985" t="s">
        <v>1834</v>
      </c>
      <c r="B985" t="s">
        <v>1835</v>
      </c>
      <c r="C985" s="4">
        <v>45649</v>
      </c>
      <c r="D985">
        <v>58713.84</v>
      </c>
      <c r="E985" t="s">
        <v>19</v>
      </c>
      <c r="F985" t="s">
        <v>16</v>
      </c>
      <c r="G985" t="s">
        <v>12</v>
      </c>
      <c r="H985">
        <v>47</v>
      </c>
    </row>
    <row r="986" spans="1:8" x14ac:dyDescent="0.3">
      <c r="A986" t="s">
        <v>1836</v>
      </c>
      <c r="B986" t="s">
        <v>1837</v>
      </c>
      <c r="C986" s="4">
        <v>45279</v>
      </c>
      <c r="D986">
        <v>287200.98</v>
      </c>
      <c r="E986" t="s">
        <v>19</v>
      </c>
      <c r="F986" t="s">
        <v>20</v>
      </c>
      <c r="G986" t="s">
        <v>24</v>
      </c>
      <c r="H986">
        <v>52</v>
      </c>
    </row>
    <row r="987" spans="1:8" x14ac:dyDescent="0.3">
      <c r="A987" t="s">
        <v>1838</v>
      </c>
      <c r="B987" t="s">
        <v>1839</v>
      </c>
      <c r="C987" s="4">
        <v>45112</v>
      </c>
      <c r="D987">
        <v>196597.97</v>
      </c>
      <c r="E987" t="s">
        <v>10</v>
      </c>
      <c r="F987" t="s">
        <v>11</v>
      </c>
      <c r="G987" t="s">
        <v>12</v>
      </c>
      <c r="H987">
        <v>21</v>
      </c>
    </row>
    <row r="988" spans="1:8" x14ac:dyDescent="0.3">
      <c r="A988" t="s">
        <v>1840</v>
      </c>
      <c r="B988" t="s">
        <v>1790</v>
      </c>
      <c r="C988" s="4">
        <v>45286</v>
      </c>
      <c r="D988">
        <v>134354.74</v>
      </c>
      <c r="E988" t="s">
        <v>10</v>
      </c>
      <c r="F988" t="s">
        <v>23</v>
      </c>
      <c r="G988" t="s">
        <v>24</v>
      </c>
      <c r="H988">
        <v>52</v>
      </c>
    </row>
    <row r="989" spans="1:8" x14ac:dyDescent="0.3">
      <c r="A989" t="s">
        <v>1841</v>
      </c>
      <c r="B989" t="s">
        <v>1842</v>
      </c>
      <c r="C989" s="4">
        <v>44361</v>
      </c>
      <c r="D989">
        <v>90327.41</v>
      </c>
      <c r="E989" t="s">
        <v>10</v>
      </c>
      <c r="F989" t="s">
        <v>11</v>
      </c>
      <c r="G989" t="s">
        <v>24</v>
      </c>
      <c r="H989">
        <v>37</v>
      </c>
    </row>
    <row r="990" spans="1:8" x14ac:dyDescent="0.3">
      <c r="A990" t="s">
        <v>1843</v>
      </c>
      <c r="B990" t="s">
        <v>1844</v>
      </c>
      <c r="C990" s="4">
        <v>45702</v>
      </c>
      <c r="D990">
        <v>253900.39</v>
      </c>
      <c r="E990" t="s">
        <v>10</v>
      </c>
      <c r="F990" t="s">
        <v>16</v>
      </c>
      <c r="G990" t="s">
        <v>24</v>
      </c>
      <c r="H990">
        <v>37</v>
      </c>
    </row>
    <row r="991" spans="1:8" x14ac:dyDescent="0.3">
      <c r="A991" t="s">
        <v>1845</v>
      </c>
      <c r="B991" t="s">
        <v>72</v>
      </c>
      <c r="C991" s="4">
        <v>45141</v>
      </c>
      <c r="D991">
        <v>287543.21000000002</v>
      </c>
      <c r="E991" t="s">
        <v>19</v>
      </c>
      <c r="F991" t="s">
        <v>20</v>
      </c>
      <c r="G991" t="s">
        <v>12</v>
      </c>
      <c r="H991">
        <v>38</v>
      </c>
    </row>
    <row r="992" spans="1:8" x14ac:dyDescent="0.3">
      <c r="A992" t="s">
        <v>1846</v>
      </c>
      <c r="B992" t="s">
        <v>1847</v>
      </c>
      <c r="C992" s="4">
        <v>44411</v>
      </c>
      <c r="D992">
        <v>65062.46</v>
      </c>
      <c r="E992" t="s">
        <v>15</v>
      </c>
      <c r="F992" t="s">
        <v>20</v>
      </c>
      <c r="G992" t="s">
        <v>24</v>
      </c>
      <c r="H992">
        <v>31</v>
      </c>
    </row>
    <row r="993" spans="1:8" x14ac:dyDescent="0.3">
      <c r="A993" t="s">
        <v>1848</v>
      </c>
      <c r="B993" t="s">
        <v>1849</v>
      </c>
      <c r="C993" s="4">
        <v>44902</v>
      </c>
      <c r="D993">
        <v>413060.74</v>
      </c>
      <c r="E993" t="s">
        <v>19</v>
      </c>
      <c r="F993" t="s">
        <v>11</v>
      </c>
      <c r="G993" t="s">
        <v>12</v>
      </c>
      <c r="H993">
        <v>43</v>
      </c>
    </row>
    <row r="994" spans="1:8" x14ac:dyDescent="0.3">
      <c r="A994" t="s">
        <v>1850</v>
      </c>
      <c r="B994" t="s">
        <v>1851</v>
      </c>
      <c r="C994" s="4">
        <v>45298</v>
      </c>
      <c r="D994">
        <v>222312.18</v>
      </c>
      <c r="E994" t="s">
        <v>15</v>
      </c>
      <c r="F994" t="s">
        <v>34</v>
      </c>
      <c r="G994" t="s">
        <v>24</v>
      </c>
      <c r="H994">
        <v>29</v>
      </c>
    </row>
    <row r="995" spans="1:8" x14ac:dyDescent="0.3">
      <c r="A995" t="s">
        <v>1852</v>
      </c>
      <c r="B995" t="s">
        <v>1853</v>
      </c>
      <c r="C995" s="4">
        <v>44753</v>
      </c>
      <c r="D995">
        <v>280526.63</v>
      </c>
      <c r="E995" t="s">
        <v>19</v>
      </c>
      <c r="F995" t="s">
        <v>23</v>
      </c>
      <c r="G995" t="s">
        <v>24</v>
      </c>
      <c r="H995">
        <v>18</v>
      </c>
    </row>
    <row r="996" spans="1:8" x14ac:dyDescent="0.3">
      <c r="A996" t="s">
        <v>1854</v>
      </c>
      <c r="B996" t="s">
        <v>1855</v>
      </c>
      <c r="C996" s="4">
        <v>45567</v>
      </c>
      <c r="D996">
        <v>367102.94</v>
      </c>
      <c r="E996" t="s">
        <v>10</v>
      </c>
      <c r="F996" t="s">
        <v>11</v>
      </c>
      <c r="G996" t="s">
        <v>12</v>
      </c>
      <c r="H996">
        <v>44</v>
      </c>
    </row>
    <row r="997" spans="1:8" x14ac:dyDescent="0.3">
      <c r="A997" t="s">
        <v>1856</v>
      </c>
      <c r="B997" t="s">
        <v>1120</v>
      </c>
      <c r="C997" s="4">
        <v>45423</v>
      </c>
      <c r="D997">
        <v>249198.79</v>
      </c>
      <c r="E997" t="s">
        <v>15</v>
      </c>
      <c r="F997" t="s">
        <v>20</v>
      </c>
      <c r="G997" t="s">
        <v>24</v>
      </c>
      <c r="H997">
        <v>31</v>
      </c>
    </row>
    <row r="998" spans="1:8" x14ac:dyDescent="0.3">
      <c r="A998" t="s">
        <v>1857</v>
      </c>
      <c r="B998" t="s">
        <v>1858</v>
      </c>
      <c r="C998" s="4">
        <v>45655</v>
      </c>
      <c r="D998">
        <v>18770.68</v>
      </c>
      <c r="E998" t="s">
        <v>19</v>
      </c>
      <c r="F998" t="s">
        <v>34</v>
      </c>
      <c r="G998" t="s">
        <v>12</v>
      </c>
      <c r="H998">
        <v>29</v>
      </c>
    </row>
    <row r="999" spans="1:8" x14ac:dyDescent="0.3">
      <c r="A999" t="s">
        <v>1859</v>
      </c>
      <c r="B999" t="s">
        <v>1860</v>
      </c>
      <c r="C999" s="4">
        <v>45251</v>
      </c>
      <c r="D999">
        <v>243201.03</v>
      </c>
      <c r="E999" t="s">
        <v>15</v>
      </c>
      <c r="F999" t="s">
        <v>23</v>
      </c>
      <c r="G999" t="s">
        <v>24</v>
      </c>
      <c r="H999">
        <v>43</v>
      </c>
    </row>
    <row r="1000" spans="1:8" x14ac:dyDescent="0.3">
      <c r="A1000" t="s">
        <v>1861</v>
      </c>
      <c r="B1000" t="s">
        <v>1862</v>
      </c>
      <c r="C1000" s="4">
        <v>45216</v>
      </c>
      <c r="D1000">
        <v>314319.48</v>
      </c>
      <c r="E1000" t="s">
        <v>15</v>
      </c>
      <c r="F1000" t="s">
        <v>16</v>
      </c>
      <c r="G1000" t="s">
        <v>12</v>
      </c>
      <c r="H1000">
        <v>12</v>
      </c>
    </row>
    <row r="1001" spans="1:8" x14ac:dyDescent="0.3">
      <c r="A1001" t="s">
        <v>1863</v>
      </c>
      <c r="B1001" t="s">
        <v>1864</v>
      </c>
      <c r="C1001" s="4">
        <v>45313</v>
      </c>
      <c r="D1001">
        <v>499431.2</v>
      </c>
      <c r="E1001" t="s">
        <v>10</v>
      </c>
      <c r="F1001" t="s">
        <v>34</v>
      </c>
      <c r="G1001" t="s">
        <v>12</v>
      </c>
      <c r="H1001">
        <v>51</v>
      </c>
    </row>
    <row r="1002" spans="1:8" x14ac:dyDescent="0.3">
      <c r="A1002" t="s">
        <v>1865</v>
      </c>
      <c r="B1002" t="s">
        <v>1866</v>
      </c>
      <c r="C1002" s="4">
        <v>45327</v>
      </c>
      <c r="D1002">
        <v>85627.43</v>
      </c>
      <c r="E1002" t="s">
        <v>15</v>
      </c>
      <c r="F1002" t="s">
        <v>23</v>
      </c>
      <c r="G1002" t="s">
        <v>12</v>
      </c>
      <c r="H1002">
        <v>54</v>
      </c>
    </row>
    <row r="1003" spans="1:8" x14ac:dyDescent="0.3">
      <c r="A1003" t="s">
        <v>1867</v>
      </c>
      <c r="B1003" t="s">
        <v>1371</v>
      </c>
      <c r="C1003" s="4">
        <v>44825</v>
      </c>
      <c r="D1003">
        <v>452065.56</v>
      </c>
      <c r="E1003" t="s">
        <v>19</v>
      </c>
      <c r="F1003" t="s">
        <v>34</v>
      </c>
      <c r="G1003" t="s">
        <v>24</v>
      </c>
      <c r="H1003">
        <v>46</v>
      </c>
    </row>
    <row r="1004" spans="1:8" x14ac:dyDescent="0.3">
      <c r="A1004" t="s">
        <v>1868</v>
      </c>
      <c r="B1004" t="s">
        <v>1869</v>
      </c>
      <c r="C1004" s="4">
        <v>45405</v>
      </c>
      <c r="D1004">
        <v>355211.11</v>
      </c>
      <c r="E1004" t="s">
        <v>19</v>
      </c>
      <c r="F1004" t="s">
        <v>20</v>
      </c>
      <c r="G1004" t="s">
        <v>24</v>
      </c>
      <c r="H1004">
        <v>28</v>
      </c>
    </row>
    <row r="1005" spans="1:8" x14ac:dyDescent="0.3">
      <c r="A1005" t="s">
        <v>1870</v>
      </c>
      <c r="B1005" t="s">
        <v>1871</v>
      </c>
      <c r="C1005" s="4">
        <v>45495</v>
      </c>
      <c r="D1005">
        <v>319360.13</v>
      </c>
      <c r="E1005" t="s">
        <v>19</v>
      </c>
      <c r="F1005" t="s">
        <v>34</v>
      </c>
      <c r="G1005" t="s">
        <v>12</v>
      </c>
      <c r="H1005">
        <v>24</v>
      </c>
    </row>
    <row r="1006" spans="1:8" x14ac:dyDescent="0.3">
      <c r="A1006" t="s">
        <v>1872</v>
      </c>
      <c r="B1006" t="s">
        <v>1873</v>
      </c>
      <c r="C1006" s="4">
        <v>45575</v>
      </c>
      <c r="D1006">
        <v>113247</v>
      </c>
      <c r="E1006" t="s">
        <v>10</v>
      </c>
      <c r="F1006" t="s">
        <v>34</v>
      </c>
      <c r="G1006" t="s">
        <v>24</v>
      </c>
      <c r="H1006">
        <v>39</v>
      </c>
    </row>
    <row r="1007" spans="1:8" x14ac:dyDescent="0.3">
      <c r="A1007" t="s">
        <v>1874</v>
      </c>
      <c r="B1007" t="s">
        <v>1875</v>
      </c>
      <c r="C1007" s="4">
        <v>45406</v>
      </c>
      <c r="D1007">
        <v>359416.18</v>
      </c>
      <c r="E1007" t="s">
        <v>19</v>
      </c>
      <c r="F1007" t="s">
        <v>23</v>
      </c>
      <c r="G1007" t="s">
        <v>24</v>
      </c>
      <c r="H1007">
        <v>3</v>
      </c>
    </row>
    <row r="1008" spans="1:8" x14ac:dyDescent="0.3">
      <c r="A1008" t="s">
        <v>1876</v>
      </c>
      <c r="B1008" t="s">
        <v>1877</v>
      </c>
      <c r="C1008" s="4">
        <v>45043</v>
      </c>
      <c r="D1008">
        <v>59812.75</v>
      </c>
      <c r="E1008" t="s">
        <v>15</v>
      </c>
      <c r="F1008" t="s">
        <v>34</v>
      </c>
      <c r="G1008" t="s">
        <v>12</v>
      </c>
      <c r="H1008">
        <v>54</v>
      </c>
    </row>
    <row r="1009" spans="1:8" x14ac:dyDescent="0.3">
      <c r="A1009" t="s">
        <v>1878</v>
      </c>
      <c r="B1009" t="s">
        <v>1879</v>
      </c>
      <c r="C1009" s="4">
        <v>44517</v>
      </c>
      <c r="D1009">
        <v>320077.02</v>
      </c>
      <c r="E1009" t="s">
        <v>10</v>
      </c>
      <c r="F1009" t="s">
        <v>11</v>
      </c>
      <c r="G1009" t="s">
        <v>12</v>
      </c>
      <c r="H1009">
        <v>38</v>
      </c>
    </row>
    <row r="1010" spans="1:8" x14ac:dyDescent="0.3">
      <c r="A1010" t="s">
        <v>1880</v>
      </c>
      <c r="B1010" t="s">
        <v>225</v>
      </c>
      <c r="C1010" s="4">
        <v>45538</v>
      </c>
      <c r="D1010">
        <v>135307.76999999999</v>
      </c>
      <c r="E1010" t="s">
        <v>19</v>
      </c>
      <c r="F1010" t="s">
        <v>11</v>
      </c>
      <c r="G1010" t="s">
        <v>12</v>
      </c>
      <c r="H1010">
        <v>33</v>
      </c>
    </row>
    <row r="1011" spans="1:8" x14ac:dyDescent="0.3">
      <c r="A1011" t="s">
        <v>1881</v>
      </c>
      <c r="B1011" t="s">
        <v>1882</v>
      </c>
      <c r="C1011" s="4">
        <v>45000</v>
      </c>
      <c r="D1011">
        <v>455100.04</v>
      </c>
      <c r="E1011" t="s">
        <v>19</v>
      </c>
      <c r="F1011" t="s">
        <v>20</v>
      </c>
      <c r="G1011" t="s">
        <v>24</v>
      </c>
      <c r="H1011">
        <v>51</v>
      </c>
    </row>
    <row r="1012" spans="1:8" x14ac:dyDescent="0.3">
      <c r="A1012" t="s">
        <v>1883</v>
      </c>
      <c r="B1012" t="s">
        <v>742</v>
      </c>
      <c r="C1012" s="4">
        <v>45104</v>
      </c>
      <c r="D1012">
        <v>100887.3</v>
      </c>
      <c r="E1012" t="s">
        <v>10</v>
      </c>
      <c r="F1012" t="s">
        <v>23</v>
      </c>
      <c r="G1012" t="s">
        <v>12</v>
      </c>
      <c r="H1012">
        <v>36</v>
      </c>
    </row>
    <row r="1013" spans="1:8" x14ac:dyDescent="0.3">
      <c r="A1013" t="s">
        <v>1884</v>
      </c>
      <c r="B1013" t="s">
        <v>1885</v>
      </c>
      <c r="C1013" s="4">
        <v>45553</v>
      </c>
      <c r="D1013">
        <v>406931.53</v>
      </c>
      <c r="E1013" t="s">
        <v>15</v>
      </c>
      <c r="F1013" t="s">
        <v>23</v>
      </c>
      <c r="G1013" t="s">
        <v>12</v>
      </c>
      <c r="H1013">
        <v>5</v>
      </c>
    </row>
    <row r="1014" spans="1:8" x14ac:dyDescent="0.3">
      <c r="A1014" t="s">
        <v>1886</v>
      </c>
      <c r="B1014" t="s">
        <v>1887</v>
      </c>
      <c r="C1014" s="4">
        <v>45625</v>
      </c>
      <c r="D1014">
        <v>339660.63</v>
      </c>
      <c r="E1014" t="s">
        <v>19</v>
      </c>
      <c r="F1014" t="s">
        <v>11</v>
      </c>
      <c r="G1014" t="s">
        <v>12</v>
      </c>
      <c r="H1014">
        <v>34</v>
      </c>
    </row>
    <row r="1015" spans="1:8" x14ac:dyDescent="0.3">
      <c r="A1015" t="s">
        <v>1888</v>
      </c>
      <c r="B1015" t="s">
        <v>1889</v>
      </c>
      <c r="C1015" s="4">
        <v>44216</v>
      </c>
      <c r="D1015">
        <v>443063.27</v>
      </c>
      <c r="E1015" t="s">
        <v>19</v>
      </c>
      <c r="F1015" t="s">
        <v>20</v>
      </c>
      <c r="G1015" t="s">
        <v>12</v>
      </c>
      <c r="H1015">
        <v>4</v>
      </c>
    </row>
    <row r="1016" spans="1:8" x14ac:dyDescent="0.3">
      <c r="A1016" t="s">
        <v>1890</v>
      </c>
      <c r="B1016" t="s">
        <v>1891</v>
      </c>
      <c r="C1016" s="4">
        <v>45320</v>
      </c>
      <c r="D1016">
        <v>362619.01</v>
      </c>
      <c r="E1016" t="s">
        <v>19</v>
      </c>
      <c r="F1016" t="s">
        <v>16</v>
      </c>
      <c r="G1016" t="s">
        <v>12</v>
      </c>
      <c r="H1016">
        <v>49</v>
      </c>
    </row>
    <row r="1017" spans="1:8" x14ac:dyDescent="0.3">
      <c r="A1017" t="s">
        <v>1892</v>
      </c>
      <c r="B1017" t="s">
        <v>709</v>
      </c>
      <c r="C1017" s="4">
        <v>45519</v>
      </c>
      <c r="D1017">
        <v>257018.19</v>
      </c>
      <c r="E1017" t="s">
        <v>15</v>
      </c>
      <c r="F1017" t="s">
        <v>20</v>
      </c>
      <c r="G1017" t="s">
        <v>24</v>
      </c>
      <c r="H1017">
        <v>58</v>
      </c>
    </row>
    <row r="1018" spans="1:8" x14ac:dyDescent="0.3">
      <c r="A1018" t="s">
        <v>1893</v>
      </c>
      <c r="B1018" t="s">
        <v>1894</v>
      </c>
      <c r="C1018" s="4">
        <v>45540</v>
      </c>
      <c r="D1018">
        <v>313816.11</v>
      </c>
      <c r="E1018" t="s">
        <v>19</v>
      </c>
      <c r="F1018" t="s">
        <v>34</v>
      </c>
      <c r="G1018" t="s">
        <v>24</v>
      </c>
      <c r="H1018">
        <v>47</v>
      </c>
    </row>
    <row r="1019" spans="1:8" x14ac:dyDescent="0.3">
      <c r="A1019" t="s">
        <v>1895</v>
      </c>
      <c r="B1019" t="s">
        <v>1896</v>
      </c>
      <c r="C1019" s="4">
        <v>45282</v>
      </c>
      <c r="D1019">
        <v>311063.87</v>
      </c>
      <c r="E1019" t="s">
        <v>15</v>
      </c>
      <c r="F1019" t="s">
        <v>34</v>
      </c>
      <c r="G1019" t="s">
        <v>24</v>
      </c>
      <c r="H1019">
        <v>21</v>
      </c>
    </row>
    <row r="1020" spans="1:8" x14ac:dyDescent="0.3">
      <c r="A1020" t="s">
        <v>1897</v>
      </c>
      <c r="B1020" t="s">
        <v>404</v>
      </c>
      <c r="C1020" s="4">
        <v>45575</v>
      </c>
      <c r="D1020">
        <v>457306.56</v>
      </c>
      <c r="E1020" t="s">
        <v>15</v>
      </c>
      <c r="F1020" t="s">
        <v>16</v>
      </c>
      <c r="G1020" t="s">
        <v>12</v>
      </c>
      <c r="H1020">
        <v>3</v>
      </c>
    </row>
    <row r="1021" spans="1:8" x14ac:dyDescent="0.3">
      <c r="A1021" t="s">
        <v>1898</v>
      </c>
      <c r="B1021" t="s">
        <v>1899</v>
      </c>
      <c r="C1021" s="4">
        <v>44782</v>
      </c>
      <c r="D1021">
        <v>67369.98</v>
      </c>
      <c r="E1021" t="s">
        <v>10</v>
      </c>
      <c r="F1021" t="s">
        <v>16</v>
      </c>
      <c r="G1021" t="s">
        <v>24</v>
      </c>
      <c r="H1021">
        <v>45</v>
      </c>
    </row>
    <row r="1022" spans="1:8" x14ac:dyDescent="0.3">
      <c r="A1022" t="s">
        <v>1900</v>
      </c>
      <c r="B1022" t="s">
        <v>1089</v>
      </c>
      <c r="C1022" s="4">
        <v>45241</v>
      </c>
      <c r="D1022">
        <v>103018.91</v>
      </c>
      <c r="E1022" t="s">
        <v>15</v>
      </c>
      <c r="F1022" t="s">
        <v>16</v>
      </c>
      <c r="G1022" t="s">
        <v>12</v>
      </c>
      <c r="H1022">
        <v>41</v>
      </c>
    </row>
    <row r="1023" spans="1:8" x14ac:dyDescent="0.3">
      <c r="A1023" t="s">
        <v>1901</v>
      </c>
      <c r="B1023" t="s">
        <v>1902</v>
      </c>
      <c r="C1023" s="4">
        <v>45430</v>
      </c>
      <c r="D1023">
        <v>411891.54</v>
      </c>
      <c r="E1023" t="s">
        <v>19</v>
      </c>
      <c r="F1023" t="s">
        <v>20</v>
      </c>
      <c r="G1023" t="s">
        <v>12</v>
      </c>
      <c r="H1023">
        <v>21</v>
      </c>
    </row>
    <row r="1024" spans="1:8" x14ac:dyDescent="0.3">
      <c r="A1024" t="s">
        <v>1903</v>
      </c>
      <c r="B1024" t="s">
        <v>1904</v>
      </c>
      <c r="C1024" s="4">
        <v>45444</v>
      </c>
      <c r="D1024">
        <v>486777.2</v>
      </c>
      <c r="E1024" t="s">
        <v>15</v>
      </c>
      <c r="F1024" t="s">
        <v>23</v>
      </c>
      <c r="G1024" t="s">
        <v>12</v>
      </c>
      <c r="H1024">
        <v>41</v>
      </c>
    </row>
    <row r="1025" spans="1:8" x14ac:dyDescent="0.3">
      <c r="A1025" t="s">
        <v>1905</v>
      </c>
      <c r="B1025" t="s">
        <v>1455</v>
      </c>
      <c r="C1025" s="4">
        <v>45013</v>
      </c>
      <c r="D1025">
        <v>450460.14</v>
      </c>
      <c r="E1025" t="s">
        <v>10</v>
      </c>
      <c r="F1025" t="s">
        <v>16</v>
      </c>
      <c r="G1025" t="s">
        <v>24</v>
      </c>
      <c r="H1025">
        <v>46</v>
      </c>
    </row>
    <row r="1026" spans="1:8" x14ac:dyDescent="0.3">
      <c r="A1026" t="s">
        <v>1906</v>
      </c>
      <c r="B1026" t="s">
        <v>1907</v>
      </c>
      <c r="C1026" s="4">
        <v>44983</v>
      </c>
      <c r="D1026">
        <v>49829.01</v>
      </c>
      <c r="E1026" t="s">
        <v>10</v>
      </c>
      <c r="F1026" t="s">
        <v>11</v>
      </c>
      <c r="G1026" t="s">
        <v>24</v>
      </c>
      <c r="H1026">
        <v>42</v>
      </c>
    </row>
    <row r="1027" spans="1:8" x14ac:dyDescent="0.3">
      <c r="A1027" t="s">
        <v>1908</v>
      </c>
      <c r="B1027" t="s">
        <v>1909</v>
      </c>
      <c r="C1027" s="4">
        <v>44154</v>
      </c>
      <c r="D1027">
        <v>409877.94</v>
      </c>
      <c r="E1027" t="s">
        <v>10</v>
      </c>
      <c r="F1027" t="s">
        <v>16</v>
      </c>
      <c r="G1027" t="s">
        <v>24</v>
      </c>
      <c r="H1027">
        <v>23</v>
      </c>
    </row>
    <row r="1028" spans="1:8" x14ac:dyDescent="0.3">
      <c r="A1028" t="s">
        <v>1910</v>
      </c>
      <c r="B1028" t="s">
        <v>342</v>
      </c>
      <c r="C1028" s="4">
        <v>44980</v>
      </c>
      <c r="D1028">
        <v>400708.61</v>
      </c>
      <c r="E1028" t="s">
        <v>15</v>
      </c>
      <c r="F1028" t="s">
        <v>11</v>
      </c>
      <c r="G1028" t="s">
        <v>12</v>
      </c>
      <c r="H1028">
        <v>33</v>
      </c>
    </row>
    <row r="1029" spans="1:8" x14ac:dyDescent="0.3">
      <c r="A1029" t="s">
        <v>1911</v>
      </c>
      <c r="B1029" t="s">
        <v>1912</v>
      </c>
      <c r="C1029" s="4">
        <v>44738</v>
      </c>
      <c r="D1029">
        <v>442111.49</v>
      </c>
      <c r="E1029" t="s">
        <v>15</v>
      </c>
      <c r="F1029" t="s">
        <v>20</v>
      </c>
      <c r="G1029" t="s">
        <v>12</v>
      </c>
      <c r="H1029">
        <v>57</v>
      </c>
    </row>
    <row r="1030" spans="1:8" x14ac:dyDescent="0.3">
      <c r="A1030" t="s">
        <v>1913</v>
      </c>
      <c r="B1030" t="s">
        <v>1914</v>
      </c>
      <c r="C1030" s="4">
        <v>44417</v>
      </c>
      <c r="D1030">
        <v>161056.35999999999</v>
      </c>
      <c r="E1030" t="s">
        <v>15</v>
      </c>
      <c r="F1030" t="s">
        <v>23</v>
      </c>
      <c r="G1030" t="s">
        <v>24</v>
      </c>
      <c r="H1030">
        <v>57</v>
      </c>
    </row>
    <row r="1031" spans="1:8" x14ac:dyDescent="0.3">
      <c r="A1031" t="s">
        <v>1915</v>
      </c>
      <c r="B1031" t="s">
        <v>1916</v>
      </c>
      <c r="C1031" s="4">
        <v>45819</v>
      </c>
      <c r="D1031">
        <v>382996.34</v>
      </c>
      <c r="E1031" t="s">
        <v>10</v>
      </c>
      <c r="F1031" t="s">
        <v>34</v>
      </c>
      <c r="G1031" t="s">
        <v>12</v>
      </c>
      <c r="H1031">
        <v>56</v>
      </c>
    </row>
    <row r="1032" spans="1:8" x14ac:dyDescent="0.3">
      <c r="A1032" t="s">
        <v>1917</v>
      </c>
      <c r="B1032" t="s">
        <v>1918</v>
      </c>
      <c r="C1032" s="4">
        <v>44551</v>
      </c>
      <c r="D1032">
        <v>117363.51</v>
      </c>
      <c r="E1032" t="s">
        <v>15</v>
      </c>
      <c r="F1032" t="s">
        <v>11</v>
      </c>
      <c r="G1032" t="s">
        <v>24</v>
      </c>
      <c r="H1032">
        <v>12</v>
      </c>
    </row>
    <row r="1033" spans="1:8" x14ac:dyDescent="0.3">
      <c r="A1033" t="s">
        <v>1919</v>
      </c>
      <c r="B1033" t="s">
        <v>780</v>
      </c>
      <c r="C1033" s="4">
        <v>45447</v>
      </c>
      <c r="D1033">
        <v>461121.9</v>
      </c>
      <c r="E1033" t="s">
        <v>15</v>
      </c>
      <c r="F1033" t="s">
        <v>23</v>
      </c>
      <c r="G1033" t="s">
        <v>12</v>
      </c>
      <c r="H1033">
        <v>40</v>
      </c>
    </row>
    <row r="1034" spans="1:8" x14ac:dyDescent="0.3">
      <c r="A1034" t="s">
        <v>1920</v>
      </c>
      <c r="B1034" t="s">
        <v>1921</v>
      </c>
      <c r="C1034" s="4">
        <v>44603</v>
      </c>
      <c r="D1034">
        <v>329646.74</v>
      </c>
      <c r="E1034" t="s">
        <v>15</v>
      </c>
      <c r="F1034" t="s">
        <v>11</v>
      </c>
      <c r="G1034" t="s">
        <v>12</v>
      </c>
      <c r="H1034">
        <v>5</v>
      </c>
    </row>
    <row r="1035" spans="1:8" x14ac:dyDescent="0.3">
      <c r="A1035" t="s">
        <v>1922</v>
      </c>
      <c r="B1035" t="s">
        <v>1923</v>
      </c>
      <c r="C1035" s="4">
        <v>44681</v>
      </c>
      <c r="D1035">
        <v>285063.75</v>
      </c>
      <c r="E1035" t="s">
        <v>10</v>
      </c>
      <c r="F1035" t="s">
        <v>16</v>
      </c>
      <c r="G1035" t="s">
        <v>24</v>
      </c>
      <c r="H1035">
        <v>24</v>
      </c>
    </row>
    <row r="1036" spans="1:8" x14ac:dyDescent="0.3">
      <c r="A1036" t="s">
        <v>1924</v>
      </c>
      <c r="B1036" t="s">
        <v>1925</v>
      </c>
      <c r="C1036" s="4">
        <v>44462</v>
      </c>
      <c r="D1036">
        <v>463004.51</v>
      </c>
      <c r="E1036" t="s">
        <v>10</v>
      </c>
      <c r="F1036" t="s">
        <v>16</v>
      </c>
      <c r="G1036" t="s">
        <v>12</v>
      </c>
      <c r="H1036">
        <v>54</v>
      </c>
    </row>
    <row r="1037" spans="1:8" x14ac:dyDescent="0.3">
      <c r="A1037" t="s">
        <v>1926</v>
      </c>
      <c r="B1037" t="s">
        <v>1927</v>
      </c>
      <c r="C1037" s="4">
        <v>45337</v>
      </c>
      <c r="D1037">
        <v>187053.97</v>
      </c>
      <c r="E1037" t="s">
        <v>15</v>
      </c>
      <c r="F1037" t="s">
        <v>16</v>
      </c>
      <c r="G1037" t="s">
        <v>24</v>
      </c>
      <c r="H1037">
        <v>28</v>
      </c>
    </row>
    <row r="1038" spans="1:8" x14ac:dyDescent="0.3">
      <c r="A1038" t="s">
        <v>1928</v>
      </c>
      <c r="B1038" t="s">
        <v>338</v>
      </c>
      <c r="C1038" s="4">
        <v>45247</v>
      </c>
      <c r="D1038">
        <v>127362.93</v>
      </c>
      <c r="E1038" t="s">
        <v>15</v>
      </c>
      <c r="F1038" t="s">
        <v>16</v>
      </c>
      <c r="G1038" t="s">
        <v>24</v>
      </c>
      <c r="H1038">
        <v>11</v>
      </c>
    </row>
    <row r="1039" spans="1:8" x14ac:dyDescent="0.3">
      <c r="A1039" t="s">
        <v>1929</v>
      </c>
      <c r="B1039" t="s">
        <v>1930</v>
      </c>
      <c r="C1039" s="4">
        <v>45571</v>
      </c>
      <c r="D1039">
        <v>30443.82</v>
      </c>
      <c r="E1039" t="s">
        <v>19</v>
      </c>
      <c r="F1039" t="s">
        <v>16</v>
      </c>
      <c r="G1039" t="s">
        <v>24</v>
      </c>
      <c r="H1039">
        <v>16</v>
      </c>
    </row>
    <row r="1040" spans="1:8" x14ac:dyDescent="0.3">
      <c r="A1040" t="s">
        <v>1931</v>
      </c>
      <c r="B1040" t="s">
        <v>1882</v>
      </c>
      <c r="C1040" s="4">
        <v>44799</v>
      </c>
      <c r="D1040">
        <v>460886.5</v>
      </c>
      <c r="E1040" t="s">
        <v>10</v>
      </c>
      <c r="F1040" t="s">
        <v>16</v>
      </c>
      <c r="G1040" t="s">
        <v>12</v>
      </c>
      <c r="H1040">
        <v>45</v>
      </c>
    </row>
    <row r="1041" spans="1:8" x14ac:dyDescent="0.3">
      <c r="A1041" t="s">
        <v>1932</v>
      </c>
      <c r="B1041" t="s">
        <v>1933</v>
      </c>
      <c r="C1041" s="4">
        <v>45320</v>
      </c>
      <c r="D1041">
        <v>406045.54</v>
      </c>
      <c r="E1041" t="s">
        <v>19</v>
      </c>
      <c r="F1041" t="s">
        <v>23</v>
      </c>
      <c r="G1041" t="s">
        <v>24</v>
      </c>
      <c r="H1041">
        <v>51</v>
      </c>
    </row>
    <row r="1042" spans="1:8" x14ac:dyDescent="0.3">
      <c r="A1042" t="s">
        <v>1934</v>
      </c>
      <c r="B1042" t="s">
        <v>1935</v>
      </c>
      <c r="C1042" s="4">
        <v>45180</v>
      </c>
      <c r="D1042">
        <v>21198.080000000002</v>
      </c>
      <c r="E1042" t="s">
        <v>19</v>
      </c>
      <c r="F1042" t="s">
        <v>34</v>
      </c>
      <c r="G1042" t="s">
        <v>12</v>
      </c>
      <c r="H1042">
        <v>14</v>
      </c>
    </row>
    <row r="1043" spans="1:8" x14ac:dyDescent="0.3">
      <c r="A1043" t="s">
        <v>1936</v>
      </c>
      <c r="B1043" t="s">
        <v>1806</v>
      </c>
      <c r="C1043" s="4">
        <v>45123</v>
      </c>
      <c r="D1043">
        <v>343595.18</v>
      </c>
      <c r="E1043" t="s">
        <v>19</v>
      </c>
      <c r="F1043" t="s">
        <v>34</v>
      </c>
      <c r="G1043" t="s">
        <v>12</v>
      </c>
      <c r="H1043">
        <v>57</v>
      </c>
    </row>
    <row r="1044" spans="1:8" x14ac:dyDescent="0.3">
      <c r="A1044" t="s">
        <v>1937</v>
      </c>
      <c r="B1044" t="s">
        <v>1938</v>
      </c>
      <c r="C1044" s="4">
        <v>45532</v>
      </c>
      <c r="D1044">
        <v>335223.87</v>
      </c>
      <c r="E1044" t="s">
        <v>19</v>
      </c>
      <c r="F1044" t="s">
        <v>11</v>
      </c>
      <c r="G1044" t="s">
        <v>12</v>
      </c>
      <c r="H1044">
        <v>31</v>
      </c>
    </row>
    <row r="1045" spans="1:8" x14ac:dyDescent="0.3">
      <c r="A1045" t="s">
        <v>1939</v>
      </c>
      <c r="B1045" t="s">
        <v>1940</v>
      </c>
      <c r="C1045" s="4">
        <v>44826</v>
      </c>
      <c r="D1045">
        <v>245273.26</v>
      </c>
      <c r="E1045" t="s">
        <v>19</v>
      </c>
      <c r="F1045" t="s">
        <v>34</v>
      </c>
      <c r="G1045" t="s">
        <v>24</v>
      </c>
      <c r="H1045">
        <v>38</v>
      </c>
    </row>
    <row r="1046" spans="1:8" x14ac:dyDescent="0.3">
      <c r="A1046" t="s">
        <v>1941</v>
      </c>
      <c r="B1046" t="s">
        <v>1942</v>
      </c>
      <c r="C1046" s="4">
        <v>45188</v>
      </c>
      <c r="D1046">
        <v>163429.96</v>
      </c>
      <c r="E1046" t="s">
        <v>19</v>
      </c>
      <c r="F1046" t="s">
        <v>23</v>
      </c>
      <c r="G1046" t="s">
        <v>12</v>
      </c>
      <c r="H1046">
        <v>29</v>
      </c>
    </row>
    <row r="1047" spans="1:8" x14ac:dyDescent="0.3">
      <c r="A1047" t="s">
        <v>1943</v>
      </c>
      <c r="B1047" t="s">
        <v>1944</v>
      </c>
      <c r="C1047" s="4">
        <v>45324</v>
      </c>
      <c r="D1047">
        <v>416752.55</v>
      </c>
      <c r="E1047" t="s">
        <v>15</v>
      </c>
      <c r="F1047" t="s">
        <v>23</v>
      </c>
      <c r="G1047" t="s">
        <v>24</v>
      </c>
      <c r="H1047">
        <v>7</v>
      </c>
    </row>
    <row r="1048" spans="1:8" x14ac:dyDescent="0.3">
      <c r="A1048" t="s">
        <v>1945</v>
      </c>
      <c r="B1048" t="s">
        <v>1946</v>
      </c>
      <c r="C1048" s="4">
        <v>44629</v>
      </c>
      <c r="D1048">
        <v>385727.6</v>
      </c>
      <c r="E1048" t="s">
        <v>15</v>
      </c>
      <c r="F1048" t="s">
        <v>16</v>
      </c>
      <c r="G1048" t="s">
        <v>24</v>
      </c>
      <c r="H1048">
        <v>54</v>
      </c>
    </row>
    <row r="1049" spans="1:8" x14ac:dyDescent="0.3">
      <c r="A1049" t="s">
        <v>1947</v>
      </c>
      <c r="B1049" t="s">
        <v>646</v>
      </c>
      <c r="C1049" s="4">
        <v>45528</v>
      </c>
      <c r="D1049">
        <v>402755.87</v>
      </c>
      <c r="E1049" t="s">
        <v>10</v>
      </c>
      <c r="F1049" t="s">
        <v>16</v>
      </c>
      <c r="G1049" t="s">
        <v>12</v>
      </c>
      <c r="H1049">
        <v>43</v>
      </c>
    </row>
    <row r="1050" spans="1:8" x14ac:dyDescent="0.3">
      <c r="A1050" t="s">
        <v>1948</v>
      </c>
      <c r="B1050" t="s">
        <v>22</v>
      </c>
      <c r="C1050" s="4">
        <v>45455</v>
      </c>
      <c r="D1050">
        <v>421411.19</v>
      </c>
      <c r="E1050" t="s">
        <v>10</v>
      </c>
      <c r="F1050" t="s">
        <v>11</v>
      </c>
      <c r="G1050" t="s">
        <v>24</v>
      </c>
      <c r="H1050">
        <v>23</v>
      </c>
    </row>
    <row r="1051" spans="1:8" x14ac:dyDescent="0.3">
      <c r="A1051" t="s">
        <v>1949</v>
      </c>
      <c r="B1051" t="s">
        <v>105</v>
      </c>
      <c r="C1051" s="4">
        <v>45370</v>
      </c>
      <c r="D1051">
        <v>70209.919999999998</v>
      </c>
      <c r="E1051" t="s">
        <v>15</v>
      </c>
      <c r="F1051" t="s">
        <v>20</v>
      </c>
      <c r="G1051" t="s">
        <v>24</v>
      </c>
      <c r="H1051">
        <v>2</v>
      </c>
    </row>
    <row r="1052" spans="1:8" x14ac:dyDescent="0.3">
      <c r="A1052" t="s">
        <v>1950</v>
      </c>
      <c r="B1052" t="s">
        <v>1951</v>
      </c>
      <c r="C1052" s="4">
        <v>45482</v>
      </c>
      <c r="D1052">
        <v>316872.07</v>
      </c>
      <c r="E1052" t="s">
        <v>19</v>
      </c>
      <c r="F1052" t="s">
        <v>23</v>
      </c>
      <c r="G1052" t="s">
        <v>24</v>
      </c>
      <c r="H1052">
        <v>39</v>
      </c>
    </row>
    <row r="1053" spans="1:8" x14ac:dyDescent="0.3">
      <c r="A1053" t="s">
        <v>1952</v>
      </c>
      <c r="B1053" t="s">
        <v>1953</v>
      </c>
      <c r="C1053" s="4">
        <v>44851</v>
      </c>
      <c r="D1053">
        <v>70399.37</v>
      </c>
      <c r="E1053" t="s">
        <v>15</v>
      </c>
      <c r="F1053" t="s">
        <v>23</v>
      </c>
      <c r="G1053" t="s">
        <v>24</v>
      </c>
      <c r="H1053">
        <v>26</v>
      </c>
    </row>
    <row r="1054" spans="1:8" x14ac:dyDescent="0.3">
      <c r="A1054" t="s">
        <v>1954</v>
      </c>
      <c r="B1054" t="s">
        <v>1955</v>
      </c>
      <c r="C1054" s="4">
        <v>44425</v>
      </c>
      <c r="D1054">
        <v>233666.49</v>
      </c>
      <c r="E1054" t="s">
        <v>15</v>
      </c>
      <c r="F1054" t="s">
        <v>16</v>
      </c>
      <c r="G1054" t="s">
        <v>24</v>
      </c>
      <c r="H1054">
        <v>42</v>
      </c>
    </row>
    <row r="1055" spans="1:8" x14ac:dyDescent="0.3">
      <c r="A1055" t="s">
        <v>1956</v>
      </c>
      <c r="B1055" t="s">
        <v>1957</v>
      </c>
      <c r="C1055" s="4">
        <v>45155</v>
      </c>
      <c r="D1055">
        <v>77261.5</v>
      </c>
      <c r="E1055" t="s">
        <v>15</v>
      </c>
      <c r="F1055" t="s">
        <v>34</v>
      </c>
      <c r="G1055" t="s">
        <v>12</v>
      </c>
      <c r="H1055">
        <v>23</v>
      </c>
    </row>
    <row r="1056" spans="1:8" x14ac:dyDescent="0.3">
      <c r="A1056" t="s">
        <v>1958</v>
      </c>
      <c r="B1056" t="s">
        <v>1019</v>
      </c>
      <c r="C1056" s="4">
        <v>45310</v>
      </c>
      <c r="D1056">
        <v>181111.66</v>
      </c>
      <c r="E1056" t="s">
        <v>15</v>
      </c>
      <c r="F1056" t="s">
        <v>16</v>
      </c>
      <c r="G1056" t="s">
        <v>12</v>
      </c>
      <c r="H1056">
        <v>5</v>
      </c>
    </row>
    <row r="1057" spans="1:8" x14ac:dyDescent="0.3">
      <c r="A1057" t="s">
        <v>1959</v>
      </c>
      <c r="B1057" t="s">
        <v>757</v>
      </c>
      <c r="C1057" s="4">
        <v>45431</v>
      </c>
      <c r="D1057">
        <v>33122.94</v>
      </c>
      <c r="E1057" t="s">
        <v>15</v>
      </c>
      <c r="F1057" t="s">
        <v>20</v>
      </c>
      <c r="G1057" t="s">
        <v>12</v>
      </c>
      <c r="H1057">
        <v>7</v>
      </c>
    </row>
    <row r="1058" spans="1:8" x14ac:dyDescent="0.3">
      <c r="A1058" t="s">
        <v>1960</v>
      </c>
      <c r="B1058" t="s">
        <v>1961</v>
      </c>
      <c r="C1058" s="4">
        <v>45416</v>
      </c>
      <c r="D1058">
        <v>235128.7</v>
      </c>
      <c r="E1058" t="s">
        <v>19</v>
      </c>
      <c r="F1058" t="s">
        <v>11</v>
      </c>
      <c r="G1058" t="s">
        <v>12</v>
      </c>
      <c r="H1058">
        <v>39</v>
      </c>
    </row>
    <row r="1059" spans="1:8" x14ac:dyDescent="0.3">
      <c r="A1059" t="s">
        <v>1962</v>
      </c>
      <c r="B1059" t="s">
        <v>1963</v>
      </c>
      <c r="C1059" s="4">
        <v>45167</v>
      </c>
      <c r="D1059">
        <v>346442.46</v>
      </c>
      <c r="E1059" t="s">
        <v>10</v>
      </c>
      <c r="F1059" t="s">
        <v>23</v>
      </c>
      <c r="G1059" t="s">
        <v>12</v>
      </c>
      <c r="H1059">
        <v>5</v>
      </c>
    </row>
    <row r="1060" spans="1:8" x14ac:dyDescent="0.3">
      <c r="A1060" t="s">
        <v>1964</v>
      </c>
      <c r="B1060" t="s">
        <v>1965</v>
      </c>
      <c r="C1060" s="4">
        <v>45406</v>
      </c>
      <c r="D1060">
        <v>26983.11</v>
      </c>
      <c r="E1060" t="s">
        <v>15</v>
      </c>
      <c r="F1060" t="s">
        <v>11</v>
      </c>
      <c r="G1060" t="s">
        <v>24</v>
      </c>
      <c r="H1060">
        <v>31</v>
      </c>
    </row>
    <row r="1061" spans="1:8" x14ac:dyDescent="0.3">
      <c r="A1061" t="s">
        <v>1966</v>
      </c>
      <c r="B1061" t="s">
        <v>1967</v>
      </c>
      <c r="C1061" s="4">
        <v>44880</v>
      </c>
      <c r="D1061">
        <v>24126.7</v>
      </c>
      <c r="E1061" t="s">
        <v>19</v>
      </c>
      <c r="F1061" t="s">
        <v>23</v>
      </c>
      <c r="G1061" t="s">
        <v>12</v>
      </c>
      <c r="H1061">
        <v>47</v>
      </c>
    </row>
    <row r="1062" spans="1:8" x14ac:dyDescent="0.3">
      <c r="A1062" t="s">
        <v>1968</v>
      </c>
      <c r="B1062" t="s">
        <v>1969</v>
      </c>
      <c r="C1062" s="4">
        <v>45614</v>
      </c>
      <c r="D1062">
        <v>281160.61</v>
      </c>
      <c r="E1062" t="s">
        <v>15</v>
      </c>
      <c r="F1062" t="s">
        <v>20</v>
      </c>
      <c r="G1062" t="s">
        <v>12</v>
      </c>
      <c r="H1062">
        <v>50</v>
      </c>
    </row>
    <row r="1063" spans="1:8" x14ac:dyDescent="0.3">
      <c r="A1063" t="s">
        <v>1970</v>
      </c>
      <c r="B1063" t="s">
        <v>1971</v>
      </c>
      <c r="C1063" s="4">
        <v>45402</v>
      </c>
      <c r="D1063">
        <v>201329.38</v>
      </c>
      <c r="E1063" t="s">
        <v>15</v>
      </c>
      <c r="F1063" t="s">
        <v>34</v>
      </c>
      <c r="G1063" t="s">
        <v>12</v>
      </c>
      <c r="H1063">
        <v>4</v>
      </c>
    </row>
    <row r="1064" spans="1:8" x14ac:dyDescent="0.3">
      <c r="A1064" t="s">
        <v>1972</v>
      </c>
      <c r="B1064" t="s">
        <v>1973</v>
      </c>
      <c r="C1064" s="4">
        <v>45573</v>
      </c>
      <c r="D1064">
        <v>281423.03000000003</v>
      </c>
      <c r="E1064" t="s">
        <v>19</v>
      </c>
      <c r="F1064" t="s">
        <v>11</v>
      </c>
      <c r="G1064" t="s">
        <v>12</v>
      </c>
      <c r="H1064">
        <v>34</v>
      </c>
    </row>
    <row r="1065" spans="1:8" x14ac:dyDescent="0.3">
      <c r="A1065" t="s">
        <v>1974</v>
      </c>
      <c r="B1065" t="s">
        <v>1975</v>
      </c>
      <c r="C1065" s="4">
        <v>44959</v>
      </c>
      <c r="D1065">
        <v>324761.48</v>
      </c>
      <c r="E1065" t="s">
        <v>15</v>
      </c>
      <c r="F1065" t="s">
        <v>16</v>
      </c>
      <c r="G1065" t="s">
        <v>12</v>
      </c>
      <c r="H1065">
        <v>48</v>
      </c>
    </row>
    <row r="1066" spans="1:8" x14ac:dyDescent="0.3">
      <c r="A1066" t="s">
        <v>1976</v>
      </c>
      <c r="B1066" t="s">
        <v>1977</v>
      </c>
      <c r="C1066" s="4">
        <v>45161</v>
      </c>
      <c r="D1066">
        <v>278760.01</v>
      </c>
      <c r="E1066" t="s">
        <v>19</v>
      </c>
      <c r="F1066" t="s">
        <v>34</v>
      </c>
      <c r="G1066" t="s">
        <v>24</v>
      </c>
      <c r="H1066">
        <v>24</v>
      </c>
    </row>
    <row r="1067" spans="1:8" x14ac:dyDescent="0.3">
      <c r="A1067" t="s">
        <v>1978</v>
      </c>
      <c r="B1067" t="s">
        <v>1979</v>
      </c>
      <c r="C1067" s="4">
        <v>45174</v>
      </c>
      <c r="D1067">
        <v>187163.61</v>
      </c>
      <c r="E1067" t="s">
        <v>19</v>
      </c>
      <c r="F1067" t="s">
        <v>34</v>
      </c>
      <c r="G1067" t="s">
        <v>24</v>
      </c>
      <c r="H1067">
        <v>51</v>
      </c>
    </row>
    <row r="1068" spans="1:8" x14ac:dyDescent="0.3">
      <c r="A1068" t="s">
        <v>1980</v>
      </c>
      <c r="B1068" t="s">
        <v>812</v>
      </c>
      <c r="C1068" s="4">
        <v>45142</v>
      </c>
      <c r="D1068">
        <v>125179.67</v>
      </c>
      <c r="E1068" t="s">
        <v>19</v>
      </c>
      <c r="F1068" t="s">
        <v>16</v>
      </c>
      <c r="G1068" t="s">
        <v>12</v>
      </c>
      <c r="H1068">
        <v>35</v>
      </c>
    </row>
    <row r="1069" spans="1:8" x14ac:dyDescent="0.3">
      <c r="A1069" t="s">
        <v>1981</v>
      </c>
      <c r="B1069" t="s">
        <v>1982</v>
      </c>
      <c r="C1069" s="4">
        <v>45163</v>
      </c>
      <c r="D1069">
        <v>220835.29</v>
      </c>
      <c r="E1069" t="s">
        <v>10</v>
      </c>
      <c r="F1069" t="s">
        <v>20</v>
      </c>
      <c r="G1069" t="s">
        <v>24</v>
      </c>
      <c r="H1069">
        <v>44</v>
      </c>
    </row>
    <row r="1070" spans="1:8" x14ac:dyDescent="0.3">
      <c r="A1070" t="s">
        <v>1983</v>
      </c>
      <c r="B1070" t="s">
        <v>1589</v>
      </c>
      <c r="C1070" s="4">
        <v>45200</v>
      </c>
      <c r="D1070">
        <v>397082.84</v>
      </c>
      <c r="E1070" t="s">
        <v>15</v>
      </c>
      <c r="F1070" t="s">
        <v>20</v>
      </c>
      <c r="G1070" t="s">
        <v>12</v>
      </c>
      <c r="H1070">
        <v>12</v>
      </c>
    </row>
    <row r="1071" spans="1:8" x14ac:dyDescent="0.3">
      <c r="A1071" t="s">
        <v>1984</v>
      </c>
      <c r="B1071" t="s">
        <v>1985</v>
      </c>
      <c r="C1071" s="4">
        <v>45032</v>
      </c>
      <c r="D1071">
        <v>387793.07</v>
      </c>
      <c r="E1071" t="s">
        <v>19</v>
      </c>
      <c r="F1071" t="s">
        <v>11</v>
      </c>
      <c r="G1071" t="s">
        <v>24</v>
      </c>
      <c r="H1071">
        <v>26</v>
      </c>
    </row>
    <row r="1072" spans="1:8" x14ac:dyDescent="0.3">
      <c r="A1072" t="s">
        <v>1986</v>
      </c>
      <c r="B1072" t="s">
        <v>396</v>
      </c>
      <c r="C1072" s="4">
        <v>45636</v>
      </c>
      <c r="D1072">
        <v>234777.53</v>
      </c>
      <c r="E1072" t="s">
        <v>10</v>
      </c>
      <c r="F1072" t="s">
        <v>20</v>
      </c>
      <c r="G1072" t="s">
        <v>12</v>
      </c>
      <c r="H1072">
        <v>31</v>
      </c>
    </row>
    <row r="1073" spans="1:8" x14ac:dyDescent="0.3">
      <c r="A1073" t="s">
        <v>1987</v>
      </c>
      <c r="B1073" t="s">
        <v>1988</v>
      </c>
      <c r="C1073" s="4">
        <v>45457</v>
      </c>
      <c r="D1073">
        <v>427117.57</v>
      </c>
      <c r="E1073" t="s">
        <v>10</v>
      </c>
      <c r="F1073" t="s">
        <v>20</v>
      </c>
      <c r="G1073" t="s">
        <v>12</v>
      </c>
      <c r="H1073">
        <v>32</v>
      </c>
    </row>
    <row r="1074" spans="1:8" x14ac:dyDescent="0.3">
      <c r="A1074" t="s">
        <v>1989</v>
      </c>
      <c r="B1074" t="s">
        <v>1877</v>
      </c>
      <c r="C1074" s="4">
        <v>45294</v>
      </c>
      <c r="D1074">
        <v>486196.52</v>
      </c>
      <c r="E1074" t="s">
        <v>19</v>
      </c>
      <c r="F1074" t="s">
        <v>20</v>
      </c>
      <c r="G1074" t="s">
        <v>12</v>
      </c>
      <c r="H1074">
        <v>34</v>
      </c>
    </row>
    <row r="1075" spans="1:8" x14ac:dyDescent="0.3">
      <c r="A1075" t="s">
        <v>1990</v>
      </c>
      <c r="B1075" t="s">
        <v>1991</v>
      </c>
      <c r="C1075" s="4">
        <v>45593</v>
      </c>
      <c r="D1075">
        <v>131472.84</v>
      </c>
      <c r="E1075" t="s">
        <v>19</v>
      </c>
      <c r="F1075" t="s">
        <v>16</v>
      </c>
      <c r="G1075" t="s">
        <v>24</v>
      </c>
      <c r="H1075">
        <v>4</v>
      </c>
    </row>
    <row r="1076" spans="1:8" x14ac:dyDescent="0.3">
      <c r="A1076" t="s">
        <v>1992</v>
      </c>
      <c r="B1076" t="s">
        <v>1660</v>
      </c>
      <c r="C1076" s="4">
        <v>44515</v>
      </c>
      <c r="D1076">
        <v>355607.25</v>
      </c>
      <c r="E1076" t="s">
        <v>15</v>
      </c>
      <c r="F1076" t="s">
        <v>16</v>
      </c>
      <c r="G1076" t="s">
        <v>12</v>
      </c>
      <c r="H1076">
        <v>18</v>
      </c>
    </row>
    <row r="1077" spans="1:8" x14ac:dyDescent="0.3">
      <c r="A1077" t="s">
        <v>1993</v>
      </c>
      <c r="B1077" t="s">
        <v>1994</v>
      </c>
      <c r="C1077" s="4">
        <v>45027</v>
      </c>
      <c r="D1077">
        <v>180876</v>
      </c>
      <c r="E1077" t="s">
        <v>15</v>
      </c>
      <c r="F1077" t="s">
        <v>23</v>
      </c>
      <c r="G1077" t="s">
        <v>24</v>
      </c>
      <c r="H1077">
        <v>57</v>
      </c>
    </row>
    <row r="1078" spans="1:8" x14ac:dyDescent="0.3">
      <c r="A1078" t="s">
        <v>1995</v>
      </c>
      <c r="B1078" t="s">
        <v>1996</v>
      </c>
      <c r="C1078" s="4">
        <v>45648</v>
      </c>
      <c r="D1078">
        <v>103446.66</v>
      </c>
      <c r="E1078" t="s">
        <v>19</v>
      </c>
      <c r="F1078" t="s">
        <v>16</v>
      </c>
      <c r="G1078" t="s">
        <v>24</v>
      </c>
      <c r="H1078">
        <v>47</v>
      </c>
    </row>
    <row r="1079" spans="1:8" x14ac:dyDescent="0.3">
      <c r="A1079" t="s">
        <v>1997</v>
      </c>
      <c r="B1079" t="s">
        <v>1998</v>
      </c>
      <c r="C1079" s="4">
        <v>45094</v>
      </c>
      <c r="D1079">
        <v>153171.62</v>
      </c>
      <c r="E1079" t="s">
        <v>19</v>
      </c>
      <c r="F1079" t="s">
        <v>16</v>
      </c>
      <c r="G1079" t="s">
        <v>12</v>
      </c>
      <c r="H1079">
        <v>18</v>
      </c>
    </row>
    <row r="1080" spans="1:8" x14ac:dyDescent="0.3">
      <c r="A1080" t="s">
        <v>1999</v>
      </c>
      <c r="B1080" t="s">
        <v>2000</v>
      </c>
      <c r="C1080" s="4">
        <v>44920</v>
      </c>
      <c r="D1080">
        <v>41758.370000000003</v>
      </c>
      <c r="E1080" t="s">
        <v>19</v>
      </c>
      <c r="F1080" t="s">
        <v>23</v>
      </c>
      <c r="G1080" t="s">
        <v>12</v>
      </c>
      <c r="H1080">
        <v>43</v>
      </c>
    </row>
    <row r="1081" spans="1:8" x14ac:dyDescent="0.3">
      <c r="A1081" t="s">
        <v>2001</v>
      </c>
      <c r="B1081" t="s">
        <v>1050</v>
      </c>
      <c r="C1081" s="4">
        <v>45164</v>
      </c>
      <c r="D1081">
        <v>245499.84</v>
      </c>
      <c r="E1081" t="s">
        <v>15</v>
      </c>
      <c r="F1081" t="s">
        <v>16</v>
      </c>
      <c r="G1081" t="s">
        <v>24</v>
      </c>
      <c r="H1081">
        <v>49</v>
      </c>
    </row>
    <row r="1082" spans="1:8" x14ac:dyDescent="0.3">
      <c r="A1082" t="s">
        <v>2002</v>
      </c>
      <c r="B1082" t="s">
        <v>2003</v>
      </c>
      <c r="C1082" s="4">
        <v>45653</v>
      </c>
      <c r="D1082">
        <v>145795.85999999999</v>
      </c>
      <c r="E1082" t="s">
        <v>15</v>
      </c>
      <c r="F1082" t="s">
        <v>16</v>
      </c>
      <c r="G1082" t="s">
        <v>12</v>
      </c>
      <c r="H1082">
        <v>8</v>
      </c>
    </row>
    <row r="1083" spans="1:8" x14ac:dyDescent="0.3">
      <c r="A1083" t="s">
        <v>2004</v>
      </c>
      <c r="B1083" t="s">
        <v>2005</v>
      </c>
      <c r="C1083" s="4">
        <v>45269</v>
      </c>
      <c r="D1083">
        <v>296107.2</v>
      </c>
      <c r="E1083" t="s">
        <v>15</v>
      </c>
      <c r="F1083" t="s">
        <v>23</v>
      </c>
      <c r="G1083" t="s">
        <v>24</v>
      </c>
      <c r="H1083">
        <v>51</v>
      </c>
    </row>
    <row r="1084" spans="1:8" x14ac:dyDescent="0.3">
      <c r="A1084" t="s">
        <v>2006</v>
      </c>
      <c r="B1084" t="s">
        <v>2007</v>
      </c>
      <c r="C1084" s="4">
        <v>45026</v>
      </c>
      <c r="D1084">
        <v>269303.65000000002</v>
      </c>
      <c r="E1084" t="s">
        <v>10</v>
      </c>
      <c r="F1084" t="s">
        <v>20</v>
      </c>
      <c r="G1084" t="s">
        <v>24</v>
      </c>
      <c r="H1084">
        <v>35</v>
      </c>
    </row>
    <row r="1085" spans="1:8" x14ac:dyDescent="0.3">
      <c r="A1085" t="s">
        <v>2008</v>
      </c>
      <c r="B1085" t="s">
        <v>2009</v>
      </c>
      <c r="C1085" s="4">
        <v>45238</v>
      </c>
      <c r="D1085">
        <v>80133.47</v>
      </c>
      <c r="E1085" t="s">
        <v>19</v>
      </c>
      <c r="F1085" t="s">
        <v>23</v>
      </c>
      <c r="G1085" t="s">
        <v>24</v>
      </c>
      <c r="H1085">
        <v>19</v>
      </c>
    </row>
    <row r="1086" spans="1:8" x14ac:dyDescent="0.3">
      <c r="A1086" t="s">
        <v>2010</v>
      </c>
      <c r="B1086" t="s">
        <v>2011</v>
      </c>
      <c r="C1086" s="4">
        <v>44708</v>
      </c>
      <c r="D1086">
        <v>135867.93</v>
      </c>
      <c r="E1086" t="s">
        <v>15</v>
      </c>
      <c r="F1086" t="s">
        <v>34</v>
      </c>
      <c r="G1086" t="s">
        <v>24</v>
      </c>
      <c r="H1086">
        <v>42</v>
      </c>
    </row>
    <row r="1087" spans="1:8" x14ac:dyDescent="0.3">
      <c r="A1087" t="s">
        <v>2012</v>
      </c>
      <c r="B1087" t="s">
        <v>2013</v>
      </c>
      <c r="C1087" s="4">
        <v>45148</v>
      </c>
      <c r="D1087">
        <v>156004.62</v>
      </c>
      <c r="E1087" t="s">
        <v>10</v>
      </c>
      <c r="F1087" t="s">
        <v>23</v>
      </c>
      <c r="G1087" t="s">
        <v>12</v>
      </c>
      <c r="H1087">
        <v>43</v>
      </c>
    </row>
    <row r="1088" spans="1:8" x14ac:dyDescent="0.3">
      <c r="A1088" t="s">
        <v>2014</v>
      </c>
      <c r="B1088" t="s">
        <v>2015</v>
      </c>
      <c r="C1088" s="4">
        <v>45263</v>
      </c>
      <c r="D1088">
        <v>177091.43</v>
      </c>
      <c r="E1088" t="s">
        <v>15</v>
      </c>
      <c r="F1088" t="s">
        <v>23</v>
      </c>
      <c r="G1088" t="s">
        <v>24</v>
      </c>
      <c r="H1088">
        <v>54</v>
      </c>
    </row>
    <row r="1089" spans="1:8" x14ac:dyDescent="0.3">
      <c r="A1089" t="s">
        <v>2016</v>
      </c>
      <c r="B1089" t="s">
        <v>2017</v>
      </c>
      <c r="C1089" s="4">
        <v>45498</v>
      </c>
      <c r="D1089">
        <v>127813.89</v>
      </c>
      <c r="E1089" t="s">
        <v>10</v>
      </c>
      <c r="F1089" t="s">
        <v>11</v>
      </c>
      <c r="G1089" t="s">
        <v>24</v>
      </c>
      <c r="H1089">
        <v>33</v>
      </c>
    </row>
    <row r="1090" spans="1:8" x14ac:dyDescent="0.3">
      <c r="A1090" t="s">
        <v>2018</v>
      </c>
      <c r="B1090" t="s">
        <v>2019</v>
      </c>
      <c r="C1090" s="4">
        <v>45485</v>
      </c>
      <c r="D1090">
        <v>389560.07</v>
      </c>
      <c r="E1090" t="s">
        <v>19</v>
      </c>
      <c r="F1090" t="s">
        <v>11</v>
      </c>
      <c r="G1090" t="s">
        <v>24</v>
      </c>
      <c r="H1090">
        <v>46</v>
      </c>
    </row>
    <row r="1091" spans="1:8" x14ac:dyDescent="0.3">
      <c r="A1091" t="s">
        <v>2020</v>
      </c>
      <c r="B1091" t="s">
        <v>884</v>
      </c>
      <c r="C1091" s="4">
        <v>45253</v>
      </c>
      <c r="D1091">
        <v>308586.65000000002</v>
      </c>
      <c r="E1091" t="s">
        <v>10</v>
      </c>
      <c r="F1091" t="s">
        <v>16</v>
      </c>
      <c r="G1091" t="s">
        <v>12</v>
      </c>
      <c r="H1091">
        <v>33</v>
      </c>
    </row>
    <row r="1092" spans="1:8" x14ac:dyDescent="0.3">
      <c r="A1092" t="s">
        <v>2021</v>
      </c>
      <c r="B1092" t="s">
        <v>2022</v>
      </c>
      <c r="C1092" s="4">
        <v>44807</v>
      </c>
      <c r="D1092">
        <v>133341.01</v>
      </c>
      <c r="E1092" t="s">
        <v>10</v>
      </c>
      <c r="F1092" t="s">
        <v>34</v>
      </c>
      <c r="G1092" t="s">
        <v>12</v>
      </c>
      <c r="H1092">
        <v>40</v>
      </c>
    </row>
    <row r="1093" spans="1:8" x14ac:dyDescent="0.3">
      <c r="A1093" t="s">
        <v>2023</v>
      </c>
      <c r="B1093" t="s">
        <v>2024</v>
      </c>
      <c r="C1093" s="4">
        <v>45040</v>
      </c>
      <c r="D1093">
        <v>297490.28999999998</v>
      </c>
      <c r="E1093" t="s">
        <v>15</v>
      </c>
      <c r="F1093" t="s">
        <v>20</v>
      </c>
      <c r="G1093" t="s">
        <v>24</v>
      </c>
      <c r="H1093">
        <v>56</v>
      </c>
    </row>
    <row r="1094" spans="1:8" x14ac:dyDescent="0.3">
      <c r="A1094" t="s">
        <v>2025</v>
      </c>
      <c r="B1094" t="s">
        <v>2026</v>
      </c>
      <c r="C1094" s="4">
        <v>45488</v>
      </c>
      <c r="D1094">
        <v>313329.37</v>
      </c>
      <c r="E1094" t="s">
        <v>15</v>
      </c>
      <c r="F1094" t="s">
        <v>20</v>
      </c>
      <c r="G1094" t="s">
        <v>12</v>
      </c>
      <c r="H1094">
        <v>9</v>
      </c>
    </row>
    <row r="1095" spans="1:8" x14ac:dyDescent="0.3">
      <c r="A1095" t="s">
        <v>2027</v>
      </c>
      <c r="B1095" t="s">
        <v>231</v>
      </c>
      <c r="C1095" s="4">
        <v>44883</v>
      </c>
      <c r="D1095">
        <v>409795.01</v>
      </c>
      <c r="E1095" t="s">
        <v>10</v>
      </c>
      <c r="F1095" t="s">
        <v>34</v>
      </c>
      <c r="G1095" t="s">
        <v>12</v>
      </c>
      <c r="H1095">
        <v>23</v>
      </c>
    </row>
    <row r="1096" spans="1:8" x14ac:dyDescent="0.3">
      <c r="A1096" t="s">
        <v>2028</v>
      </c>
      <c r="B1096" t="s">
        <v>2029</v>
      </c>
      <c r="C1096" s="4">
        <v>44358</v>
      </c>
      <c r="D1096">
        <v>134950.23000000001</v>
      </c>
      <c r="E1096" t="s">
        <v>15</v>
      </c>
      <c r="F1096" t="s">
        <v>20</v>
      </c>
      <c r="G1096" t="s">
        <v>12</v>
      </c>
      <c r="H1096">
        <v>8</v>
      </c>
    </row>
    <row r="1097" spans="1:8" x14ac:dyDescent="0.3">
      <c r="A1097" t="s">
        <v>2030</v>
      </c>
      <c r="B1097" t="s">
        <v>2031</v>
      </c>
      <c r="C1097" s="4">
        <v>45221</v>
      </c>
      <c r="D1097">
        <v>314376.99</v>
      </c>
      <c r="E1097" t="s">
        <v>19</v>
      </c>
      <c r="F1097" t="s">
        <v>16</v>
      </c>
      <c r="G1097" t="s">
        <v>12</v>
      </c>
      <c r="H1097">
        <v>16</v>
      </c>
    </row>
    <row r="1098" spans="1:8" x14ac:dyDescent="0.3">
      <c r="A1098" t="s">
        <v>2032</v>
      </c>
      <c r="B1098" t="s">
        <v>2033</v>
      </c>
      <c r="C1098" s="4">
        <v>45158</v>
      </c>
      <c r="D1098">
        <v>99667.81</v>
      </c>
      <c r="E1098" t="s">
        <v>15</v>
      </c>
      <c r="F1098" t="s">
        <v>34</v>
      </c>
      <c r="G1098" t="s">
        <v>12</v>
      </c>
      <c r="H1098">
        <v>45</v>
      </c>
    </row>
    <row r="1099" spans="1:8" x14ac:dyDescent="0.3">
      <c r="A1099" t="s">
        <v>2034</v>
      </c>
      <c r="B1099" t="s">
        <v>2035</v>
      </c>
      <c r="C1099" s="4">
        <v>45489</v>
      </c>
      <c r="D1099">
        <v>394584.75</v>
      </c>
      <c r="E1099" t="s">
        <v>15</v>
      </c>
      <c r="F1099" t="s">
        <v>34</v>
      </c>
      <c r="G1099" t="s">
        <v>12</v>
      </c>
      <c r="H1099">
        <v>8</v>
      </c>
    </row>
    <row r="1100" spans="1:8" x14ac:dyDescent="0.3">
      <c r="A1100" t="s">
        <v>2036</v>
      </c>
      <c r="B1100" t="s">
        <v>2037</v>
      </c>
      <c r="C1100" s="4">
        <v>45118</v>
      </c>
      <c r="D1100">
        <v>145742.13</v>
      </c>
      <c r="E1100" t="s">
        <v>10</v>
      </c>
      <c r="F1100" t="s">
        <v>11</v>
      </c>
      <c r="G1100" t="s">
        <v>24</v>
      </c>
      <c r="H1100">
        <v>29</v>
      </c>
    </row>
    <row r="1101" spans="1:8" x14ac:dyDescent="0.3">
      <c r="A1101" t="s">
        <v>2038</v>
      </c>
      <c r="B1101" t="s">
        <v>2039</v>
      </c>
      <c r="C1101" s="4">
        <v>45174</v>
      </c>
      <c r="D1101">
        <v>287201.13</v>
      </c>
      <c r="E1101" t="s">
        <v>19</v>
      </c>
      <c r="F1101" t="s">
        <v>20</v>
      </c>
      <c r="G1101" t="s">
        <v>24</v>
      </c>
      <c r="H1101">
        <v>8</v>
      </c>
    </row>
    <row r="1102" spans="1:8" x14ac:dyDescent="0.3">
      <c r="A1102" t="s">
        <v>2040</v>
      </c>
      <c r="B1102" t="s">
        <v>2041</v>
      </c>
      <c r="C1102" s="4">
        <v>44951</v>
      </c>
      <c r="D1102">
        <v>123980.04</v>
      </c>
      <c r="E1102" t="s">
        <v>19</v>
      </c>
      <c r="F1102" t="s">
        <v>20</v>
      </c>
      <c r="G1102" t="s">
        <v>24</v>
      </c>
      <c r="H1102">
        <v>37</v>
      </c>
    </row>
    <row r="1103" spans="1:8" x14ac:dyDescent="0.3">
      <c r="A1103" t="s">
        <v>2042</v>
      </c>
      <c r="B1103" t="s">
        <v>2043</v>
      </c>
      <c r="C1103" s="4">
        <v>45480</v>
      </c>
      <c r="D1103">
        <v>494099.97</v>
      </c>
      <c r="E1103" t="s">
        <v>10</v>
      </c>
      <c r="F1103" t="s">
        <v>23</v>
      </c>
      <c r="G1103" t="s">
        <v>24</v>
      </c>
      <c r="H1103">
        <v>30</v>
      </c>
    </row>
    <row r="1104" spans="1:8" x14ac:dyDescent="0.3">
      <c r="A1104" t="s">
        <v>2044</v>
      </c>
      <c r="B1104" t="s">
        <v>2045</v>
      </c>
      <c r="C1104" s="4">
        <v>45088</v>
      </c>
      <c r="D1104">
        <v>322779.65999999997</v>
      </c>
      <c r="E1104" t="s">
        <v>10</v>
      </c>
      <c r="F1104" t="s">
        <v>16</v>
      </c>
      <c r="G1104" t="s">
        <v>24</v>
      </c>
      <c r="H1104">
        <v>24</v>
      </c>
    </row>
    <row r="1105" spans="1:8" x14ac:dyDescent="0.3">
      <c r="A1105" t="s">
        <v>2046</v>
      </c>
      <c r="B1105" t="s">
        <v>2047</v>
      </c>
      <c r="C1105" s="4">
        <v>44891</v>
      </c>
      <c r="D1105">
        <v>75734.81</v>
      </c>
      <c r="E1105" t="s">
        <v>19</v>
      </c>
      <c r="F1105" t="s">
        <v>20</v>
      </c>
      <c r="G1105" t="s">
        <v>24</v>
      </c>
      <c r="H1105">
        <v>14</v>
      </c>
    </row>
    <row r="1106" spans="1:8" x14ac:dyDescent="0.3">
      <c r="A1106" t="s">
        <v>2048</v>
      </c>
      <c r="B1106" t="s">
        <v>2049</v>
      </c>
      <c r="C1106" s="4">
        <v>44752</v>
      </c>
      <c r="D1106">
        <v>62444.41</v>
      </c>
      <c r="E1106" t="s">
        <v>10</v>
      </c>
      <c r="F1106" t="s">
        <v>34</v>
      </c>
      <c r="G1106" t="s">
        <v>24</v>
      </c>
      <c r="H1106">
        <v>8</v>
      </c>
    </row>
    <row r="1107" spans="1:8" x14ac:dyDescent="0.3">
      <c r="A1107" t="s">
        <v>2050</v>
      </c>
      <c r="B1107" t="s">
        <v>2051</v>
      </c>
      <c r="C1107" s="4">
        <v>44248</v>
      </c>
      <c r="D1107">
        <v>102146.21</v>
      </c>
      <c r="E1107" t="s">
        <v>19</v>
      </c>
      <c r="F1107" t="s">
        <v>23</v>
      </c>
      <c r="G1107" t="s">
        <v>12</v>
      </c>
      <c r="H1107">
        <v>48</v>
      </c>
    </row>
    <row r="1108" spans="1:8" x14ac:dyDescent="0.3">
      <c r="A1108" t="s">
        <v>2052</v>
      </c>
      <c r="B1108" t="s">
        <v>1044</v>
      </c>
      <c r="C1108" s="4">
        <v>44353</v>
      </c>
      <c r="D1108">
        <v>468828.3</v>
      </c>
      <c r="E1108" t="s">
        <v>10</v>
      </c>
      <c r="F1108" t="s">
        <v>20</v>
      </c>
      <c r="G1108" t="s">
        <v>12</v>
      </c>
      <c r="H1108">
        <v>57</v>
      </c>
    </row>
    <row r="1109" spans="1:8" x14ac:dyDescent="0.3">
      <c r="A1109" t="s">
        <v>2053</v>
      </c>
      <c r="B1109" t="s">
        <v>2054</v>
      </c>
      <c r="C1109" s="4">
        <v>44939</v>
      </c>
      <c r="D1109">
        <v>403404.26</v>
      </c>
      <c r="E1109" t="s">
        <v>19</v>
      </c>
      <c r="F1109" t="s">
        <v>20</v>
      </c>
      <c r="G1109" t="s">
        <v>24</v>
      </c>
      <c r="H1109">
        <v>32</v>
      </c>
    </row>
    <row r="1110" spans="1:8" x14ac:dyDescent="0.3">
      <c r="A1110" t="s">
        <v>2055</v>
      </c>
      <c r="B1110" t="s">
        <v>697</v>
      </c>
      <c r="C1110" s="4">
        <v>45520</v>
      </c>
      <c r="D1110">
        <v>429559.18</v>
      </c>
      <c r="E1110" t="s">
        <v>10</v>
      </c>
      <c r="F1110" t="s">
        <v>20</v>
      </c>
      <c r="G1110" t="s">
        <v>24</v>
      </c>
      <c r="H1110">
        <v>27</v>
      </c>
    </row>
    <row r="1111" spans="1:8" x14ac:dyDescent="0.3">
      <c r="A1111" t="s">
        <v>2056</v>
      </c>
      <c r="B1111" t="s">
        <v>1169</v>
      </c>
      <c r="C1111" s="4">
        <v>45148</v>
      </c>
      <c r="D1111">
        <v>450666.09</v>
      </c>
      <c r="E1111" t="s">
        <v>15</v>
      </c>
      <c r="F1111" t="s">
        <v>11</v>
      </c>
      <c r="G1111" t="s">
        <v>24</v>
      </c>
      <c r="H1111">
        <v>39</v>
      </c>
    </row>
    <row r="1112" spans="1:8" x14ac:dyDescent="0.3">
      <c r="A1112" t="s">
        <v>2057</v>
      </c>
      <c r="B1112" t="s">
        <v>2058</v>
      </c>
      <c r="C1112" s="4">
        <v>44806</v>
      </c>
      <c r="D1112">
        <v>130538.52</v>
      </c>
      <c r="E1112" t="s">
        <v>19</v>
      </c>
      <c r="F1112" t="s">
        <v>11</v>
      </c>
      <c r="G1112" t="s">
        <v>12</v>
      </c>
      <c r="H1112">
        <v>53</v>
      </c>
    </row>
    <row r="1113" spans="1:8" x14ac:dyDescent="0.3">
      <c r="A1113" t="s">
        <v>2059</v>
      </c>
      <c r="B1113" t="s">
        <v>1842</v>
      </c>
      <c r="C1113" s="4">
        <v>44346</v>
      </c>
      <c r="D1113">
        <v>485618.39</v>
      </c>
      <c r="E1113" t="s">
        <v>10</v>
      </c>
      <c r="F1113" t="s">
        <v>34</v>
      </c>
      <c r="G1113" t="s">
        <v>12</v>
      </c>
      <c r="H1113">
        <v>16</v>
      </c>
    </row>
    <row r="1114" spans="1:8" x14ac:dyDescent="0.3">
      <c r="A1114" t="s">
        <v>2060</v>
      </c>
      <c r="B1114" t="s">
        <v>2061</v>
      </c>
      <c r="C1114" s="4">
        <v>44974</v>
      </c>
      <c r="D1114">
        <v>161850.19</v>
      </c>
      <c r="E1114" t="s">
        <v>19</v>
      </c>
      <c r="F1114" t="s">
        <v>34</v>
      </c>
      <c r="G1114" t="s">
        <v>24</v>
      </c>
      <c r="H1114">
        <v>35</v>
      </c>
    </row>
    <row r="1115" spans="1:8" x14ac:dyDescent="0.3">
      <c r="A1115" t="s">
        <v>2062</v>
      </c>
      <c r="B1115" t="s">
        <v>2063</v>
      </c>
      <c r="C1115" s="4">
        <v>45246</v>
      </c>
      <c r="D1115">
        <v>159671.01</v>
      </c>
      <c r="E1115" t="s">
        <v>15</v>
      </c>
      <c r="F1115" t="s">
        <v>34</v>
      </c>
      <c r="G1115" t="s">
        <v>24</v>
      </c>
      <c r="H1115">
        <v>34</v>
      </c>
    </row>
    <row r="1116" spans="1:8" x14ac:dyDescent="0.3">
      <c r="A1116" t="s">
        <v>2064</v>
      </c>
      <c r="B1116" t="s">
        <v>2065</v>
      </c>
      <c r="C1116" s="4">
        <v>44846</v>
      </c>
      <c r="D1116">
        <v>29316.31</v>
      </c>
      <c r="E1116" t="s">
        <v>15</v>
      </c>
      <c r="F1116" t="s">
        <v>11</v>
      </c>
      <c r="G1116" t="s">
        <v>12</v>
      </c>
      <c r="H1116">
        <v>46</v>
      </c>
    </row>
    <row r="1117" spans="1:8" x14ac:dyDescent="0.3">
      <c r="A1117" t="s">
        <v>2066</v>
      </c>
      <c r="B1117" t="s">
        <v>2067</v>
      </c>
      <c r="C1117" s="4">
        <v>45515</v>
      </c>
      <c r="D1117">
        <v>419096.51</v>
      </c>
      <c r="E1117" t="s">
        <v>19</v>
      </c>
      <c r="F1117" t="s">
        <v>20</v>
      </c>
      <c r="G1117" t="s">
        <v>12</v>
      </c>
      <c r="H1117">
        <v>4</v>
      </c>
    </row>
    <row r="1118" spans="1:8" x14ac:dyDescent="0.3">
      <c r="A1118" t="s">
        <v>2068</v>
      </c>
      <c r="B1118" t="s">
        <v>2069</v>
      </c>
      <c r="C1118" s="4">
        <v>45171</v>
      </c>
      <c r="D1118">
        <v>413927.21</v>
      </c>
      <c r="E1118" t="s">
        <v>10</v>
      </c>
      <c r="F1118" t="s">
        <v>16</v>
      </c>
      <c r="G1118" t="s">
        <v>24</v>
      </c>
      <c r="H1118">
        <v>24</v>
      </c>
    </row>
    <row r="1119" spans="1:8" x14ac:dyDescent="0.3">
      <c r="A1119" t="s">
        <v>2070</v>
      </c>
      <c r="B1119" t="s">
        <v>2071</v>
      </c>
      <c r="C1119" s="4">
        <v>45174</v>
      </c>
      <c r="D1119">
        <v>481634.9</v>
      </c>
      <c r="E1119" t="s">
        <v>19</v>
      </c>
      <c r="F1119" t="s">
        <v>34</v>
      </c>
      <c r="G1119" t="s">
        <v>24</v>
      </c>
      <c r="H1119">
        <v>59</v>
      </c>
    </row>
    <row r="1120" spans="1:8" x14ac:dyDescent="0.3">
      <c r="A1120" t="s">
        <v>2072</v>
      </c>
      <c r="B1120" t="s">
        <v>2073</v>
      </c>
      <c r="C1120" s="4">
        <v>45606</v>
      </c>
      <c r="D1120">
        <v>38168.26</v>
      </c>
      <c r="E1120" t="s">
        <v>19</v>
      </c>
      <c r="F1120" t="s">
        <v>34</v>
      </c>
      <c r="G1120" t="s">
        <v>24</v>
      </c>
      <c r="H1120">
        <v>5</v>
      </c>
    </row>
    <row r="1121" spans="1:8" x14ac:dyDescent="0.3">
      <c r="A1121" t="s">
        <v>2074</v>
      </c>
      <c r="B1121" t="s">
        <v>2075</v>
      </c>
      <c r="C1121" s="4">
        <v>45650</v>
      </c>
      <c r="D1121">
        <v>19880.39</v>
      </c>
      <c r="E1121" t="s">
        <v>15</v>
      </c>
      <c r="F1121" t="s">
        <v>16</v>
      </c>
      <c r="G1121" t="s">
        <v>24</v>
      </c>
      <c r="H1121">
        <v>55</v>
      </c>
    </row>
    <row r="1122" spans="1:8" x14ac:dyDescent="0.3">
      <c r="A1122" t="s">
        <v>2076</v>
      </c>
      <c r="B1122" t="s">
        <v>2077</v>
      </c>
      <c r="C1122" s="4">
        <v>44925</v>
      </c>
      <c r="D1122">
        <v>19300.54</v>
      </c>
      <c r="E1122" t="s">
        <v>19</v>
      </c>
      <c r="F1122" t="s">
        <v>20</v>
      </c>
      <c r="G1122" t="s">
        <v>12</v>
      </c>
      <c r="H1122">
        <v>22</v>
      </c>
    </row>
    <row r="1123" spans="1:8" x14ac:dyDescent="0.3">
      <c r="A1123" t="s">
        <v>2078</v>
      </c>
      <c r="B1123" t="s">
        <v>2079</v>
      </c>
      <c r="C1123" s="4">
        <v>45200</v>
      </c>
      <c r="D1123">
        <v>212170.17</v>
      </c>
      <c r="E1123" t="s">
        <v>10</v>
      </c>
      <c r="F1123" t="s">
        <v>34</v>
      </c>
      <c r="G1123" t="s">
        <v>24</v>
      </c>
      <c r="H1123">
        <v>59</v>
      </c>
    </row>
    <row r="1124" spans="1:8" x14ac:dyDescent="0.3">
      <c r="A1124" t="s">
        <v>2080</v>
      </c>
      <c r="B1124" t="s">
        <v>2081</v>
      </c>
      <c r="C1124" s="4">
        <v>45232</v>
      </c>
      <c r="D1124">
        <v>12740.13</v>
      </c>
      <c r="E1124" t="s">
        <v>10</v>
      </c>
      <c r="F1124" t="s">
        <v>20</v>
      </c>
      <c r="G1124" t="s">
        <v>12</v>
      </c>
      <c r="H1124">
        <v>48</v>
      </c>
    </row>
    <row r="1125" spans="1:8" x14ac:dyDescent="0.3">
      <c r="A1125" t="s">
        <v>2082</v>
      </c>
      <c r="B1125" t="s">
        <v>2083</v>
      </c>
      <c r="C1125" s="4">
        <v>45424</v>
      </c>
      <c r="D1125">
        <v>11895.6</v>
      </c>
      <c r="E1125" t="s">
        <v>15</v>
      </c>
      <c r="F1125" t="s">
        <v>11</v>
      </c>
      <c r="G1125" t="s">
        <v>12</v>
      </c>
      <c r="H1125">
        <v>57</v>
      </c>
    </row>
    <row r="1126" spans="1:8" x14ac:dyDescent="0.3">
      <c r="A1126" t="s">
        <v>2084</v>
      </c>
      <c r="B1126" t="s">
        <v>2085</v>
      </c>
      <c r="C1126" s="4">
        <v>45187</v>
      </c>
      <c r="D1126">
        <v>21743.22</v>
      </c>
      <c r="E1126" t="s">
        <v>15</v>
      </c>
      <c r="F1126" t="s">
        <v>20</v>
      </c>
      <c r="G1126" t="s">
        <v>24</v>
      </c>
      <c r="H1126">
        <v>10</v>
      </c>
    </row>
    <row r="1127" spans="1:8" x14ac:dyDescent="0.3">
      <c r="A1127" t="s">
        <v>2086</v>
      </c>
      <c r="B1127" t="s">
        <v>286</v>
      </c>
      <c r="C1127" s="4">
        <v>45038</v>
      </c>
      <c r="D1127">
        <v>456759.14</v>
      </c>
      <c r="E1127" t="s">
        <v>15</v>
      </c>
      <c r="F1127" t="s">
        <v>34</v>
      </c>
      <c r="G1127" t="s">
        <v>12</v>
      </c>
      <c r="H1127">
        <v>27</v>
      </c>
    </row>
    <row r="1128" spans="1:8" x14ac:dyDescent="0.3">
      <c r="A1128" t="s">
        <v>2087</v>
      </c>
      <c r="B1128" t="s">
        <v>2088</v>
      </c>
      <c r="C1128" s="4">
        <v>44602</v>
      </c>
      <c r="D1128">
        <v>306810.69</v>
      </c>
      <c r="E1128" t="s">
        <v>19</v>
      </c>
      <c r="F1128" t="s">
        <v>34</v>
      </c>
      <c r="G1128" t="s">
        <v>24</v>
      </c>
      <c r="H1128">
        <v>32</v>
      </c>
    </row>
    <row r="1129" spans="1:8" x14ac:dyDescent="0.3">
      <c r="A1129" t="s">
        <v>2089</v>
      </c>
      <c r="B1129" t="s">
        <v>2090</v>
      </c>
      <c r="C1129" s="4">
        <v>44356</v>
      </c>
      <c r="D1129">
        <v>135588.35</v>
      </c>
      <c r="E1129" t="s">
        <v>19</v>
      </c>
      <c r="F1129" t="s">
        <v>11</v>
      </c>
      <c r="G1129" t="s">
        <v>24</v>
      </c>
      <c r="H1129">
        <v>59</v>
      </c>
    </row>
    <row r="1130" spans="1:8" x14ac:dyDescent="0.3">
      <c r="A1130" t="s">
        <v>2091</v>
      </c>
      <c r="B1130" t="s">
        <v>2092</v>
      </c>
      <c r="C1130" s="4">
        <v>45468</v>
      </c>
      <c r="D1130">
        <v>24517.19</v>
      </c>
      <c r="E1130" t="s">
        <v>19</v>
      </c>
      <c r="F1130" t="s">
        <v>20</v>
      </c>
      <c r="G1130" t="s">
        <v>12</v>
      </c>
      <c r="H1130">
        <v>41</v>
      </c>
    </row>
    <row r="1131" spans="1:8" x14ac:dyDescent="0.3">
      <c r="A1131" t="s">
        <v>2093</v>
      </c>
      <c r="B1131" t="s">
        <v>2094</v>
      </c>
      <c r="C1131" s="4">
        <v>45499</v>
      </c>
      <c r="D1131">
        <v>462850.09</v>
      </c>
      <c r="E1131" t="s">
        <v>19</v>
      </c>
      <c r="F1131" t="s">
        <v>23</v>
      </c>
      <c r="G1131" t="s">
        <v>24</v>
      </c>
      <c r="H1131">
        <v>47</v>
      </c>
    </row>
    <row r="1132" spans="1:8" x14ac:dyDescent="0.3">
      <c r="A1132" t="s">
        <v>2095</v>
      </c>
      <c r="B1132" t="s">
        <v>1853</v>
      </c>
      <c r="C1132" s="4">
        <v>45079</v>
      </c>
      <c r="D1132">
        <v>441157.49</v>
      </c>
      <c r="E1132" t="s">
        <v>19</v>
      </c>
      <c r="F1132" t="s">
        <v>20</v>
      </c>
      <c r="G1132" t="s">
        <v>12</v>
      </c>
      <c r="H1132">
        <v>28</v>
      </c>
    </row>
    <row r="1133" spans="1:8" x14ac:dyDescent="0.3">
      <c r="A1133" t="s">
        <v>2096</v>
      </c>
      <c r="B1133" t="s">
        <v>2097</v>
      </c>
      <c r="C1133" s="4">
        <v>44855</v>
      </c>
      <c r="D1133">
        <v>147778.63</v>
      </c>
      <c r="E1133" t="s">
        <v>10</v>
      </c>
      <c r="F1133" t="s">
        <v>20</v>
      </c>
      <c r="G1133" t="s">
        <v>24</v>
      </c>
      <c r="H1133">
        <v>43</v>
      </c>
    </row>
    <row r="1134" spans="1:8" x14ac:dyDescent="0.3">
      <c r="A1134" t="s">
        <v>2098</v>
      </c>
      <c r="B1134" t="s">
        <v>1676</v>
      </c>
      <c r="C1134" s="4">
        <v>44978</v>
      </c>
      <c r="D1134">
        <v>202118.38</v>
      </c>
      <c r="E1134" t="s">
        <v>19</v>
      </c>
      <c r="F1134" t="s">
        <v>23</v>
      </c>
      <c r="G1134" t="s">
        <v>24</v>
      </c>
      <c r="H1134">
        <v>11</v>
      </c>
    </row>
    <row r="1135" spans="1:8" x14ac:dyDescent="0.3">
      <c r="A1135" t="s">
        <v>2099</v>
      </c>
      <c r="B1135" t="s">
        <v>2041</v>
      </c>
      <c r="C1135" s="4">
        <v>44898</v>
      </c>
      <c r="D1135">
        <v>121717.53</v>
      </c>
      <c r="E1135" t="s">
        <v>15</v>
      </c>
      <c r="F1135" t="s">
        <v>16</v>
      </c>
      <c r="G1135" t="s">
        <v>24</v>
      </c>
      <c r="H1135">
        <v>34</v>
      </c>
    </row>
    <row r="1136" spans="1:8" x14ac:dyDescent="0.3">
      <c r="A1136" t="s">
        <v>2100</v>
      </c>
      <c r="B1136" t="s">
        <v>543</v>
      </c>
      <c r="C1136" s="4">
        <v>45384</v>
      </c>
      <c r="D1136">
        <v>211735.29</v>
      </c>
      <c r="E1136" t="s">
        <v>10</v>
      </c>
      <c r="F1136" t="s">
        <v>16</v>
      </c>
      <c r="G1136" t="s">
        <v>24</v>
      </c>
      <c r="H1136">
        <v>43</v>
      </c>
    </row>
    <row r="1137" spans="1:8" x14ac:dyDescent="0.3">
      <c r="A1137" t="s">
        <v>2101</v>
      </c>
      <c r="B1137" t="s">
        <v>2102</v>
      </c>
      <c r="C1137" s="4">
        <v>44959</v>
      </c>
      <c r="D1137">
        <v>23992.67</v>
      </c>
      <c r="E1137" t="s">
        <v>15</v>
      </c>
      <c r="F1137" t="s">
        <v>16</v>
      </c>
      <c r="G1137" t="s">
        <v>24</v>
      </c>
      <c r="H1137">
        <v>48</v>
      </c>
    </row>
    <row r="1138" spans="1:8" x14ac:dyDescent="0.3">
      <c r="A1138" t="s">
        <v>2103</v>
      </c>
      <c r="B1138" t="s">
        <v>2104</v>
      </c>
      <c r="C1138" s="4">
        <v>45564</v>
      </c>
      <c r="D1138">
        <v>378216.45</v>
      </c>
      <c r="E1138" t="s">
        <v>15</v>
      </c>
      <c r="F1138" t="s">
        <v>34</v>
      </c>
      <c r="G1138" t="s">
        <v>24</v>
      </c>
      <c r="H1138">
        <v>52</v>
      </c>
    </row>
    <row r="1139" spans="1:8" x14ac:dyDescent="0.3">
      <c r="A1139" t="s">
        <v>2105</v>
      </c>
      <c r="B1139" t="s">
        <v>1122</v>
      </c>
      <c r="C1139" s="4">
        <v>45196</v>
      </c>
      <c r="D1139">
        <v>359282.94</v>
      </c>
      <c r="E1139" t="s">
        <v>15</v>
      </c>
      <c r="F1139" t="s">
        <v>11</v>
      </c>
      <c r="G1139" t="s">
        <v>12</v>
      </c>
      <c r="H1139">
        <v>29</v>
      </c>
    </row>
    <row r="1140" spans="1:8" x14ac:dyDescent="0.3">
      <c r="A1140" t="s">
        <v>2106</v>
      </c>
      <c r="B1140" t="s">
        <v>2107</v>
      </c>
      <c r="C1140" s="4">
        <v>45176</v>
      </c>
      <c r="D1140">
        <v>418247.11</v>
      </c>
      <c r="E1140" t="s">
        <v>10</v>
      </c>
      <c r="F1140" t="s">
        <v>34</v>
      </c>
      <c r="G1140" t="s">
        <v>24</v>
      </c>
      <c r="H1140">
        <v>58</v>
      </c>
    </row>
    <row r="1141" spans="1:8" x14ac:dyDescent="0.3">
      <c r="A1141" t="s">
        <v>2108</v>
      </c>
      <c r="B1141" t="s">
        <v>2109</v>
      </c>
      <c r="C1141" s="4">
        <v>45361</v>
      </c>
      <c r="D1141">
        <v>99976.74</v>
      </c>
      <c r="E1141" t="s">
        <v>10</v>
      </c>
      <c r="F1141" t="s">
        <v>11</v>
      </c>
      <c r="G1141" t="s">
        <v>12</v>
      </c>
      <c r="H1141">
        <v>42</v>
      </c>
    </row>
    <row r="1142" spans="1:8" x14ac:dyDescent="0.3">
      <c r="A1142" t="s">
        <v>2110</v>
      </c>
      <c r="B1142" t="s">
        <v>2111</v>
      </c>
      <c r="C1142" s="4">
        <v>45512</v>
      </c>
      <c r="D1142">
        <v>271668.07</v>
      </c>
      <c r="E1142" t="s">
        <v>15</v>
      </c>
      <c r="F1142" t="s">
        <v>11</v>
      </c>
      <c r="G1142" t="s">
        <v>12</v>
      </c>
      <c r="H1142">
        <v>56</v>
      </c>
    </row>
    <row r="1143" spans="1:8" x14ac:dyDescent="0.3">
      <c r="A1143" t="s">
        <v>2112</v>
      </c>
      <c r="B1143" t="s">
        <v>1422</v>
      </c>
      <c r="C1143" s="4">
        <v>45230</v>
      </c>
      <c r="D1143">
        <v>154772.56</v>
      </c>
      <c r="E1143" t="s">
        <v>19</v>
      </c>
      <c r="F1143" t="s">
        <v>34</v>
      </c>
      <c r="G1143" t="s">
        <v>12</v>
      </c>
      <c r="H1143">
        <v>49</v>
      </c>
    </row>
    <row r="1144" spans="1:8" x14ac:dyDescent="0.3">
      <c r="A1144" t="s">
        <v>2113</v>
      </c>
      <c r="B1144" t="s">
        <v>1183</v>
      </c>
      <c r="C1144" s="4">
        <v>45240</v>
      </c>
      <c r="D1144">
        <v>311514.21999999997</v>
      </c>
      <c r="E1144" t="s">
        <v>15</v>
      </c>
      <c r="F1144" t="s">
        <v>23</v>
      </c>
      <c r="G1144" t="s">
        <v>24</v>
      </c>
      <c r="H1144">
        <v>14</v>
      </c>
    </row>
    <row r="1145" spans="1:8" x14ac:dyDescent="0.3">
      <c r="A1145" t="s">
        <v>2114</v>
      </c>
      <c r="B1145" t="s">
        <v>1896</v>
      </c>
      <c r="C1145" s="4">
        <v>45620</v>
      </c>
      <c r="D1145">
        <v>465987.92</v>
      </c>
      <c r="E1145" t="s">
        <v>19</v>
      </c>
      <c r="F1145" t="s">
        <v>20</v>
      </c>
      <c r="G1145" t="s">
        <v>24</v>
      </c>
      <c r="H1145">
        <v>21</v>
      </c>
    </row>
    <row r="1146" spans="1:8" x14ac:dyDescent="0.3">
      <c r="A1146" t="s">
        <v>2115</v>
      </c>
      <c r="B1146" t="s">
        <v>1120</v>
      </c>
      <c r="C1146" s="4">
        <v>45347</v>
      </c>
      <c r="D1146">
        <v>333149.71000000002</v>
      </c>
      <c r="E1146" t="s">
        <v>15</v>
      </c>
      <c r="F1146" t="s">
        <v>34</v>
      </c>
      <c r="G1146" t="s">
        <v>24</v>
      </c>
      <c r="H1146">
        <v>20</v>
      </c>
    </row>
    <row r="1147" spans="1:8" x14ac:dyDescent="0.3">
      <c r="A1147" t="s">
        <v>2116</v>
      </c>
      <c r="B1147" t="s">
        <v>2117</v>
      </c>
      <c r="C1147" s="4">
        <v>45496</v>
      </c>
      <c r="D1147">
        <v>156384.72</v>
      </c>
      <c r="E1147" t="s">
        <v>10</v>
      </c>
      <c r="F1147" t="s">
        <v>23</v>
      </c>
      <c r="G1147" t="s">
        <v>12</v>
      </c>
      <c r="H1147">
        <v>56</v>
      </c>
    </row>
    <row r="1148" spans="1:8" x14ac:dyDescent="0.3">
      <c r="A1148" t="s">
        <v>2118</v>
      </c>
      <c r="B1148" t="s">
        <v>722</v>
      </c>
      <c r="C1148" s="4">
        <v>44657</v>
      </c>
      <c r="D1148">
        <v>314973.28000000003</v>
      </c>
      <c r="E1148" t="s">
        <v>15</v>
      </c>
      <c r="F1148" t="s">
        <v>20</v>
      </c>
      <c r="G1148" t="s">
        <v>24</v>
      </c>
      <c r="H1148">
        <v>53</v>
      </c>
    </row>
    <row r="1149" spans="1:8" x14ac:dyDescent="0.3">
      <c r="A1149" t="s">
        <v>2119</v>
      </c>
      <c r="B1149" t="s">
        <v>2120</v>
      </c>
      <c r="C1149" s="4">
        <v>44779</v>
      </c>
      <c r="D1149">
        <v>93470.1</v>
      </c>
      <c r="E1149" t="s">
        <v>15</v>
      </c>
      <c r="F1149" t="s">
        <v>20</v>
      </c>
      <c r="G1149" t="s">
        <v>24</v>
      </c>
      <c r="H1149">
        <v>3</v>
      </c>
    </row>
    <row r="1150" spans="1:8" x14ac:dyDescent="0.3">
      <c r="A1150" t="s">
        <v>2121</v>
      </c>
      <c r="B1150" t="s">
        <v>2122</v>
      </c>
      <c r="C1150" s="4">
        <v>44479</v>
      </c>
      <c r="D1150">
        <v>370572.45</v>
      </c>
      <c r="E1150" t="s">
        <v>19</v>
      </c>
      <c r="F1150" t="s">
        <v>20</v>
      </c>
      <c r="G1150" t="s">
        <v>24</v>
      </c>
      <c r="H1150">
        <v>39</v>
      </c>
    </row>
    <row r="1151" spans="1:8" x14ac:dyDescent="0.3">
      <c r="A1151" t="s">
        <v>2123</v>
      </c>
      <c r="B1151" t="s">
        <v>2124</v>
      </c>
      <c r="C1151" s="4">
        <v>44534</v>
      </c>
      <c r="D1151">
        <v>24573.64</v>
      </c>
      <c r="E1151" t="s">
        <v>10</v>
      </c>
      <c r="F1151" t="s">
        <v>23</v>
      </c>
      <c r="G1151" t="s">
        <v>12</v>
      </c>
      <c r="H1151">
        <v>2</v>
      </c>
    </row>
    <row r="1152" spans="1:8" x14ac:dyDescent="0.3">
      <c r="A1152" t="s">
        <v>2125</v>
      </c>
      <c r="B1152" t="s">
        <v>2126</v>
      </c>
      <c r="C1152" s="4">
        <v>44157</v>
      </c>
      <c r="D1152">
        <v>263894.78999999998</v>
      </c>
      <c r="E1152" t="s">
        <v>19</v>
      </c>
      <c r="F1152" t="s">
        <v>34</v>
      </c>
      <c r="G1152" t="s">
        <v>12</v>
      </c>
      <c r="H1152">
        <v>57</v>
      </c>
    </row>
    <row r="1153" spans="1:8" x14ac:dyDescent="0.3">
      <c r="A1153" t="s">
        <v>2127</v>
      </c>
      <c r="B1153" t="s">
        <v>2128</v>
      </c>
      <c r="C1153" s="4">
        <v>44841</v>
      </c>
      <c r="D1153">
        <v>137507.91</v>
      </c>
      <c r="E1153" t="s">
        <v>15</v>
      </c>
      <c r="F1153" t="s">
        <v>34</v>
      </c>
      <c r="G1153" t="s">
        <v>12</v>
      </c>
      <c r="H1153">
        <v>43</v>
      </c>
    </row>
    <row r="1154" spans="1:8" x14ac:dyDescent="0.3">
      <c r="A1154" t="s">
        <v>2129</v>
      </c>
      <c r="B1154" t="s">
        <v>2130</v>
      </c>
      <c r="C1154" s="4">
        <v>45349</v>
      </c>
      <c r="D1154">
        <v>88536.13</v>
      </c>
      <c r="E1154" t="s">
        <v>19</v>
      </c>
      <c r="F1154" t="s">
        <v>34</v>
      </c>
      <c r="G1154" t="s">
        <v>24</v>
      </c>
      <c r="H1154">
        <v>8</v>
      </c>
    </row>
    <row r="1155" spans="1:8" x14ac:dyDescent="0.3">
      <c r="A1155" t="s">
        <v>2131</v>
      </c>
      <c r="B1155" t="s">
        <v>447</v>
      </c>
      <c r="C1155" s="4">
        <v>45366</v>
      </c>
      <c r="D1155">
        <v>73711.850000000006</v>
      </c>
      <c r="E1155" t="s">
        <v>15</v>
      </c>
      <c r="F1155" t="s">
        <v>20</v>
      </c>
      <c r="G1155" t="s">
        <v>24</v>
      </c>
      <c r="H1155">
        <v>9</v>
      </c>
    </row>
    <row r="1156" spans="1:8" x14ac:dyDescent="0.3">
      <c r="A1156" t="s">
        <v>2132</v>
      </c>
      <c r="B1156" t="s">
        <v>2133</v>
      </c>
      <c r="C1156" s="4">
        <v>44505</v>
      </c>
      <c r="D1156">
        <v>363890.85</v>
      </c>
      <c r="E1156" t="s">
        <v>10</v>
      </c>
      <c r="F1156" t="s">
        <v>20</v>
      </c>
      <c r="G1156" t="s">
        <v>12</v>
      </c>
      <c r="H1156">
        <v>21</v>
      </c>
    </row>
    <row r="1157" spans="1:8" x14ac:dyDescent="0.3">
      <c r="A1157" t="s">
        <v>2134</v>
      </c>
      <c r="B1157" t="s">
        <v>2135</v>
      </c>
      <c r="C1157" s="4">
        <v>45432</v>
      </c>
      <c r="D1157">
        <v>497532.53</v>
      </c>
      <c r="E1157" t="s">
        <v>10</v>
      </c>
      <c r="F1157" t="s">
        <v>11</v>
      </c>
      <c r="G1157" t="s">
        <v>24</v>
      </c>
      <c r="H1157">
        <v>4</v>
      </c>
    </row>
    <row r="1158" spans="1:8" x14ac:dyDescent="0.3">
      <c r="A1158" t="s">
        <v>2136</v>
      </c>
      <c r="B1158" t="s">
        <v>2137</v>
      </c>
      <c r="C1158" s="4">
        <v>44877</v>
      </c>
      <c r="D1158">
        <v>437622.74</v>
      </c>
      <c r="E1158" t="s">
        <v>15</v>
      </c>
      <c r="F1158" t="s">
        <v>16</v>
      </c>
      <c r="G1158" t="s">
        <v>24</v>
      </c>
      <c r="H1158">
        <v>51</v>
      </c>
    </row>
    <row r="1159" spans="1:8" x14ac:dyDescent="0.3">
      <c r="A1159" t="s">
        <v>2138</v>
      </c>
      <c r="B1159" t="s">
        <v>2139</v>
      </c>
      <c r="C1159" s="4">
        <v>45776</v>
      </c>
      <c r="D1159">
        <v>170888.84</v>
      </c>
      <c r="E1159" t="s">
        <v>15</v>
      </c>
      <c r="F1159" t="s">
        <v>16</v>
      </c>
      <c r="G1159" t="s">
        <v>24</v>
      </c>
      <c r="H1159">
        <v>29</v>
      </c>
    </row>
    <row r="1160" spans="1:8" x14ac:dyDescent="0.3">
      <c r="A1160" t="s">
        <v>2140</v>
      </c>
      <c r="B1160" t="s">
        <v>2141</v>
      </c>
      <c r="C1160" s="4">
        <v>44724</v>
      </c>
      <c r="D1160">
        <v>472180.56</v>
      </c>
      <c r="E1160" t="s">
        <v>10</v>
      </c>
      <c r="F1160" t="s">
        <v>34</v>
      </c>
      <c r="G1160" t="s">
        <v>24</v>
      </c>
      <c r="H1160">
        <v>26</v>
      </c>
    </row>
    <row r="1161" spans="1:8" x14ac:dyDescent="0.3">
      <c r="A1161" t="s">
        <v>2142</v>
      </c>
      <c r="B1161" t="s">
        <v>2143</v>
      </c>
      <c r="C1161" s="4">
        <v>45228</v>
      </c>
      <c r="D1161">
        <v>281400.21000000002</v>
      </c>
      <c r="E1161" t="s">
        <v>15</v>
      </c>
      <c r="F1161" t="s">
        <v>16</v>
      </c>
      <c r="G1161" t="s">
        <v>12</v>
      </c>
      <c r="H1161">
        <v>30</v>
      </c>
    </row>
    <row r="1162" spans="1:8" x14ac:dyDescent="0.3">
      <c r="A1162" t="s">
        <v>2144</v>
      </c>
      <c r="B1162" t="s">
        <v>2145</v>
      </c>
      <c r="C1162" s="4">
        <v>44800</v>
      </c>
      <c r="D1162">
        <v>299149.09000000003</v>
      </c>
      <c r="E1162" t="s">
        <v>15</v>
      </c>
      <c r="F1162" t="s">
        <v>34</v>
      </c>
      <c r="G1162" t="s">
        <v>12</v>
      </c>
      <c r="H1162">
        <v>13</v>
      </c>
    </row>
    <row r="1163" spans="1:8" x14ac:dyDescent="0.3">
      <c r="A1163" t="s">
        <v>2146</v>
      </c>
      <c r="B1163" t="s">
        <v>2147</v>
      </c>
      <c r="C1163" s="4">
        <v>45542</v>
      </c>
      <c r="D1163">
        <v>191551.24</v>
      </c>
      <c r="E1163" t="s">
        <v>19</v>
      </c>
      <c r="F1163" t="s">
        <v>20</v>
      </c>
      <c r="G1163" t="s">
        <v>12</v>
      </c>
      <c r="H1163">
        <v>53</v>
      </c>
    </row>
    <row r="1164" spans="1:8" x14ac:dyDescent="0.3">
      <c r="A1164" t="s">
        <v>2148</v>
      </c>
      <c r="B1164" t="s">
        <v>309</v>
      </c>
      <c r="C1164" s="4">
        <v>44869</v>
      </c>
      <c r="D1164">
        <v>160699.35</v>
      </c>
      <c r="E1164" t="s">
        <v>19</v>
      </c>
      <c r="F1164" t="s">
        <v>16</v>
      </c>
      <c r="G1164" t="s">
        <v>12</v>
      </c>
      <c r="H1164">
        <v>48</v>
      </c>
    </row>
    <row r="1165" spans="1:8" x14ac:dyDescent="0.3">
      <c r="A1165" t="s">
        <v>2149</v>
      </c>
      <c r="B1165" t="s">
        <v>2150</v>
      </c>
      <c r="C1165" s="4">
        <v>44265</v>
      </c>
      <c r="D1165">
        <v>207532.35</v>
      </c>
      <c r="E1165" t="s">
        <v>15</v>
      </c>
      <c r="F1165" t="s">
        <v>20</v>
      </c>
      <c r="G1165" t="s">
        <v>24</v>
      </c>
      <c r="H1165">
        <v>59</v>
      </c>
    </row>
    <row r="1166" spans="1:8" x14ac:dyDescent="0.3">
      <c r="A1166" t="s">
        <v>2151</v>
      </c>
      <c r="B1166" t="s">
        <v>2152</v>
      </c>
      <c r="C1166" s="4">
        <v>45218</v>
      </c>
      <c r="D1166">
        <v>147781.76000000001</v>
      </c>
      <c r="E1166" t="s">
        <v>19</v>
      </c>
      <c r="F1166" t="s">
        <v>20</v>
      </c>
      <c r="G1166" t="s">
        <v>24</v>
      </c>
      <c r="H1166">
        <v>27</v>
      </c>
    </row>
    <row r="1167" spans="1:8" x14ac:dyDescent="0.3">
      <c r="A1167" t="s">
        <v>2153</v>
      </c>
      <c r="B1167" t="s">
        <v>2154</v>
      </c>
      <c r="C1167" s="4">
        <v>44970</v>
      </c>
      <c r="D1167">
        <v>78301.16</v>
      </c>
      <c r="E1167" t="s">
        <v>10</v>
      </c>
      <c r="F1167" t="s">
        <v>16</v>
      </c>
      <c r="G1167" t="s">
        <v>24</v>
      </c>
      <c r="H1167">
        <v>36</v>
      </c>
    </row>
    <row r="1168" spans="1:8" x14ac:dyDescent="0.3">
      <c r="A1168" t="s">
        <v>2155</v>
      </c>
      <c r="B1168" t="s">
        <v>2133</v>
      </c>
      <c r="C1168" s="4">
        <v>45313</v>
      </c>
      <c r="D1168">
        <v>131785.54999999999</v>
      </c>
      <c r="E1168" t="s">
        <v>15</v>
      </c>
      <c r="F1168" t="s">
        <v>34</v>
      </c>
      <c r="G1168" t="s">
        <v>24</v>
      </c>
      <c r="H1168">
        <v>37</v>
      </c>
    </row>
    <row r="1169" spans="1:8" x14ac:dyDescent="0.3">
      <c r="A1169" t="s">
        <v>2156</v>
      </c>
      <c r="B1169" t="s">
        <v>2157</v>
      </c>
      <c r="C1169" s="4">
        <v>45433</v>
      </c>
      <c r="D1169">
        <v>93920.99</v>
      </c>
      <c r="E1169" t="s">
        <v>15</v>
      </c>
      <c r="F1169" t="s">
        <v>23</v>
      </c>
      <c r="G1169" t="s">
        <v>12</v>
      </c>
      <c r="H1169">
        <v>53</v>
      </c>
    </row>
    <row r="1170" spans="1:8" x14ac:dyDescent="0.3">
      <c r="A1170" t="s">
        <v>2158</v>
      </c>
      <c r="B1170" t="s">
        <v>2159</v>
      </c>
      <c r="C1170" s="4">
        <v>44952</v>
      </c>
      <c r="D1170">
        <v>305939.76</v>
      </c>
      <c r="E1170" t="s">
        <v>19</v>
      </c>
      <c r="F1170" t="s">
        <v>34</v>
      </c>
      <c r="G1170" t="s">
        <v>24</v>
      </c>
      <c r="H1170">
        <v>54</v>
      </c>
    </row>
    <row r="1171" spans="1:8" x14ac:dyDescent="0.3">
      <c r="A1171" t="s">
        <v>2160</v>
      </c>
      <c r="B1171" t="s">
        <v>2161</v>
      </c>
      <c r="C1171" s="4">
        <v>45443</v>
      </c>
      <c r="D1171">
        <v>114792.34</v>
      </c>
      <c r="E1171" t="s">
        <v>19</v>
      </c>
      <c r="F1171" t="s">
        <v>34</v>
      </c>
      <c r="G1171" t="s">
        <v>12</v>
      </c>
      <c r="H1171">
        <v>42</v>
      </c>
    </row>
    <row r="1172" spans="1:8" x14ac:dyDescent="0.3">
      <c r="A1172" t="s">
        <v>2162</v>
      </c>
      <c r="B1172" t="s">
        <v>2163</v>
      </c>
      <c r="C1172" s="4">
        <v>45386</v>
      </c>
      <c r="D1172">
        <v>131611.45000000001</v>
      </c>
      <c r="E1172" t="s">
        <v>19</v>
      </c>
      <c r="F1172" t="s">
        <v>20</v>
      </c>
      <c r="G1172" t="s">
        <v>24</v>
      </c>
      <c r="H1172">
        <v>19</v>
      </c>
    </row>
    <row r="1173" spans="1:8" x14ac:dyDescent="0.3">
      <c r="A1173" t="s">
        <v>2164</v>
      </c>
      <c r="B1173" t="s">
        <v>2165</v>
      </c>
      <c r="C1173" s="4">
        <v>44433</v>
      </c>
      <c r="D1173">
        <v>342089.73</v>
      </c>
      <c r="E1173" t="s">
        <v>19</v>
      </c>
      <c r="F1173" t="s">
        <v>23</v>
      </c>
      <c r="G1173" t="s">
        <v>24</v>
      </c>
      <c r="H1173">
        <v>49</v>
      </c>
    </row>
    <row r="1174" spans="1:8" x14ac:dyDescent="0.3">
      <c r="A1174" t="s">
        <v>2166</v>
      </c>
      <c r="B1174" t="s">
        <v>2167</v>
      </c>
      <c r="C1174" s="4">
        <v>45405</v>
      </c>
      <c r="D1174">
        <v>439792.36</v>
      </c>
      <c r="E1174" t="s">
        <v>15</v>
      </c>
      <c r="F1174" t="s">
        <v>20</v>
      </c>
      <c r="G1174" t="s">
        <v>24</v>
      </c>
      <c r="H1174">
        <v>36</v>
      </c>
    </row>
    <row r="1175" spans="1:8" x14ac:dyDescent="0.3">
      <c r="A1175" t="s">
        <v>2168</v>
      </c>
      <c r="B1175" t="s">
        <v>2169</v>
      </c>
      <c r="C1175" s="4">
        <v>45435</v>
      </c>
      <c r="D1175">
        <v>25378.46</v>
      </c>
      <c r="E1175" t="s">
        <v>19</v>
      </c>
      <c r="F1175" t="s">
        <v>23</v>
      </c>
      <c r="G1175" t="s">
        <v>12</v>
      </c>
      <c r="H1175">
        <v>33</v>
      </c>
    </row>
    <row r="1176" spans="1:8" x14ac:dyDescent="0.3">
      <c r="A1176" t="s">
        <v>2170</v>
      </c>
      <c r="B1176" t="s">
        <v>2171</v>
      </c>
      <c r="C1176" s="4">
        <v>45032</v>
      </c>
      <c r="D1176">
        <v>341288.64</v>
      </c>
      <c r="E1176" t="s">
        <v>19</v>
      </c>
      <c r="F1176" t="s">
        <v>20</v>
      </c>
      <c r="G1176" t="s">
        <v>12</v>
      </c>
      <c r="H1176">
        <v>34</v>
      </c>
    </row>
    <row r="1177" spans="1:8" x14ac:dyDescent="0.3">
      <c r="A1177" t="s">
        <v>2172</v>
      </c>
      <c r="B1177" t="s">
        <v>533</v>
      </c>
      <c r="C1177" s="4">
        <v>45058</v>
      </c>
      <c r="D1177">
        <v>349992.65</v>
      </c>
      <c r="E1177" t="s">
        <v>15</v>
      </c>
      <c r="F1177" t="s">
        <v>23</v>
      </c>
      <c r="G1177" t="s">
        <v>12</v>
      </c>
      <c r="H1177">
        <v>47</v>
      </c>
    </row>
    <row r="1178" spans="1:8" x14ac:dyDescent="0.3">
      <c r="A1178" t="s">
        <v>2173</v>
      </c>
      <c r="B1178" t="s">
        <v>2174</v>
      </c>
      <c r="C1178" s="4">
        <v>45567</v>
      </c>
      <c r="D1178">
        <v>311040.68</v>
      </c>
      <c r="E1178" t="s">
        <v>15</v>
      </c>
      <c r="F1178" t="s">
        <v>20</v>
      </c>
      <c r="G1178" t="s">
        <v>24</v>
      </c>
      <c r="H1178">
        <v>44</v>
      </c>
    </row>
    <row r="1179" spans="1:8" x14ac:dyDescent="0.3">
      <c r="A1179" t="s">
        <v>2175</v>
      </c>
      <c r="B1179" t="s">
        <v>2176</v>
      </c>
      <c r="C1179" s="4">
        <v>45637</v>
      </c>
      <c r="D1179">
        <v>354958.52</v>
      </c>
      <c r="E1179" t="s">
        <v>19</v>
      </c>
      <c r="F1179" t="s">
        <v>34</v>
      </c>
      <c r="G1179" t="s">
        <v>24</v>
      </c>
      <c r="H1179">
        <v>41</v>
      </c>
    </row>
    <row r="1180" spans="1:8" x14ac:dyDescent="0.3">
      <c r="A1180" t="s">
        <v>2177</v>
      </c>
      <c r="B1180" t="s">
        <v>121</v>
      </c>
      <c r="C1180" s="4">
        <v>44909</v>
      </c>
      <c r="D1180">
        <v>50670.67</v>
      </c>
      <c r="E1180" t="s">
        <v>10</v>
      </c>
      <c r="F1180" t="s">
        <v>16</v>
      </c>
      <c r="G1180" t="s">
        <v>24</v>
      </c>
      <c r="H1180">
        <v>5</v>
      </c>
    </row>
    <row r="1181" spans="1:8" x14ac:dyDescent="0.3">
      <c r="A1181" t="s">
        <v>2178</v>
      </c>
      <c r="B1181" t="s">
        <v>1169</v>
      </c>
      <c r="C1181" s="4">
        <v>44922</v>
      </c>
      <c r="D1181">
        <v>94163.46</v>
      </c>
      <c r="E1181" t="s">
        <v>15</v>
      </c>
      <c r="F1181" t="s">
        <v>16</v>
      </c>
      <c r="G1181" t="s">
        <v>24</v>
      </c>
      <c r="H1181">
        <v>53</v>
      </c>
    </row>
    <row r="1182" spans="1:8" x14ac:dyDescent="0.3">
      <c r="A1182" t="s">
        <v>2179</v>
      </c>
      <c r="B1182" t="s">
        <v>2180</v>
      </c>
      <c r="C1182" s="4">
        <v>45599</v>
      </c>
      <c r="D1182">
        <v>275497.12</v>
      </c>
      <c r="E1182" t="s">
        <v>19</v>
      </c>
      <c r="F1182" t="s">
        <v>23</v>
      </c>
      <c r="G1182" t="s">
        <v>24</v>
      </c>
      <c r="H1182">
        <v>21</v>
      </c>
    </row>
    <row r="1183" spans="1:8" x14ac:dyDescent="0.3">
      <c r="A1183" t="s">
        <v>2181</v>
      </c>
      <c r="B1183" t="s">
        <v>2182</v>
      </c>
      <c r="C1183" s="4">
        <v>45505</v>
      </c>
      <c r="D1183">
        <v>342731.75</v>
      </c>
      <c r="E1183" t="s">
        <v>15</v>
      </c>
      <c r="F1183" t="s">
        <v>23</v>
      </c>
      <c r="G1183" t="s">
        <v>12</v>
      </c>
      <c r="H1183">
        <v>12</v>
      </c>
    </row>
    <row r="1184" spans="1:8" x14ac:dyDescent="0.3">
      <c r="A1184" t="s">
        <v>2183</v>
      </c>
      <c r="B1184" t="s">
        <v>2184</v>
      </c>
      <c r="C1184" s="4">
        <v>44406</v>
      </c>
      <c r="D1184">
        <v>373385.59</v>
      </c>
      <c r="E1184" t="s">
        <v>19</v>
      </c>
      <c r="F1184" t="s">
        <v>11</v>
      </c>
      <c r="G1184" t="s">
        <v>24</v>
      </c>
      <c r="H1184">
        <v>31</v>
      </c>
    </row>
    <row r="1185" spans="1:8" x14ac:dyDescent="0.3">
      <c r="A1185" t="s">
        <v>2185</v>
      </c>
      <c r="B1185" t="s">
        <v>2186</v>
      </c>
      <c r="C1185" s="4">
        <v>44889</v>
      </c>
      <c r="D1185">
        <v>94472.02</v>
      </c>
      <c r="E1185" t="s">
        <v>15</v>
      </c>
      <c r="F1185" t="s">
        <v>23</v>
      </c>
      <c r="G1185" t="s">
        <v>12</v>
      </c>
      <c r="H1185">
        <v>3</v>
      </c>
    </row>
    <row r="1186" spans="1:8" x14ac:dyDescent="0.3">
      <c r="A1186" t="s">
        <v>2187</v>
      </c>
      <c r="B1186" t="s">
        <v>2188</v>
      </c>
      <c r="C1186" s="4">
        <v>45101</v>
      </c>
      <c r="D1186">
        <v>115651.24</v>
      </c>
      <c r="E1186" t="s">
        <v>10</v>
      </c>
      <c r="F1186" t="s">
        <v>20</v>
      </c>
      <c r="G1186" t="s">
        <v>24</v>
      </c>
      <c r="H1186">
        <v>23</v>
      </c>
    </row>
    <row r="1187" spans="1:8" x14ac:dyDescent="0.3">
      <c r="A1187" t="s">
        <v>2189</v>
      </c>
      <c r="B1187" t="s">
        <v>2190</v>
      </c>
      <c r="C1187" s="4">
        <v>45790</v>
      </c>
      <c r="D1187">
        <v>282410.64</v>
      </c>
      <c r="E1187" t="s">
        <v>15</v>
      </c>
      <c r="F1187" t="s">
        <v>11</v>
      </c>
      <c r="G1187" t="s">
        <v>24</v>
      </c>
      <c r="H1187">
        <v>6</v>
      </c>
    </row>
    <row r="1188" spans="1:8" x14ac:dyDescent="0.3">
      <c r="A1188" t="s">
        <v>2191</v>
      </c>
      <c r="B1188" t="s">
        <v>2192</v>
      </c>
      <c r="C1188" s="4">
        <v>44720</v>
      </c>
      <c r="D1188">
        <v>251374.71</v>
      </c>
      <c r="E1188" t="s">
        <v>19</v>
      </c>
      <c r="F1188" t="s">
        <v>20</v>
      </c>
      <c r="G1188" t="s">
        <v>24</v>
      </c>
      <c r="H1188">
        <v>42</v>
      </c>
    </row>
    <row r="1189" spans="1:8" x14ac:dyDescent="0.3">
      <c r="A1189" t="s">
        <v>2193</v>
      </c>
      <c r="B1189" t="s">
        <v>897</v>
      </c>
      <c r="C1189" s="4">
        <v>44397</v>
      </c>
      <c r="D1189">
        <v>367507.52</v>
      </c>
      <c r="E1189" t="s">
        <v>15</v>
      </c>
      <c r="F1189" t="s">
        <v>34</v>
      </c>
      <c r="G1189" t="s">
        <v>12</v>
      </c>
      <c r="H1189">
        <v>38</v>
      </c>
    </row>
    <row r="1190" spans="1:8" x14ac:dyDescent="0.3">
      <c r="A1190" t="s">
        <v>2194</v>
      </c>
      <c r="B1190" t="s">
        <v>2195</v>
      </c>
      <c r="C1190" s="4">
        <v>45307</v>
      </c>
      <c r="D1190">
        <v>285921.19</v>
      </c>
      <c r="E1190" t="s">
        <v>15</v>
      </c>
      <c r="F1190" t="s">
        <v>11</v>
      </c>
      <c r="G1190" t="s">
        <v>12</v>
      </c>
      <c r="H1190">
        <v>7</v>
      </c>
    </row>
    <row r="1191" spans="1:8" x14ac:dyDescent="0.3">
      <c r="A1191" t="s">
        <v>2196</v>
      </c>
      <c r="B1191" t="s">
        <v>2197</v>
      </c>
      <c r="C1191" s="4">
        <v>44599</v>
      </c>
      <c r="D1191">
        <v>464224.64</v>
      </c>
      <c r="E1191" t="s">
        <v>10</v>
      </c>
      <c r="F1191" t="s">
        <v>11</v>
      </c>
      <c r="G1191" t="s">
        <v>12</v>
      </c>
      <c r="H1191">
        <v>50</v>
      </c>
    </row>
    <row r="1192" spans="1:8" x14ac:dyDescent="0.3">
      <c r="A1192" t="s">
        <v>2198</v>
      </c>
      <c r="B1192" t="s">
        <v>2199</v>
      </c>
      <c r="C1192" s="4">
        <v>45527</v>
      </c>
      <c r="D1192">
        <v>303126.92</v>
      </c>
      <c r="E1192" t="s">
        <v>10</v>
      </c>
      <c r="F1192" t="s">
        <v>34</v>
      </c>
      <c r="G1192" t="s">
        <v>24</v>
      </c>
      <c r="H1192">
        <v>4</v>
      </c>
    </row>
    <row r="1193" spans="1:8" x14ac:dyDescent="0.3">
      <c r="A1193" t="s">
        <v>2200</v>
      </c>
      <c r="B1193" t="s">
        <v>1348</v>
      </c>
      <c r="C1193" s="4">
        <v>45562</v>
      </c>
      <c r="D1193">
        <v>14985.34</v>
      </c>
      <c r="E1193" t="s">
        <v>10</v>
      </c>
      <c r="F1193" t="s">
        <v>23</v>
      </c>
      <c r="G1193" t="s">
        <v>12</v>
      </c>
      <c r="H1193">
        <v>37</v>
      </c>
    </row>
    <row r="1194" spans="1:8" x14ac:dyDescent="0.3">
      <c r="A1194" t="s">
        <v>2201</v>
      </c>
      <c r="B1194" t="s">
        <v>2202</v>
      </c>
      <c r="C1194" s="4">
        <v>45340</v>
      </c>
      <c r="D1194">
        <v>408243.33</v>
      </c>
      <c r="E1194" t="s">
        <v>15</v>
      </c>
      <c r="F1194" t="s">
        <v>20</v>
      </c>
      <c r="G1194" t="s">
        <v>12</v>
      </c>
      <c r="H1194">
        <v>26</v>
      </c>
    </row>
    <row r="1195" spans="1:8" x14ac:dyDescent="0.3">
      <c r="A1195" t="s">
        <v>2203</v>
      </c>
      <c r="B1195" t="s">
        <v>2204</v>
      </c>
      <c r="C1195" s="4">
        <v>44448</v>
      </c>
      <c r="D1195">
        <v>109961.85</v>
      </c>
      <c r="E1195" t="s">
        <v>10</v>
      </c>
      <c r="F1195" t="s">
        <v>11</v>
      </c>
      <c r="G1195" t="s">
        <v>24</v>
      </c>
      <c r="H1195">
        <v>40</v>
      </c>
    </row>
    <row r="1196" spans="1:8" x14ac:dyDescent="0.3">
      <c r="A1196" t="s">
        <v>2205</v>
      </c>
      <c r="B1196" t="s">
        <v>2206</v>
      </c>
      <c r="C1196" s="4">
        <v>45324</v>
      </c>
      <c r="D1196">
        <v>427669.07</v>
      </c>
      <c r="E1196" t="s">
        <v>15</v>
      </c>
      <c r="F1196" t="s">
        <v>23</v>
      </c>
      <c r="G1196" t="s">
        <v>24</v>
      </c>
      <c r="H1196">
        <v>40</v>
      </c>
    </row>
    <row r="1197" spans="1:8" x14ac:dyDescent="0.3">
      <c r="A1197" t="s">
        <v>2207</v>
      </c>
      <c r="B1197" t="s">
        <v>533</v>
      </c>
      <c r="C1197" s="4">
        <v>45063</v>
      </c>
      <c r="D1197">
        <v>419757.76</v>
      </c>
      <c r="E1197" t="s">
        <v>10</v>
      </c>
      <c r="F1197" t="s">
        <v>20</v>
      </c>
      <c r="G1197" t="s">
        <v>24</v>
      </c>
      <c r="H1197">
        <v>18</v>
      </c>
    </row>
    <row r="1198" spans="1:8" x14ac:dyDescent="0.3">
      <c r="A1198" t="s">
        <v>2208</v>
      </c>
      <c r="B1198" t="s">
        <v>1654</v>
      </c>
      <c r="C1198" s="4">
        <v>45593</v>
      </c>
      <c r="D1198">
        <v>444058.43</v>
      </c>
      <c r="E1198" t="s">
        <v>10</v>
      </c>
      <c r="F1198" t="s">
        <v>34</v>
      </c>
      <c r="G1198" t="s">
        <v>12</v>
      </c>
      <c r="H1198">
        <v>23</v>
      </c>
    </row>
    <row r="1199" spans="1:8" x14ac:dyDescent="0.3">
      <c r="A1199" t="s">
        <v>2209</v>
      </c>
      <c r="B1199" t="s">
        <v>868</v>
      </c>
      <c r="C1199" s="4">
        <v>45186</v>
      </c>
      <c r="D1199">
        <v>279253.83</v>
      </c>
      <c r="E1199" t="s">
        <v>10</v>
      </c>
      <c r="F1199" t="s">
        <v>23</v>
      </c>
      <c r="G1199" t="s">
        <v>12</v>
      </c>
      <c r="H1199">
        <v>34</v>
      </c>
    </row>
    <row r="1200" spans="1:8" x14ac:dyDescent="0.3">
      <c r="A1200" t="s">
        <v>2210</v>
      </c>
      <c r="B1200" t="s">
        <v>1114</v>
      </c>
      <c r="C1200" s="4">
        <v>44279</v>
      </c>
      <c r="D1200">
        <v>353851.39</v>
      </c>
      <c r="E1200" t="s">
        <v>10</v>
      </c>
      <c r="F1200" t="s">
        <v>23</v>
      </c>
      <c r="G1200" t="s">
        <v>12</v>
      </c>
      <c r="H1200">
        <v>43</v>
      </c>
    </row>
    <row r="1201" spans="1:8" x14ac:dyDescent="0.3">
      <c r="A1201" t="s">
        <v>2211</v>
      </c>
      <c r="B1201" t="s">
        <v>1439</v>
      </c>
      <c r="C1201" s="4">
        <v>45206</v>
      </c>
      <c r="D1201">
        <v>385031.95</v>
      </c>
      <c r="E1201" t="s">
        <v>19</v>
      </c>
      <c r="F1201" t="s">
        <v>20</v>
      </c>
      <c r="G1201" t="s">
        <v>12</v>
      </c>
      <c r="H1201">
        <v>16</v>
      </c>
    </row>
    <row r="1202" spans="1:8" x14ac:dyDescent="0.3">
      <c r="A1202" t="s">
        <v>2212</v>
      </c>
      <c r="B1202" t="s">
        <v>2213</v>
      </c>
      <c r="C1202" s="4">
        <v>45162</v>
      </c>
      <c r="D1202">
        <v>243804.02</v>
      </c>
      <c r="E1202" t="s">
        <v>15</v>
      </c>
      <c r="F1202" t="s">
        <v>20</v>
      </c>
      <c r="G1202" t="s">
        <v>12</v>
      </c>
      <c r="H1202">
        <v>23</v>
      </c>
    </row>
    <row r="1203" spans="1:8" x14ac:dyDescent="0.3">
      <c r="A1203" t="s">
        <v>2214</v>
      </c>
      <c r="B1203" t="s">
        <v>2215</v>
      </c>
      <c r="C1203" s="4">
        <v>45470</v>
      </c>
      <c r="D1203">
        <v>115133.03</v>
      </c>
      <c r="E1203" t="s">
        <v>19</v>
      </c>
      <c r="F1203" t="s">
        <v>11</v>
      </c>
      <c r="G1203" t="s">
        <v>12</v>
      </c>
      <c r="H1203">
        <v>50</v>
      </c>
    </row>
    <row r="1204" spans="1:8" x14ac:dyDescent="0.3">
      <c r="A1204" t="s">
        <v>2216</v>
      </c>
      <c r="B1204" t="s">
        <v>2217</v>
      </c>
      <c r="C1204" s="4">
        <v>45553</v>
      </c>
      <c r="D1204">
        <v>235904.58</v>
      </c>
      <c r="E1204" t="s">
        <v>10</v>
      </c>
      <c r="F1204" t="s">
        <v>11</v>
      </c>
      <c r="G1204" t="s">
        <v>12</v>
      </c>
      <c r="H1204">
        <v>43</v>
      </c>
    </row>
    <row r="1205" spans="1:8" x14ac:dyDescent="0.3">
      <c r="A1205" t="s">
        <v>2218</v>
      </c>
      <c r="B1205" t="s">
        <v>2219</v>
      </c>
      <c r="C1205" s="4">
        <v>44768</v>
      </c>
      <c r="D1205">
        <v>46093.64</v>
      </c>
      <c r="E1205" t="s">
        <v>15</v>
      </c>
      <c r="F1205" t="s">
        <v>16</v>
      </c>
      <c r="G1205" t="s">
        <v>24</v>
      </c>
      <c r="H1205">
        <v>21</v>
      </c>
    </row>
    <row r="1206" spans="1:8" x14ac:dyDescent="0.3">
      <c r="A1206" t="s">
        <v>2220</v>
      </c>
      <c r="B1206" t="s">
        <v>2221</v>
      </c>
      <c r="C1206" s="4">
        <v>45116</v>
      </c>
      <c r="D1206">
        <v>49557.08</v>
      </c>
      <c r="E1206" t="s">
        <v>15</v>
      </c>
      <c r="F1206" t="s">
        <v>16</v>
      </c>
      <c r="G1206" t="s">
        <v>24</v>
      </c>
      <c r="H1206">
        <v>16</v>
      </c>
    </row>
    <row r="1207" spans="1:8" x14ac:dyDescent="0.3">
      <c r="A1207" t="s">
        <v>2222</v>
      </c>
      <c r="B1207" t="s">
        <v>2058</v>
      </c>
      <c r="C1207" s="4">
        <v>44758</v>
      </c>
      <c r="D1207">
        <v>256108.24</v>
      </c>
      <c r="E1207" t="s">
        <v>10</v>
      </c>
      <c r="F1207" t="s">
        <v>34</v>
      </c>
      <c r="G1207" t="s">
        <v>24</v>
      </c>
      <c r="H1207">
        <v>46</v>
      </c>
    </row>
    <row r="1208" spans="1:8" x14ac:dyDescent="0.3">
      <c r="A1208" t="s">
        <v>2223</v>
      </c>
      <c r="B1208" t="s">
        <v>2224</v>
      </c>
      <c r="C1208" s="4">
        <v>44764</v>
      </c>
      <c r="D1208">
        <v>254711.93</v>
      </c>
      <c r="E1208" t="s">
        <v>15</v>
      </c>
      <c r="F1208" t="s">
        <v>23</v>
      </c>
      <c r="G1208" t="s">
        <v>12</v>
      </c>
      <c r="H1208">
        <v>15</v>
      </c>
    </row>
    <row r="1209" spans="1:8" x14ac:dyDescent="0.3">
      <c r="A1209" t="s">
        <v>2225</v>
      </c>
      <c r="B1209" t="s">
        <v>1153</v>
      </c>
      <c r="C1209" s="4">
        <v>44782</v>
      </c>
      <c r="D1209">
        <v>153674.6</v>
      </c>
      <c r="E1209" t="s">
        <v>10</v>
      </c>
      <c r="F1209" t="s">
        <v>34</v>
      </c>
      <c r="G1209" t="s">
        <v>12</v>
      </c>
      <c r="H1209">
        <v>50</v>
      </c>
    </row>
    <row r="1210" spans="1:8" x14ac:dyDescent="0.3">
      <c r="A1210" t="s">
        <v>2226</v>
      </c>
      <c r="B1210" t="s">
        <v>2227</v>
      </c>
      <c r="C1210" s="4">
        <v>45181</v>
      </c>
      <c r="D1210">
        <v>35974.949999999997</v>
      </c>
      <c r="E1210" t="s">
        <v>19</v>
      </c>
      <c r="F1210" t="s">
        <v>16</v>
      </c>
      <c r="G1210" t="s">
        <v>24</v>
      </c>
      <c r="H1210">
        <v>14</v>
      </c>
    </row>
    <row r="1211" spans="1:8" x14ac:dyDescent="0.3">
      <c r="A1211" t="s">
        <v>2228</v>
      </c>
      <c r="B1211" t="s">
        <v>342</v>
      </c>
      <c r="C1211" s="4">
        <v>45173</v>
      </c>
      <c r="D1211">
        <v>155552.24</v>
      </c>
      <c r="E1211" t="s">
        <v>15</v>
      </c>
      <c r="F1211" t="s">
        <v>23</v>
      </c>
      <c r="G1211" t="s">
        <v>24</v>
      </c>
      <c r="H1211">
        <v>38</v>
      </c>
    </row>
    <row r="1212" spans="1:8" x14ac:dyDescent="0.3">
      <c r="A1212" t="s">
        <v>2229</v>
      </c>
      <c r="B1212" t="s">
        <v>1415</v>
      </c>
      <c r="C1212" s="4">
        <v>44999</v>
      </c>
      <c r="D1212">
        <v>137691.39000000001</v>
      </c>
      <c r="E1212" t="s">
        <v>19</v>
      </c>
      <c r="F1212" t="s">
        <v>16</v>
      </c>
      <c r="G1212" t="s">
        <v>24</v>
      </c>
      <c r="H1212">
        <v>55</v>
      </c>
    </row>
    <row r="1213" spans="1:8" x14ac:dyDescent="0.3">
      <c r="A1213" t="s">
        <v>2230</v>
      </c>
      <c r="B1213" t="s">
        <v>2231</v>
      </c>
      <c r="C1213" s="4">
        <v>44249</v>
      </c>
      <c r="D1213">
        <v>262069.9</v>
      </c>
      <c r="E1213" t="s">
        <v>15</v>
      </c>
      <c r="F1213" t="s">
        <v>34</v>
      </c>
      <c r="G1213" t="s">
        <v>12</v>
      </c>
      <c r="H1213">
        <v>44</v>
      </c>
    </row>
    <row r="1214" spans="1:8" x14ac:dyDescent="0.3">
      <c r="A1214" t="s">
        <v>2232</v>
      </c>
      <c r="B1214" t="s">
        <v>2233</v>
      </c>
      <c r="C1214" s="4">
        <v>44641</v>
      </c>
      <c r="D1214">
        <v>403048.99</v>
      </c>
      <c r="E1214" t="s">
        <v>10</v>
      </c>
      <c r="F1214" t="s">
        <v>23</v>
      </c>
      <c r="G1214" t="s">
        <v>24</v>
      </c>
      <c r="H1214">
        <v>10</v>
      </c>
    </row>
    <row r="1215" spans="1:8" x14ac:dyDescent="0.3">
      <c r="A1215" t="s">
        <v>2234</v>
      </c>
      <c r="B1215" t="s">
        <v>662</v>
      </c>
      <c r="C1215" s="4">
        <v>45468</v>
      </c>
      <c r="D1215">
        <v>253382.41</v>
      </c>
      <c r="E1215" t="s">
        <v>15</v>
      </c>
      <c r="F1215" t="s">
        <v>16</v>
      </c>
      <c r="G1215" t="s">
        <v>12</v>
      </c>
      <c r="H1215">
        <v>25</v>
      </c>
    </row>
    <row r="1216" spans="1:8" x14ac:dyDescent="0.3">
      <c r="A1216" t="s">
        <v>2235</v>
      </c>
      <c r="B1216" t="s">
        <v>1643</v>
      </c>
      <c r="C1216" s="4">
        <v>45732</v>
      </c>
      <c r="D1216">
        <v>429472</v>
      </c>
      <c r="E1216" t="s">
        <v>15</v>
      </c>
      <c r="F1216" t="s">
        <v>20</v>
      </c>
      <c r="G1216" t="s">
        <v>12</v>
      </c>
      <c r="H1216">
        <v>15</v>
      </c>
    </row>
    <row r="1217" spans="1:8" x14ac:dyDescent="0.3">
      <c r="A1217" t="s">
        <v>2236</v>
      </c>
      <c r="B1217" t="s">
        <v>2237</v>
      </c>
      <c r="C1217" s="4">
        <v>45106</v>
      </c>
      <c r="D1217">
        <v>94691.42</v>
      </c>
      <c r="E1217" t="s">
        <v>15</v>
      </c>
      <c r="F1217" t="s">
        <v>11</v>
      </c>
      <c r="G1217" t="s">
        <v>24</v>
      </c>
      <c r="H1217">
        <v>7</v>
      </c>
    </row>
    <row r="1218" spans="1:8" x14ac:dyDescent="0.3">
      <c r="A1218" t="s">
        <v>2238</v>
      </c>
      <c r="B1218" t="s">
        <v>352</v>
      </c>
      <c r="C1218" s="4">
        <v>44186</v>
      </c>
      <c r="D1218">
        <v>275904.92</v>
      </c>
      <c r="E1218" t="s">
        <v>15</v>
      </c>
      <c r="F1218" t="s">
        <v>34</v>
      </c>
      <c r="G1218" t="s">
        <v>24</v>
      </c>
      <c r="H1218">
        <v>24</v>
      </c>
    </row>
    <row r="1219" spans="1:8" x14ac:dyDescent="0.3">
      <c r="A1219" t="s">
        <v>2239</v>
      </c>
      <c r="B1219" t="s">
        <v>2240</v>
      </c>
      <c r="C1219" s="4">
        <v>45356</v>
      </c>
      <c r="D1219">
        <v>209896.9</v>
      </c>
      <c r="E1219" t="s">
        <v>15</v>
      </c>
      <c r="F1219" t="s">
        <v>23</v>
      </c>
      <c r="G1219" t="s">
        <v>12</v>
      </c>
      <c r="H1219">
        <v>31</v>
      </c>
    </row>
    <row r="1220" spans="1:8" x14ac:dyDescent="0.3">
      <c r="A1220" t="s">
        <v>2241</v>
      </c>
      <c r="B1220" t="s">
        <v>2242</v>
      </c>
      <c r="C1220" s="4">
        <v>45493</v>
      </c>
      <c r="D1220">
        <v>301290.64</v>
      </c>
      <c r="E1220" t="s">
        <v>10</v>
      </c>
      <c r="F1220" t="s">
        <v>20</v>
      </c>
      <c r="G1220" t="s">
        <v>12</v>
      </c>
      <c r="H1220">
        <v>40</v>
      </c>
    </row>
    <row r="1221" spans="1:8" x14ac:dyDescent="0.3">
      <c r="A1221" t="s">
        <v>2243</v>
      </c>
      <c r="B1221" t="s">
        <v>2244</v>
      </c>
      <c r="C1221" s="4">
        <v>45020</v>
      </c>
      <c r="D1221">
        <v>74828.429999999993</v>
      </c>
      <c r="E1221" t="s">
        <v>15</v>
      </c>
      <c r="F1221" t="s">
        <v>23</v>
      </c>
      <c r="G1221" t="s">
        <v>24</v>
      </c>
      <c r="H1221">
        <v>55</v>
      </c>
    </row>
    <row r="1222" spans="1:8" x14ac:dyDescent="0.3">
      <c r="A1222" t="s">
        <v>2245</v>
      </c>
      <c r="B1222" t="s">
        <v>654</v>
      </c>
      <c r="C1222" s="4">
        <v>44592</v>
      </c>
      <c r="D1222">
        <v>217849.99</v>
      </c>
      <c r="E1222" t="s">
        <v>15</v>
      </c>
      <c r="F1222" t="s">
        <v>11</v>
      </c>
      <c r="G1222" t="s">
        <v>12</v>
      </c>
      <c r="H1222">
        <v>33</v>
      </c>
    </row>
    <row r="1223" spans="1:8" x14ac:dyDescent="0.3">
      <c r="A1223" t="s">
        <v>2246</v>
      </c>
      <c r="B1223" t="s">
        <v>2247</v>
      </c>
      <c r="C1223" s="4">
        <v>45566</v>
      </c>
      <c r="D1223">
        <v>234019.38</v>
      </c>
      <c r="E1223" t="s">
        <v>10</v>
      </c>
      <c r="F1223" t="s">
        <v>20</v>
      </c>
      <c r="G1223" t="s">
        <v>12</v>
      </c>
      <c r="H1223">
        <v>42</v>
      </c>
    </row>
    <row r="1224" spans="1:8" x14ac:dyDescent="0.3">
      <c r="A1224" t="s">
        <v>2248</v>
      </c>
      <c r="B1224" t="s">
        <v>2249</v>
      </c>
      <c r="C1224" s="4">
        <v>45144</v>
      </c>
      <c r="D1224">
        <v>35811.94</v>
      </c>
      <c r="E1224" t="s">
        <v>19</v>
      </c>
      <c r="F1224" t="s">
        <v>20</v>
      </c>
      <c r="G1224" t="s">
        <v>12</v>
      </c>
      <c r="H1224">
        <v>2</v>
      </c>
    </row>
    <row r="1225" spans="1:8" x14ac:dyDescent="0.3">
      <c r="A1225" t="s">
        <v>2250</v>
      </c>
      <c r="B1225" t="s">
        <v>2251</v>
      </c>
      <c r="C1225" s="4">
        <v>44812</v>
      </c>
      <c r="D1225">
        <v>463428.48</v>
      </c>
      <c r="E1225" t="s">
        <v>10</v>
      </c>
      <c r="F1225" t="s">
        <v>16</v>
      </c>
      <c r="G1225" t="s">
        <v>12</v>
      </c>
      <c r="H1225">
        <v>14</v>
      </c>
    </row>
    <row r="1226" spans="1:8" x14ac:dyDescent="0.3">
      <c r="A1226" t="s">
        <v>2252</v>
      </c>
      <c r="B1226" t="s">
        <v>2253</v>
      </c>
      <c r="C1226" s="4">
        <v>44808</v>
      </c>
      <c r="D1226">
        <v>298414.78999999998</v>
      </c>
      <c r="E1226" t="s">
        <v>10</v>
      </c>
      <c r="F1226" t="s">
        <v>34</v>
      </c>
      <c r="G1226" t="s">
        <v>24</v>
      </c>
      <c r="H1226">
        <v>58</v>
      </c>
    </row>
    <row r="1227" spans="1:8" x14ac:dyDescent="0.3">
      <c r="A1227" t="s">
        <v>2254</v>
      </c>
      <c r="B1227" t="s">
        <v>356</v>
      </c>
      <c r="C1227" s="4">
        <v>45157</v>
      </c>
      <c r="D1227">
        <v>142522.76</v>
      </c>
      <c r="E1227" t="s">
        <v>15</v>
      </c>
      <c r="F1227" t="s">
        <v>34</v>
      </c>
      <c r="G1227" t="s">
        <v>12</v>
      </c>
      <c r="H1227">
        <v>43</v>
      </c>
    </row>
    <row r="1228" spans="1:8" x14ac:dyDescent="0.3">
      <c r="A1228" t="s">
        <v>2255</v>
      </c>
      <c r="B1228" t="s">
        <v>2256</v>
      </c>
      <c r="C1228" s="4">
        <v>45413</v>
      </c>
      <c r="D1228">
        <v>366431.28</v>
      </c>
      <c r="E1228" t="s">
        <v>19</v>
      </c>
      <c r="F1228" t="s">
        <v>23</v>
      </c>
      <c r="G1228" t="s">
        <v>24</v>
      </c>
      <c r="H1228">
        <v>54</v>
      </c>
    </row>
    <row r="1229" spans="1:8" x14ac:dyDescent="0.3">
      <c r="A1229" t="s">
        <v>2257</v>
      </c>
      <c r="B1229" t="s">
        <v>2258</v>
      </c>
      <c r="C1229" s="4">
        <v>45461</v>
      </c>
      <c r="D1229">
        <v>89491.21</v>
      </c>
      <c r="E1229" t="s">
        <v>15</v>
      </c>
      <c r="F1229" t="s">
        <v>23</v>
      </c>
      <c r="G1229" t="s">
        <v>12</v>
      </c>
      <c r="H1229">
        <v>44</v>
      </c>
    </row>
    <row r="1230" spans="1:8" x14ac:dyDescent="0.3">
      <c r="A1230" t="s">
        <v>2259</v>
      </c>
      <c r="B1230" t="s">
        <v>2260</v>
      </c>
      <c r="C1230" s="4">
        <v>44621</v>
      </c>
      <c r="D1230">
        <v>427000.54</v>
      </c>
      <c r="E1230" t="s">
        <v>19</v>
      </c>
      <c r="F1230" t="s">
        <v>23</v>
      </c>
      <c r="G1230" t="s">
        <v>24</v>
      </c>
      <c r="H1230">
        <v>9</v>
      </c>
    </row>
    <row r="1231" spans="1:8" x14ac:dyDescent="0.3">
      <c r="A1231" t="s">
        <v>2261</v>
      </c>
      <c r="B1231" t="s">
        <v>2262</v>
      </c>
      <c r="C1231" s="4">
        <v>45035</v>
      </c>
      <c r="D1231">
        <v>293357.32</v>
      </c>
      <c r="E1231" t="s">
        <v>15</v>
      </c>
      <c r="F1231" t="s">
        <v>11</v>
      </c>
      <c r="G1231" t="s">
        <v>12</v>
      </c>
      <c r="H1231">
        <v>59</v>
      </c>
    </row>
    <row r="1232" spans="1:8" x14ac:dyDescent="0.3">
      <c r="A1232" t="s">
        <v>2263</v>
      </c>
      <c r="B1232" t="s">
        <v>650</v>
      </c>
      <c r="C1232" s="4">
        <v>45432</v>
      </c>
      <c r="D1232">
        <v>341418.85</v>
      </c>
      <c r="E1232" t="s">
        <v>19</v>
      </c>
      <c r="F1232" t="s">
        <v>16</v>
      </c>
      <c r="G1232" t="s">
        <v>24</v>
      </c>
      <c r="H1232">
        <v>24</v>
      </c>
    </row>
    <row r="1233" spans="1:8" x14ac:dyDescent="0.3">
      <c r="A1233" t="s">
        <v>2264</v>
      </c>
      <c r="B1233" t="s">
        <v>2265</v>
      </c>
      <c r="C1233" s="4">
        <v>45479</v>
      </c>
      <c r="D1233">
        <v>131561.73000000001</v>
      </c>
      <c r="E1233" t="s">
        <v>19</v>
      </c>
      <c r="F1233" t="s">
        <v>20</v>
      </c>
      <c r="G1233" t="s">
        <v>24</v>
      </c>
      <c r="H1233">
        <v>7</v>
      </c>
    </row>
    <row r="1234" spans="1:8" x14ac:dyDescent="0.3">
      <c r="A1234" t="s">
        <v>2266</v>
      </c>
      <c r="B1234" t="s">
        <v>241</v>
      </c>
      <c r="C1234" s="4">
        <v>45118</v>
      </c>
      <c r="D1234">
        <v>11374.37</v>
      </c>
      <c r="E1234" t="s">
        <v>10</v>
      </c>
      <c r="F1234" t="s">
        <v>23</v>
      </c>
      <c r="G1234" t="s">
        <v>24</v>
      </c>
      <c r="H1234">
        <v>41</v>
      </c>
    </row>
    <row r="1235" spans="1:8" x14ac:dyDescent="0.3">
      <c r="A1235" t="s">
        <v>2267</v>
      </c>
      <c r="B1235" t="s">
        <v>2268</v>
      </c>
      <c r="C1235" s="4">
        <v>44965</v>
      </c>
      <c r="D1235">
        <v>490030.61</v>
      </c>
      <c r="E1235" t="s">
        <v>15</v>
      </c>
      <c r="F1235" t="s">
        <v>16</v>
      </c>
      <c r="G1235" t="s">
        <v>12</v>
      </c>
      <c r="H1235">
        <v>15</v>
      </c>
    </row>
    <row r="1236" spans="1:8" x14ac:dyDescent="0.3">
      <c r="A1236" t="s">
        <v>2269</v>
      </c>
      <c r="B1236" t="s">
        <v>2270</v>
      </c>
      <c r="C1236" s="4">
        <v>45248</v>
      </c>
      <c r="D1236">
        <v>472743.73</v>
      </c>
      <c r="E1236" t="s">
        <v>10</v>
      </c>
      <c r="F1236" t="s">
        <v>11</v>
      </c>
      <c r="G1236" t="s">
        <v>24</v>
      </c>
      <c r="H1236">
        <v>25</v>
      </c>
    </row>
    <row r="1237" spans="1:8" x14ac:dyDescent="0.3">
      <c r="A1237" t="s">
        <v>2271</v>
      </c>
      <c r="B1237" t="s">
        <v>2272</v>
      </c>
      <c r="C1237" s="4">
        <v>44579</v>
      </c>
      <c r="D1237">
        <v>344345.47</v>
      </c>
      <c r="E1237" t="s">
        <v>10</v>
      </c>
      <c r="F1237" t="s">
        <v>34</v>
      </c>
      <c r="G1237" t="s">
        <v>24</v>
      </c>
      <c r="H1237">
        <v>44</v>
      </c>
    </row>
    <row r="1238" spans="1:8" x14ac:dyDescent="0.3">
      <c r="A1238" t="s">
        <v>2273</v>
      </c>
      <c r="B1238" t="s">
        <v>2274</v>
      </c>
      <c r="C1238" s="4">
        <v>45357</v>
      </c>
      <c r="D1238">
        <v>277463.26</v>
      </c>
      <c r="E1238" t="s">
        <v>10</v>
      </c>
      <c r="F1238" t="s">
        <v>34</v>
      </c>
      <c r="G1238" t="s">
        <v>12</v>
      </c>
      <c r="H1238">
        <v>14</v>
      </c>
    </row>
    <row r="1239" spans="1:8" x14ac:dyDescent="0.3">
      <c r="A1239" t="s">
        <v>2275</v>
      </c>
      <c r="B1239" t="s">
        <v>1788</v>
      </c>
      <c r="C1239" s="4">
        <v>45286</v>
      </c>
      <c r="D1239">
        <v>266795.21999999997</v>
      </c>
      <c r="E1239" t="s">
        <v>10</v>
      </c>
      <c r="F1239" t="s">
        <v>34</v>
      </c>
      <c r="G1239" t="s">
        <v>12</v>
      </c>
      <c r="H1239">
        <v>44</v>
      </c>
    </row>
    <row r="1240" spans="1:8" x14ac:dyDescent="0.3">
      <c r="A1240" t="s">
        <v>2276</v>
      </c>
      <c r="B1240" t="s">
        <v>2277</v>
      </c>
      <c r="C1240" s="4">
        <v>45494</v>
      </c>
      <c r="D1240">
        <v>141236.97</v>
      </c>
      <c r="E1240" t="s">
        <v>19</v>
      </c>
      <c r="F1240" t="s">
        <v>34</v>
      </c>
      <c r="G1240" t="s">
        <v>24</v>
      </c>
      <c r="H1240">
        <v>37</v>
      </c>
    </row>
    <row r="1241" spans="1:8" x14ac:dyDescent="0.3">
      <c r="A1241" t="s">
        <v>2278</v>
      </c>
      <c r="B1241" t="s">
        <v>2279</v>
      </c>
      <c r="C1241" s="4">
        <v>45484</v>
      </c>
      <c r="D1241">
        <v>78020.649999999994</v>
      </c>
      <c r="E1241" t="s">
        <v>15</v>
      </c>
      <c r="F1241" t="s">
        <v>16</v>
      </c>
      <c r="G1241" t="s">
        <v>24</v>
      </c>
      <c r="H1241">
        <v>35</v>
      </c>
    </row>
    <row r="1242" spans="1:8" x14ac:dyDescent="0.3">
      <c r="A1242" t="s">
        <v>2280</v>
      </c>
      <c r="B1242" t="s">
        <v>2071</v>
      </c>
      <c r="C1242" s="4">
        <v>45160</v>
      </c>
      <c r="D1242">
        <v>101693.45</v>
      </c>
      <c r="E1242" t="s">
        <v>10</v>
      </c>
      <c r="F1242" t="s">
        <v>11</v>
      </c>
      <c r="G1242" t="s">
        <v>24</v>
      </c>
      <c r="H1242">
        <v>53</v>
      </c>
    </row>
    <row r="1243" spans="1:8" x14ac:dyDescent="0.3">
      <c r="A1243" t="s">
        <v>2281</v>
      </c>
      <c r="B1243" t="s">
        <v>2282</v>
      </c>
      <c r="C1243" s="4">
        <v>44718</v>
      </c>
      <c r="D1243">
        <v>488889.85</v>
      </c>
      <c r="E1243" t="s">
        <v>10</v>
      </c>
      <c r="F1243" t="s">
        <v>16</v>
      </c>
      <c r="G1243" t="s">
        <v>12</v>
      </c>
      <c r="H1243">
        <v>26</v>
      </c>
    </row>
    <row r="1244" spans="1:8" x14ac:dyDescent="0.3">
      <c r="A1244" t="s">
        <v>2283</v>
      </c>
      <c r="B1244" t="s">
        <v>2284</v>
      </c>
      <c r="C1244" s="4">
        <v>44512</v>
      </c>
      <c r="D1244">
        <v>176626.44</v>
      </c>
      <c r="E1244" t="s">
        <v>19</v>
      </c>
      <c r="F1244" t="s">
        <v>20</v>
      </c>
      <c r="G1244" t="s">
        <v>24</v>
      </c>
      <c r="H1244">
        <v>58</v>
      </c>
    </row>
    <row r="1245" spans="1:8" x14ac:dyDescent="0.3">
      <c r="A1245" t="s">
        <v>2285</v>
      </c>
      <c r="B1245" t="s">
        <v>2286</v>
      </c>
      <c r="C1245" s="4">
        <v>44774</v>
      </c>
      <c r="D1245">
        <v>313617.17</v>
      </c>
      <c r="E1245" t="s">
        <v>19</v>
      </c>
      <c r="F1245" t="s">
        <v>20</v>
      </c>
      <c r="G1245" t="s">
        <v>12</v>
      </c>
      <c r="H1245">
        <v>26</v>
      </c>
    </row>
    <row r="1246" spans="1:8" x14ac:dyDescent="0.3">
      <c r="A1246" t="s">
        <v>2287</v>
      </c>
      <c r="B1246" t="s">
        <v>2288</v>
      </c>
      <c r="C1246" s="4">
        <v>45237</v>
      </c>
      <c r="D1246">
        <v>285711.37</v>
      </c>
      <c r="E1246" t="s">
        <v>19</v>
      </c>
      <c r="F1246" t="s">
        <v>11</v>
      </c>
      <c r="G1246" t="s">
        <v>12</v>
      </c>
      <c r="H1246">
        <v>29</v>
      </c>
    </row>
    <row r="1247" spans="1:8" x14ac:dyDescent="0.3">
      <c r="A1247" t="s">
        <v>2289</v>
      </c>
      <c r="B1247" t="s">
        <v>2290</v>
      </c>
      <c r="C1247" s="4">
        <v>45383</v>
      </c>
      <c r="D1247">
        <v>12382.59</v>
      </c>
      <c r="E1247" t="s">
        <v>15</v>
      </c>
      <c r="F1247" t="s">
        <v>11</v>
      </c>
      <c r="G1247" t="s">
        <v>24</v>
      </c>
      <c r="H1247">
        <v>4</v>
      </c>
    </row>
    <row r="1248" spans="1:8" x14ac:dyDescent="0.3">
      <c r="A1248" t="s">
        <v>2291</v>
      </c>
      <c r="B1248" t="s">
        <v>2292</v>
      </c>
      <c r="C1248" s="4">
        <v>45703</v>
      </c>
      <c r="D1248">
        <v>207657.94</v>
      </c>
      <c r="E1248" t="s">
        <v>15</v>
      </c>
      <c r="F1248" t="s">
        <v>23</v>
      </c>
      <c r="G1248" t="s">
        <v>12</v>
      </c>
      <c r="H1248">
        <v>19</v>
      </c>
    </row>
    <row r="1249" spans="1:8" x14ac:dyDescent="0.3">
      <c r="A1249" t="s">
        <v>2293</v>
      </c>
      <c r="B1249" t="s">
        <v>547</v>
      </c>
      <c r="C1249" s="4">
        <v>45114</v>
      </c>
      <c r="D1249">
        <v>139978.70000000001</v>
      </c>
      <c r="E1249" t="s">
        <v>15</v>
      </c>
      <c r="F1249" t="s">
        <v>34</v>
      </c>
      <c r="G1249" t="s">
        <v>12</v>
      </c>
      <c r="H1249">
        <v>32</v>
      </c>
    </row>
    <row r="1250" spans="1:8" x14ac:dyDescent="0.3">
      <c r="A1250" t="s">
        <v>2294</v>
      </c>
      <c r="B1250" t="s">
        <v>2295</v>
      </c>
      <c r="C1250" s="4">
        <v>45230</v>
      </c>
      <c r="D1250">
        <v>377533.92</v>
      </c>
      <c r="E1250" t="s">
        <v>19</v>
      </c>
      <c r="F1250" t="s">
        <v>34</v>
      </c>
      <c r="G1250" t="s">
        <v>12</v>
      </c>
      <c r="H1250">
        <v>35</v>
      </c>
    </row>
    <row r="1251" spans="1:8" x14ac:dyDescent="0.3">
      <c r="A1251" t="s">
        <v>2296</v>
      </c>
      <c r="B1251" t="s">
        <v>2297</v>
      </c>
      <c r="C1251" s="4">
        <v>44809</v>
      </c>
      <c r="D1251">
        <v>280802.52</v>
      </c>
      <c r="E1251" t="s">
        <v>19</v>
      </c>
      <c r="F1251" t="s">
        <v>16</v>
      </c>
      <c r="G1251" t="s">
        <v>12</v>
      </c>
      <c r="H1251">
        <v>11</v>
      </c>
    </row>
    <row r="1252" spans="1:8" x14ac:dyDescent="0.3">
      <c r="A1252" t="s">
        <v>2298</v>
      </c>
      <c r="B1252" t="s">
        <v>2299</v>
      </c>
      <c r="C1252" s="4">
        <v>45484</v>
      </c>
      <c r="D1252">
        <v>213618.84</v>
      </c>
      <c r="E1252" t="s">
        <v>15</v>
      </c>
      <c r="F1252" t="s">
        <v>16</v>
      </c>
      <c r="G1252" t="s">
        <v>24</v>
      </c>
      <c r="H1252">
        <v>54</v>
      </c>
    </row>
    <row r="1253" spans="1:8" x14ac:dyDescent="0.3">
      <c r="A1253" t="s">
        <v>2300</v>
      </c>
      <c r="B1253" t="s">
        <v>504</v>
      </c>
      <c r="C1253" s="4">
        <v>45176</v>
      </c>
      <c r="D1253">
        <v>362827.64</v>
      </c>
      <c r="E1253" t="s">
        <v>15</v>
      </c>
      <c r="F1253" t="s">
        <v>11</v>
      </c>
      <c r="G1253" t="s">
        <v>12</v>
      </c>
      <c r="H1253">
        <v>8</v>
      </c>
    </row>
    <row r="1254" spans="1:8" x14ac:dyDescent="0.3">
      <c r="A1254" t="s">
        <v>2301</v>
      </c>
      <c r="B1254" t="s">
        <v>726</v>
      </c>
      <c r="C1254" s="4">
        <v>44838</v>
      </c>
      <c r="D1254">
        <v>25919.17</v>
      </c>
      <c r="E1254" t="s">
        <v>19</v>
      </c>
      <c r="F1254" t="s">
        <v>34</v>
      </c>
      <c r="G1254" t="s">
        <v>24</v>
      </c>
      <c r="H1254">
        <v>41</v>
      </c>
    </row>
    <row r="1255" spans="1:8" x14ac:dyDescent="0.3">
      <c r="A1255" t="s">
        <v>2302</v>
      </c>
      <c r="B1255" t="s">
        <v>2303</v>
      </c>
      <c r="C1255" s="4">
        <v>45795</v>
      </c>
      <c r="D1255">
        <v>155508.51</v>
      </c>
      <c r="E1255" t="s">
        <v>10</v>
      </c>
      <c r="F1255" t="s">
        <v>20</v>
      </c>
      <c r="G1255" t="s">
        <v>24</v>
      </c>
      <c r="H1255">
        <v>56</v>
      </c>
    </row>
    <row r="1256" spans="1:8" x14ac:dyDescent="0.3">
      <c r="A1256" t="s">
        <v>2304</v>
      </c>
      <c r="B1256" t="s">
        <v>2305</v>
      </c>
      <c r="C1256" s="4">
        <v>45280</v>
      </c>
      <c r="D1256">
        <v>26521.78</v>
      </c>
      <c r="E1256" t="s">
        <v>10</v>
      </c>
      <c r="F1256" t="s">
        <v>20</v>
      </c>
      <c r="G1256" t="s">
        <v>12</v>
      </c>
      <c r="H1256">
        <v>53</v>
      </c>
    </row>
    <row r="1257" spans="1:8" x14ac:dyDescent="0.3">
      <c r="A1257" t="s">
        <v>2306</v>
      </c>
      <c r="B1257" t="s">
        <v>2307</v>
      </c>
      <c r="C1257" s="4">
        <v>45409</v>
      </c>
      <c r="D1257">
        <v>73843.17</v>
      </c>
      <c r="E1257" t="s">
        <v>19</v>
      </c>
      <c r="F1257" t="s">
        <v>11</v>
      </c>
      <c r="G1257" t="s">
        <v>12</v>
      </c>
      <c r="H1257">
        <v>4</v>
      </c>
    </row>
    <row r="1258" spans="1:8" x14ac:dyDescent="0.3">
      <c r="A1258" t="s">
        <v>2308</v>
      </c>
      <c r="B1258" t="s">
        <v>2309</v>
      </c>
      <c r="C1258" s="4">
        <v>45147</v>
      </c>
      <c r="D1258">
        <v>376216.73</v>
      </c>
      <c r="E1258" t="s">
        <v>19</v>
      </c>
      <c r="F1258" t="s">
        <v>16</v>
      </c>
      <c r="G1258" t="s">
        <v>12</v>
      </c>
      <c r="H1258">
        <v>3</v>
      </c>
    </row>
    <row r="1259" spans="1:8" x14ac:dyDescent="0.3">
      <c r="A1259" t="s">
        <v>2310</v>
      </c>
      <c r="B1259" t="s">
        <v>644</v>
      </c>
      <c r="C1259" s="4">
        <v>44439</v>
      </c>
      <c r="D1259">
        <v>121727.6</v>
      </c>
      <c r="E1259" t="s">
        <v>10</v>
      </c>
      <c r="F1259" t="s">
        <v>20</v>
      </c>
      <c r="G1259" t="s">
        <v>12</v>
      </c>
      <c r="H1259">
        <v>12</v>
      </c>
    </row>
    <row r="1260" spans="1:8" x14ac:dyDescent="0.3">
      <c r="A1260" t="s">
        <v>2311</v>
      </c>
      <c r="B1260" t="s">
        <v>2312</v>
      </c>
      <c r="C1260" s="4">
        <v>45565</v>
      </c>
      <c r="D1260">
        <v>210894.89</v>
      </c>
      <c r="E1260" t="s">
        <v>15</v>
      </c>
      <c r="F1260" t="s">
        <v>23</v>
      </c>
      <c r="G1260" t="s">
        <v>24</v>
      </c>
      <c r="H1260">
        <v>10</v>
      </c>
    </row>
    <row r="1261" spans="1:8" x14ac:dyDescent="0.3">
      <c r="A1261" t="s">
        <v>2313</v>
      </c>
      <c r="B1261" t="s">
        <v>1656</v>
      </c>
      <c r="C1261" s="4">
        <v>44682</v>
      </c>
      <c r="D1261">
        <v>43425.1</v>
      </c>
      <c r="E1261" t="s">
        <v>15</v>
      </c>
      <c r="F1261" t="s">
        <v>23</v>
      </c>
      <c r="G1261" t="s">
        <v>12</v>
      </c>
      <c r="H1261">
        <v>2</v>
      </c>
    </row>
    <row r="1262" spans="1:8" x14ac:dyDescent="0.3">
      <c r="A1262" t="s">
        <v>2314</v>
      </c>
      <c r="B1262" t="s">
        <v>2315</v>
      </c>
      <c r="C1262" s="4">
        <v>44756</v>
      </c>
      <c r="D1262">
        <v>145073.45000000001</v>
      </c>
      <c r="E1262" t="s">
        <v>15</v>
      </c>
      <c r="F1262" t="s">
        <v>11</v>
      </c>
      <c r="G1262" t="s">
        <v>24</v>
      </c>
      <c r="H1262">
        <v>24</v>
      </c>
    </row>
    <row r="1263" spans="1:8" x14ac:dyDescent="0.3">
      <c r="A1263" t="s">
        <v>2316</v>
      </c>
      <c r="B1263" t="s">
        <v>2317</v>
      </c>
      <c r="C1263" s="4">
        <v>45200</v>
      </c>
      <c r="D1263">
        <v>202686.07999999999</v>
      </c>
      <c r="E1263" t="s">
        <v>10</v>
      </c>
      <c r="F1263" t="s">
        <v>11</v>
      </c>
      <c r="G1263" t="s">
        <v>12</v>
      </c>
      <c r="H1263">
        <v>11</v>
      </c>
    </row>
    <row r="1264" spans="1:8" x14ac:dyDescent="0.3">
      <c r="A1264" t="s">
        <v>2318</v>
      </c>
      <c r="B1264" t="s">
        <v>2319</v>
      </c>
      <c r="C1264" s="4">
        <v>45436</v>
      </c>
      <c r="D1264">
        <v>447677.43</v>
      </c>
      <c r="E1264" t="s">
        <v>10</v>
      </c>
      <c r="F1264" t="s">
        <v>34</v>
      </c>
      <c r="G1264" t="s">
        <v>12</v>
      </c>
      <c r="H1264">
        <v>33</v>
      </c>
    </row>
    <row r="1265" spans="1:8" x14ac:dyDescent="0.3">
      <c r="A1265" t="s">
        <v>2320</v>
      </c>
      <c r="B1265" t="s">
        <v>2321</v>
      </c>
      <c r="C1265" s="4">
        <v>44967</v>
      </c>
      <c r="D1265">
        <v>288030.77</v>
      </c>
      <c r="E1265" t="s">
        <v>19</v>
      </c>
      <c r="F1265" t="s">
        <v>16</v>
      </c>
      <c r="G1265" t="s">
        <v>24</v>
      </c>
      <c r="H1265">
        <v>58</v>
      </c>
    </row>
    <row r="1266" spans="1:8" x14ac:dyDescent="0.3">
      <c r="A1266" t="s">
        <v>2322</v>
      </c>
      <c r="B1266" t="s">
        <v>2043</v>
      </c>
      <c r="C1266" s="4">
        <v>45523</v>
      </c>
      <c r="D1266">
        <v>304623.89</v>
      </c>
      <c r="E1266" t="s">
        <v>15</v>
      </c>
      <c r="F1266" t="s">
        <v>20</v>
      </c>
      <c r="G1266" t="s">
        <v>24</v>
      </c>
      <c r="H1266">
        <v>44</v>
      </c>
    </row>
    <row r="1267" spans="1:8" x14ac:dyDescent="0.3">
      <c r="A1267" t="s">
        <v>2323</v>
      </c>
      <c r="B1267" t="s">
        <v>1082</v>
      </c>
      <c r="C1267" s="4">
        <v>45633</v>
      </c>
      <c r="D1267">
        <v>345339.1</v>
      </c>
      <c r="E1267" t="s">
        <v>15</v>
      </c>
      <c r="F1267" t="s">
        <v>23</v>
      </c>
      <c r="G1267" t="s">
        <v>12</v>
      </c>
      <c r="H1267">
        <v>53</v>
      </c>
    </row>
    <row r="1268" spans="1:8" x14ac:dyDescent="0.3">
      <c r="A1268" t="s">
        <v>2324</v>
      </c>
      <c r="B1268" t="s">
        <v>504</v>
      </c>
      <c r="C1268" s="4">
        <v>45426</v>
      </c>
      <c r="D1268">
        <v>15739.41</v>
      </c>
      <c r="E1268" t="s">
        <v>10</v>
      </c>
      <c r="F1268" t="s">
        <v>34</v>
      </c>
      <c r="G1268" t="s">
        <v>24</v>
      </c>
      <c r="H1268">
        <v>34</v>
      </c>
    </row>
    <row r="1269" spans="1:8" x14ac:dyDescent="0.3">
      <c r="A1269" t="s">
        <v>2325</v>
      </c>
      <c r="B1269" t="s">
        <v>598</v>
      </c>
      <c r="C1269" s="4">
        <v>45470</v>
      </c>
      <c r="D1269">
        <v>271950.96000000002</v>
      </c>
      <c r="E1269" t="s">
        <v>15</v>
      </c>
      <c r="F1269" t="s">
        <v>23</v>
      </c>
      <c r="G1269" t="s">
        <v>24</v>
      </c>
      <c r="H1269">
        <v>45</v>
      </c>
    </row>
    <row r="1270" spans="1:8" x14ac:dyDescent="0.3">
      <c r="A1270" t="s">
        <v>2326</v>
      </c>
      <c r="B1270" t="s">
        <v>2327</v>
      </c>
      <c r="C1270" s="4">
        <v>45297</v>
      </c>
      <c r="D1270">
        <v>223552</v>
      </c>
      <c r="E1270" t="s">
        <v>19</v>
      </c>
      <c r="F1270" t="s">
        <v>11</v>
      </c>
      <c r="G1270" t="s">
        <v>12</v>
      </c>
      <c r="H1270">
        <v>19</v>
      </c>
    </row>
    <row r="1271" spans="1:8" x14ac:dyDescent="0.3">
      <c r="A1271" t="s">
        <v>2328</v>
      </c>
      <c r="B1271" t="s">
        <v>2329</v>
      </c>
      <c r="C1271" s="4">
        <v>44226</v>
      </c>
      <c r="D1271">
        <v>11061.28</v>
      </c>
      <c r="E1271" t="s">
        <v>15</v>
      </c>
      <c r="F1271" t="s">
        <v>20</v>
      </c>
      <c r="G1271" t="s">
        <v>24</v>
      </c>
      <c r="H1271">
        <v>8</v>
      </c>
    </row>
    <row r="1272" spans="1:8" x14ac:dyDescent="0.3">
      <c r="A1272" t="s">
        <v>2330</v>
      </c>
      <c r="B1272" t="s">
        <v>1067</v>
      </c>
      <c r="C1272" s="4">
        <v>44416</v>
      </c>
      <c r="D1272">
        <v>465762.5</v>
      </c>
      <c r="E1272" t="s">
        <v>10</v>
      </c>
      <c r="F1272" t="s">
        <v>23</v>
      </c>
      <c r="G1272" t="s">
        <v>24</v>
      </c>
      <c r="H1272">
        <v>17</v>
      </c>
    </row>
    <row r="1273" spans="1:8" x14ac:dyDescent="0.3">
      <c r="A1273" t="s">
        <v>2331</v>
      </c>
      <c r="B1273" t="s">
        <v>95</v>
      </c>
      <c r="C1273" s="4">
        <v>45699</v>
      </c>
      <c r="D1273">
        <v>203527.11</v>
      </c>
      <c r="E1273" t="s">
        <v>19</v>
      </c>
      <c r="F1273" t="s">
        <v>34</v>
      </c>
      <c r="G1273" t="s">
        <v>12</v>
      </c>
      <c r="H1273">
        <v>25</v>
      </c>
    </row>
    <row r="1274" spans="1:8" x14ac:dyDescent="0.3">
      <c r="A1274" t="s">
        <v>2332</v>
      </c>
      <c r="B1274" t="s">
        <v>2333</v>
      </c>
      <c r="C1274" s="4">
        <v>45190</v>
      </c>
      <c r="D1274">
        <v>51820.54</v>
      </c>
      <c r="E1274" t="s">
        <v>15</v>
      </c>
      <c r="F1274" t="s">
        <v>11</v>
      </c>
      <c r="G1274" t="s">
        <v>12</v>
      </c>
      <c r="H1274">
        <v>25</v>
      </c>
    </row>
    <row r="1275" spans="1:8" x14ac:dyDescent="0.3">
      <c r="A1275" t="s">
        <v>2334</v>
      </c>
      <c r="B1275" t="s">
        <v>2335</v>
      </c>
      <c r="C1275" s="4">
        <v>45571</v>
      </c>
      <c r="D1275">
        <v>360701.49</v>
      </c>
      <c r="E1275" t="s">
        <v>15</v>
      </c>
      <c r="F1275" t="s">
        <v>16</v>
      </c>
      <c r="G1275" t="s">
        <v>24</v>
      </c>
      <c r="H1275">
        <v>33</v>
      </c>
    </row>
    <row r="1276" spans="1:8" x14ac:dyDescent="0.3">
      <c r="A1276" t="s">
        <v>2336</v>
      </c>
      <c r="B1276" t="s">
        <v>469</v>
      </c>
      <c r="C1276" s="4">
        <v>44942</v>
      </c>
      <c r="D1276">
        <v>370638.42</v>
      </c>
      <c r="E1276" t="s">
        <v>10</v>
      </c>
      <c r="F1276" t="s">
        <v>34</v>
      </c>
      <c r="G1276" t="s">
        <v>12</v>
      </c>
      <c r="H1276">
        <v>25</v>
      </c>
    </row>
    <row r="1277" spans="1:8" x14ac:dyDescent="0.3">
      <c r="A1277" t="s">
        <v>2337</v>
      </c>
      <c r="B1277" t="s">
        <v>2338</v>
      </c>
      <c r="C1277" s="4">
        <v>45227</v>
      </c>
      <c r="D1277">
        <v>277516.55</v>
      </c>
      <c r="E1277" t="s">
        <v>15</v>
      </c>
      <c r="F1277" t="s">
        <v>23</v>
      </c>
      <c r="G1277" t="s">
        <v>12</v>
      </c>
      <c r="H1277">
        <v>28</v>
      </c>
    </row>
    <row r="1278" spans="1:8" x14ac:dyDescent="0.3">
      <c r="A1278" t="s">
        <v>2339</v>
      </c>
      <c r="B1278" t="s">
        <v>2340</v>
      </c>
      <c r="C1278" s="4">
        <v>45248</v>
      </c>
      <c r="D1278">
        <v>276214.74</v>
      </c>
      <c r="E1278" t="s">
        <v>15</v>
      </c>
      <c r="F1278" t="s">
        <v>11</v>
      </c>
      <c r="G1278" t="s">
        <v>24</v>
      </c>
      <c r="H1278">
        <v>14</v>
      </c>
    </row>
    <row r="1279" spans="1:8" x14ac:dyDescent="0.3">
      <c r="A1279" t="s">
        <v>2341</v>
      </c>
      <c r="B1279" t="s">
        <v>2342</v>
      </c>
      <c r="C1279" s="4">
        <v>44108</v>
      </c>
      <c r="D1279">
        <v>246588.89</v>
      </c>
      <c r="E1279" t="s">
        <v>15</v>
      </c>
      <c r="F1279" t="s">
        <v>11</v>
      </c>
      <c r="G1279" t="s">
        <v>12</v>
      </c>
      <c r="H1279">
        <v>5</v>
      </c>
    </row>
    <row r="1280" spans="1:8" x14ac:dyDescent="0.3">
      <c r="A1280" t="s">
        <v>2343</v>
      </c>
      <c r="B1280" t="s">
        <v>2344</v>
      </c>
      <c r="C1280" s="4">
        <v>45312</v>
      </c>
      <c r="D1280">
        <v>37487.040000000001</v>
      </c>
      <c r="E1280" t="s">
        <v>19</v>
      </c>
      <c r="F1280" t="s">
        <v>20</v>
      </c>
      <c r="G1280" t="s">
        <v>12</v>
      </c>
      <c r="H1280">
        <v>15</v>
      </c>
    </row>
    <row r="1281" spans="1:8" x14ac:dyDescent="0.3">
      <c r="A1281" t="s">
        <v>2345</v>
      </c>
      <c r="B1281" t="s">
        <v>2346</v>
      </c>
      <c r="C1281" s="4">
        <v>45700</v>
      </c>
      <c r="D1281">
        <v>431060.63</v>
      </c>
      <c r="E1281" t="s">
        <v>10</v>
      </c>
      <c r="F1281" t="s">
        <v>16</v>
      </c>
      <c r="G1281" t="s">
        <v>12</v>
      </c>
      <c r="H1281">
        <v>55</v>
      </c>
    </row>
    <row r="1282" spans="1:8" x14ac:dyDescent="0.3">
      <c r="A1282" t="s">
        <v>2347</v>
      </c>
      <c r="B1282" t="s">
        <v>2348</v>
      </c>
      <c r="C1282" s="4">
        <v>44905</v>
      </c>
      <c r="D1282">
        <v>182510.17</v>
      </c>
      <c r="E1282" t="s">
        <v>10</v>
      </c>
      <c r="F1282" t="s">
        <v>11</v>
      </c>
      <c r="G1282" t="s">
        <v>24</v>
      </c>
      <c r="H1282">
        <v>48</v>
      </c>
    </row>
    <row r="1283" spans="1:8" x14ac:dyDescent="0.3">
      <c r="A1283" t="s">
        <v>2349</v>
      </c>
      <c r="B1283" t="s">
        <v>2350</v>
      </c>
      <c r="C1283" s="4">
        <v>44997</v>
      </c>
      <c r="D1283">
        <v>183793.43</v>
      </c>
      <c r="E1283" t="s">
        <v>15</v>
      </c>
      <c r="F1283" t="s">
        <v>23</v>
      </c>
      <c r="G1283" t="s">
        <v>12</v>
      </c>
      <c r="H1283">
        <v>41</v>
      </c>
    </row>
    <row r="1284" spans="1:8" x14ac:dyDescent="0.3">
      <c r="A1284" t="s">
        <v>2351</v>
      </c>
      <c r="B1284" t="s">
        <v>2352</v>
      </c>
      <c r="C1284" s="4">
        <v>45338</v>
      </c>
      <c r="D1284">
        <v>63479.199999999997</v>
      </c>
      <c r="E1284" t="s">
        <v>19</v>
      </c>
      <c r="F1284" t="s">
        <v>23</v>
      </c>
      <c r="G1284" t="s">
        <v>12</v>
      </c>
      <c r="H1284">
        <v>37</v>
      </c>
    </row>
    <row r="1285" spans="1:8" x14ac:dyDescent="0.3">
      <c r="A1285" t="s">
        <v>2353</v>
      </c>
      <c r="B1285" t="s">
        <v>2354</v>
      </c>
      <c r="C1285" s="4">
        <v>45330</v>
      </c>
      <c r="D1285">
        <v>70575.56</v>
      </c>
      <c r="E1285" t="s">
        <v>19</v>
      </c>
      <c r="F1285" t="s">
        <v>20</v>
      </c>
      <c r="G1285" t="s">
        <v>24</v>
      </c>
      <c r="H1285">
        <v>27</v>
      </c>
    </row>
    <row r="1286" spans="1:8" x14ac:dyDescent="0.3">
      <c r="A1286" t="s">
        <v>2355</v>
      </c>
      <c r="B1286" t="s">
        <v>2356</v>
      </c>
      <c r="C1286" s="4">
        <v>45167</v>
      </c>
      <c r="D1286">
        <v>406234.13</v>
      </c>
      <c r="E1286" t="s">
        <v>10</v>
      </c>
      <c r="F1286" t="s">
        <v>34</v>
      </c>
      <c r="G1286" t="s">
        <v>24</v>
      </c>
      <c r="H1286">
        <v>10</v>
      </c>
    </row>
    <row r="1287" spans="1:8" x14ac:dyDescent="0.3">
      <c r="A1287" t="s">
        <v>2357</v>
      </c>
      <c r="B1287" t="s">
        <v>1652</v>
      </c>
      <c r="C1287" s="4">
        <v>45574</v>
      </c>
      <c r="D1287">
        <v>429975.42</v>
      </c>
      <c r="E1287" t="s">
        <v>15</v>
      </c>
      <c r="F1287" t="s">
        <v>11</v>
      </c>
      <c r="G1287" t="s">
        <v>24</v>
      </c>
      <c r="H1287">
        <v>39</v>
      </c>
    </row>
    <row r="1288" spans="1:8" x14ac:dyDescent="0.3">
      <c r="A1288" t="s">
        <v>2358</v>
      </c>
      <c r="B1288" t="s">
        <v>2359</v>
      </c>
      <c r="C1288" s="4">
        <v>45303</v>
      </c>
      <c r="D1288">
        <v>335247.14</v>
      </c>
      <c r="E1288" t="s">
        <v>10</v>
      </c>
      <c r="F1288" t="s">
        <v>20</v>
      </c>
      <c r="G1288" t="s">
        <v>24</v>
      </c>
      <c r="H1288">
        <v>45</v>
      </c>
    </row>
    <row r="1289" spans="1:8" x14ac:dyDescent="0.3">
      <c r="A1289" t="s">
        <v>2360</v>
      </c>
      <c r="B1289" t="s">
        <v>2361</v>
      </c>
      <c r="C1289" s="4">
        <v>45452</v>
      </c>
      <c r="D1289">
        <v>132733.79999999999</v>
      </c>
      <c r="E1289" t="s">
        <v>19</v>
      </c>
      <c r="F1289" t="s">
        <v>16</v>
      </c>
      <c r="G1289" t="s">
        <v>12</v>
      </c>
      <c r="H1289">
        <v>14</v>
      </c>
    </row>
    <row r="1290" spans="1:8" x14ac:dyDescent="0.3">
      <c r="A1290" t="s">
        <v>2362</v>
      </c>
      <c r="B1290" t="s">
        <v>2363</v>
      </c>
      <c r="C1290" s="4">
        <v>44792</v>
      </c>
      <c r="D1290">
        <v>266018.2</v>
      </c>
      <c r="E1290" t="s">
        <v>10</v>
      </c>
      <c r="F1290" t="s">
        <v>11</v>
      </c>
      <c r="G1290" t="s">
        <v>12</v>
      </c>
      <c r="H1290">
        <v>38</v>
      </c>
    </row>
    <row r="1291" spans="1:8" x14ac:dyDescent="0.3">
      <c r="A1291" t="s">
        <v>2364</v>
      </c>
      <c r="B1291" t="s">
        <v>2365</v>
      </c>
      <c r="C1291" s="4">
        <v>45398</v>
      </c>
      <c r="D1291">
        <v>326869.51</v>
      </c>
      <c r="E1291" t="s">
        <v>10</v>
      </c>
      <c r="F1291" t="s">
        <v>16</v>
      </c>
      <c r="G1291" t="s">
        <v>12</v>
      </c>
      <c r="H1291">
        <v>42</v>
      </c>
    </row>
    <row r="1292" spans="1:8" x14ac:dyDescent="0.3">
      <c r="A1292" t="s">
        <v>2366</v>
      </c>
      <c r="B1292" t="s">
        <v>2143</v>
      </c>
      <c r="C1292" s="4">
        <v>45375</v>
      </c>
      <c r="D1292">
        <v>411871.09</v>
      </c>
      <c r="E1292" t="s">
        <v>15</v>
      </c>
      <c r="F1292" t="s">
        <v>11</v>
      </c>
      <c r="G1292" t="s">
        <v>24</v>
      </c>
      <c r="H1292">
        <v>12</v>
      </c>
    </row>
    <row r="1293" spans="1:8" x14ac:dyDescent="0.3">
      <c r="A1293" t="s">
        <v>2367</v>
      </c>
      <c r="B1293" t="s">
        <v>749</v>
      </c>
      <c r="C1293" s="4">
        <v>45572</v>
      </c>
      <c r="D1293">
        <v>265365.06</v>
      </c>
      <c r="E1293" t="s">
        <v>15</v>
      </c>
      <c r="F1293" t="s">
        <v>20</v>
      </c>
      <c r="G1293" t="s">
        <v>12</v>
      </c>
      <c r="H1293">
        <v>29</v>
      </c>
    </row>
    <row r="1294" spans="1:8" x14ac:dyDescent="0.3">
      <c r="A1294" t="s">
        <v>2368</v>
      </c>
      <c r="B1294" t="s">
        <v>2369</v>
      </c>
      <c r="C1294" s="4">
        <v>44497</v>
      </c>
      <c r="D1294">
        <v>334294.48</v>
      </c>
      <c r="E1294" t="s">
        <v>15</v>
      </c>
      <c r="F1294" t="s">
        <v>16</v>
      </c>
      <c r="G1294" t="s">
        <v>12</v>
      </c>
      <c r="H1294">
        <v>16</v>
      </c>
    </row>
    <row r="1295" spans="1:8" x14ac:dyDescent="0.3">
      <c r="A1295" t="s">
        <v>2370</v>
      </c>
      <c r="B1295" t="s">
        <v>2371</v>
      </c>
      <c r="C1295" s="4">
        <v>45097</v>
      </c>
      <c r="D1295">
        <v>360055.87</v>
      </c>
      <c r="E1295" t="s">
        <v>10</v>
      </c>
      <c r="F1295" t="s">
        <v>23</v>
      </c>
      <c r="G1295" t="s">
        <v>12</v>
      </c>
      <c r="H1295">
        <v>19</v>
      </c>
    </row>
    <row r="1296" spans="1:8" x14ac:dyDescent="0.3">
      <c r="A1296" t="s">
        <v>2372</v>
      </c>
      <c r="B1296" t="s">
        <v>2373</v>
      </c>
      <c r="C1296" s="4">
        <v>45559</v>
      </c>
      <c r="D1296">
        <v>271751.28000000003</v>
      </c>
      <c r="E1296" t="s">
        <v>10</v>
      </c>
      <c r="F1296" t="s">
        <v>23</v>
      </c>
      <c r="G1296" t="s">
        <v>12</v>
      </c>
      <c r="H1296">
        <v>44</v>
      </c>
    </row>
    <row r="1297" spans="1:8" x14ac:dyDescent="0.3">
      <c r="A1297" t="s">
        <v>2374</v>
      </c>
      <c r="B1297" t="s">
        <v>2375</v>
      </c>
      <c r="C1297" s="4">
        <v>45392</v>
      </c>
      <c r="D1297">
        <v>188398.4</v>
      </c>
      <c r="E1297" t="s">
        <v>19</v>
      </c>
      <c r="F1297" t="s">
        <v>23</v>
      </c>
      <c r="G1297" t="s">
        <v>24</v>
      </c>
      <c r="H1297">
        <v>55</v>
      </c>
    </row>
    <row r="1298" spans="1:8" x14ac:dyDescent="0.3">
      <c r="A1298" t="s">
        <v>2376</v>
      </c>
      <c r="B1298" t="s">
        <v>2377</v>
      </c>
      <c r="C1298" s="4">
        <v>45503</v>
      </c>
      <c r="D1298">
        <v>379783.89</v>
      </c>
      <c r="E1298" t="s">
        <v>15</v>
      </c>
      <c r="F1298" t="s">
        <v>23</v>
      </c>
      <c r="G1298" t="s">
        <v>24</v>
      </c>
      <c r="H1298">
        <v>45</v>
      </c>
    </row>
    <row r="1299" spans="1:8" x14ac:dyDescent="0.3">
      <c r="A1299" t="s">
        <v>2378</v>
      </c>
      <c r="B1299" t="s">
        <v>1207</v>
      </c>
      <c r="C1299" s="4">
        <v>45606</v>
      </c>
      <c r="D1299">
        <v>275746.57</v>
      </c>
      <c r="E1299" t="s">
        <v>15</v>
      </c>
      <c r="F1299" t="s">
        <v>11</v>
      </c>
      <c r="G1299" t="s">
        <v>12</v>
      </c>
      <c r="H1299">
        <v>37</v>
      </c>
    </row>
    <row r="1300" spans="1:8" x14ac:dyDescent="0.3">
      <c r="A1300" t="s">
        <v>2379</v>
      </c>
      <c r="B1300" t="s">
        <v>1458</v>
      </c>
      <c r="C1300" s="4">
        <v>45497</v>
      </c>
      <c r="D1300">
        <v>69898.490000000005</v>
      </c>
      <c r="E1300" t="s">
        <v>10</v>
      </c>
      <c r="F1300" t="s">
        <v>20</v>
      </c>
      <c r="G1300" t="s">
        <v>24</v>
      </c>
      <c r="H1300">
        <v>15</v>
      </c>
    </row>
    <row r="1301" spans="1:8" x14ac:dyDescent="0.3">
      <c r="A1301" t="s">
        <v>2380</v>
      </c>
      <c r="B1301" t="s">
        <v>759</v>
      </c>
      <c r="C1301" s="4">
        <v>45174</v>
      </c>
      <c r="D1301">
        <v>369574.84</v>
      </c>
      <c r="E1301" t="s">
        <v>10</v>
      </c>
      <c r="F1301" t="s">
        <v>20</v>
      </c>
      <c r="G1301" t="s">
        <v>12</v>
      </c>
      <c r="H1301">
        <v>35</v>
      </c>
    </row>
    <row r="1302" spans="1:8" x14ac:dyDescent="0.3">
      <c r="A1302" t="s">
        <v>2381</v>
      </c>
      <c r="B1302" t="s">
        <v>2126</v>
      </c>
      <c r="C1302" s="4">
        <v>44149</v>
      </c>
      <c r="D1302">
        <v>370161.36</v>
      </c>
      <c r="E1302" t="s">
        <v>15</v>
      </c>
      <c r="F1302" t="s">
        <v>34</v>
      </c>
      <c r="G1302" t="s">
        <v>24</v>
      </c>
      <c r="H1302">
        <v>18</v>
      </c>
    </row>
    <row r="1303" spans="1:8" x14ac:dyDescent="0.3">
      <c r="A1303" t="s">
        <v>2382</v>
      </c>
      <c r="B1303" t="s">
        <v>2383</v>
      </c>
      <c r="C1303" s="4">
        <v>44992</v>
      </c>
      <c r="D1303">
        <v>312453.48</v>
      </c>
      <c r="E1303" t="s">
        <v>10</v>
      </c>
      <c r="F1303" t="s">
        <v>16</v>
      </c>
      <c r="G1303" t="s">
        <v>24</v>
      </c>
      <c r="H1303">
        <v>16</v>
      </c>
    </row>
    <row r="1304" spans="1:8" x14ac:dyDescent="0.3">
      <c r="A1304" t="s">
        <v>2384</v>
      </c>
      <c r="B1304" t="s">
        <v>2385</v>
      </c>
      <c r="C1304" s="4">
        <v>45081</v>
      </c>
      <c r="D1304">
        <v>75579.39</v>
      </c>
      <c r="E1304" t="s">
        <v>19</v>
      </c>
      <c r="F1304" t="s">
        <v>23</v>
      </c>
      <c r="G1304" t="s">
        <v>24</v>
      </c>
      <c r="H1304">
        <v>24</v>
      </c>
    </row>
    <row r="1305" spans="1:8" x14ac:dyDescent="0.3">
      <c r="A1305" t="s">
        <v>2386</v>
      </c>
      <c r="B1305" t="s">
        <v>2387</v>
      </c>
      <c r="C1305" s="4">
        <v>45586</v>
      </c>
      <c r="D1305">
        <v>45059.15</v>
      </c>
      <c r="E1305" t="s">
        <v>19</v>
      </c>
      <c r="F1305" t="s">
        <v>16</v>
      </c>
      <c r="G1305" t="s">
        <v>12</v>
      </c>
      <c r="H1305">
        <v>21</v>
      </c>
    </row>
    <row r="1306" spans="1:8" x14ac:dyDescent="0.3">
      <c r="A1306" t="s">
        <v>2388</v>
      </c>
      <c r="B1306" t="s">
        <v>2389</v>
      </c>
      <c r="C1306" s="4">
        <v>45458</v>
      </c>
      <c r="D1306">
        <v>285062.12</v>
      </c>
      <c r="E1306" t="s">
        <v>15</v>
      </c>
      <c r="F1306" t="s">
        <v>20</v>
      </c>
      <c r="G1306" t="s">
        <v>12</v>
      </c>
      <c r="H1306">
        <v>45</v>
      </c>
    </row>
    <row r="1307" spans="1:8" x14ac:dyDescent="0.3">
      <c r="A1307" t="s">
        <v>2390</v>
      </c>
      <c r="B1307" t="s">
        <v>715</v>
      </c>
      <c r="C1307" s="4">
        <v>45219</v>
      </c>
      <c r="D1307">
        <v>297996.01</v>
      </c>
      <c r="E1307" t="s">
        <v>19</v>
      </c>
      <c r="F1307" t="s">
        <v>16</v>
      </c>
      <c r="G1307" t="s">
        <v>24</v>
      </c>
      <c r="H1307">
        <v>26</v>
      </c>
    </row>
    <row r="1308" spans="1:8" x14ac:dyDescent="0.3">
      <c r="A1308" t="s">
        <v>2391</v>
      </c>
      <c r="B1308" t="s">
        <v>2392</v>
      </c>
      <c r="C1308" s="4">
        <v>44836</v>
      </c>
      <c r="D1308">
        <v>297228.55</v>
      </c>
      <c r="E1308" t="s">
        <v>19</v>
      </c>
      <c r="F1308" t="s">
        <v>20</v>
      </c>
      <c r="G1308" t="s">
        <v>12</v>
      </c>
      <c r="H1308">
        <v>22</v>
      </c>
    </row>
    <row r="1309" spans="1:8" x14ac:dyDescent="0.3">
      <c r="A1309" t="s">
        <v>2393</v>
      </c>
      <c r="B1309" t="s">
        <v>2394</v>
      </c>
      <c r="C1309" s="4">
        <v>45087</v>
      </c>
      <c r="D1309">
        <v>256735.85</v>
      </c>
      <c r="E1309" t="s">
        <v>10</v>
      </c>
      <c r="F1309" t="s">
        <v>11</v>
      </c>
      <c r="G1309" t="s">
        <v>12</v>
      </c>
      <c r="H1309">
        <v>18</v>
      </c>
    </row>
    <row r="1310" spans="1:8" x14ac:dyDescent="0.3">
      <c r="A1310" t="s">
        <v>2395</v>
      </c>
      <c r="B1310" t="s">
        <v>60</v>
      </c>
      <c r="C1310" s="4">
        <v>44889</v>
      </c>
      <c r="D1310">
        <v>371499.23</v>
      </c>
      <c r="E1310" t="s">
        <v>10</v>
      </c>
      <c r="F1310" t="s">
        <v>34</v>
      </c>
      <c r="G1310" t="s">
        <v>12</v>
      </c>
      <c r="H1310">
        <v>19</v>
      </c>
    </row>
    <row r="1311" spans="1:8" x14ac:dyDescent="0.3">
      <c r="A1311" t="s">
        <v>2396</v>
      </c>
      <c r="B1311" t="s">
        <v>2397</v>
      </c>
      <c r="C1311" s="4">
        <v>45683</v>
      </c>
      <c r="D1311">
        <v>385356.15</v>
      </c>
      <c r="E1311" t="s">
        <v>10</v>
      </c>
      <c r="F1311" t="s">
        <v>23</v>
      </c>
      <c r="G1311" t="s">
        <v>24</v>
      </c>
      <c r="H1311">
        <v>30</v>
      </c>
    </row>
    <row r="1312" spans="1:8" x14ac:dyDescent="0.3">
      <c r="A1312" t="s">
        <v>2398</v>
      </c>
      <c r="B1312" t="s">
        <v>2399</v>
      </c>
      <c r="C1312" s="4">
        <v>44730</v>
      </c>
      <c r="D1312">
        <v>122280.01</v>
      </c>
      <c r="E1312" t="s">
        <v>19</v>
      </c>
      <c r="F1312" t="s">
        <v>23</v>
      </c>
      <c r="G1312" t="s">
        <v>12</v>
      </c>
      <c r="H1312">
        <v>27</v>
      </c>
    </row>
    <row r="1313" spans="1:8" x14ac:dyDescent="0.3">
      <c r="A1313" t="s">
        <v>2400</v>
      </c>
      <c r="B1313" t="s">
        <v>2401</v>
      </c>
      <c r="C1313" s="4">
        <v>45531</v>
      </c>
      <c r="D1313">
        <v>64899.71</v>
      </c>
      <c r="E1313" t="s">
        <v>15</v>
      </c>
      <c r="F1313" t="s">
        <v>20</v>
      </c>
      <c r="G1313" t="s">
        <v>12</v>
      </c>
      <c r="H1313">
        <v>26</v>
      </c>
    </row>
    <row r="1314" spans="1:8" x14ac:dyDescent="0.3">
      <c r="A1314" t="s">
        <v>2402</v>
      </c>
      <c r="B1314" t="s">
        <v>292</v>
      </c>
      <c r="C1314" s="4">
        <v>45325</v>
      </c>
      <c r="D1314">
        <v>125620.11</v>
      </c>
      <c r="E1314" t="s">
        <v>10</v>
      </c>
      <c r="F1314" t="s">
        <v>11</v>
      </c>
      <c r="G1314" t="s">
        <v>12</v>
      </c>
      <c r="H1314">
        <v>40</v>
      </c>
    </row>
    <row r="1315" spans="1:8" x14ac:dyDescent="0.3">
      <c r="A1315" t="s">
        <v>2403</v>
      </c>
      <c r="B1315" t="s">
        <v>2404</v>
      </c>
      <c r="C1315" s="4">
        <v>45005</v>
      </c>
      <c r="D1315">
        <v>72363.92</v>
      </c>
      <c r="E1315" t="s">
        <v>15</v>
      </c>
      <c r="F1315" t="s">
        <v>11</v>
      </c>
      <c r="G1315" t="s">
        <v>12</v>
      </c>
      <c r="H1315">
        <v>36</v>
      </c>
    </row>
    <row r="1316" spans="1:8" x14ac:dyDescent="0.3">
      <c r="A1316" t="s">
        <v>2405</v>
      </c>
      <c r="B1316" t="s">
        <v>346</v>
      </c>
      <c r="C1316" s="4">
        <v>44842</v>
      </c>
      <c r="D1316">
        <v>348092.69</v>
      </c>
      <c r="E1316" t="s">
        <v>15</v>
      </c>
      <c r="F1316" t="s">
        <v>11</v>
      </c>
      <c r="G1316" t="s">
        <v>12</v>
      </c>
      <c r="H1316">
        <v>58</v>
      </c>
    </row>
    <row r="1317" spans="1:8" x14ac:dyDescent="0.3">
      <c r="A1317" t="s">
        <v>2406</v>
      </c>
      <c r="B1317" t="s">
        <v>2407</v>
      </c>
      <c r="C1317" s="4">
        <v>45560</v>
      </c>
      <c r="D1317">
        <v>208923.41</v>
      </c>
      <c r="E1317" t="s">
        <v>15</v>
      </c>
      <c r="F1317" t="s">
        <v>23</v>
      </c>
      <c r="G1317" t="s">
        <v>12</v>
      </c>
      <c r="H1317">
        <v>3</v>
      </c>
    </row>
    <row r="1318" spans="1:8" x14ac:dyDescent="0.3">
      <c r="A1318" t="s">
        <v>2408</v>
      </c>
      <c r="B1318" t="s">
        <v>2409</v>
      </c>
      <c r="C1318" s="4">
        <v>44144</v>
      </c>
      <c r="D1318">
        <v>180237.95</v>
      </c>
      <c r="E1318" t="s">
        <v>19</v>
      </c>
      <c r="F1318" t="s">
        <v>16</v>
      </c>
      <c r="G1318" t="s">
        <v>24</v>
      </c>
      <c r="H1318">
        <v>48</v>
      </c>
    </row>
    <row r="1319" spans="1:8" x14ac:dyDescent="0.3">
      <c r="A1319" t="s">
        <v>2410</v>
      </c>
      <c r="B1319" t="s">
        <v>2411</v>
      </c>
      <c r="C1319" s="4">
        <v>44604</v>
      </c>
      <c r="D1319">
        <v>312209.06</v>
      </c>
      <c r="E1319" t="s">
        <v>15</v>
      </c>
      <c r="F1319" t="s">
        <v>11</v>
      </c>
      <c r="G1319" t="s">
        <v>24</v>
      </c>
      <c r="H1319">
        <v>52</v>
      </c>
    </row>
    <row r="1320" spans="1:8" x14ac:dyDescent="0.3">
      <c r="A1320" t="s">
        <v>2412</v>
      </c>
      <c r="B1320" t="s">
        <v>2413</v>
      </c>
      <c r="C1320" s="4">
        <v>45567</v>
      </c>
      <c r="D1320">
        <v>312150.90000000002</v>
      </c>
      <c r="E1320" t="s">
        <v>15</v>
      </c>
      <c r="F1320" t="s">
        <v>23</v>
      </c>
      <c r="G1320" t="s">
        <v>12</v>
      </c>
      <c r="H1320">
        <v>5</v>
      </c>
    </row>
    <row r="1321" spans="1:8" x14ac:dyDescent="0.3">
      <c r="A1321" t="s">
        <v>2414</v>
      </c>
      <c r="B1321" t="s">
        <v>1015</v>
      </c>
      <c r="C1321" s="4">
        <v>44623</v>
      </c>
      <c r="D1321">
        <v>256986.25</v>
      </c>
      <c r="E1321" t="s">
        <v>15</v>
      </c>
      <c r="F1321" t="s">
        <v>11</v>
      </c>
      <c r="G1321" t="s">
        <v>24</v>
      </c>
      <c r="H1321">
        <v>36</v>
      </c>
    </row>
    <row r="1322" spans="1:8" x14ac:dyDescent="0.3">
      <c r="A1322" t="s">
        <v>2415</v>
      </c>
      <c r="B1322" t="s">
        <v>782</v>
      </c>
      <c r="C1322" s="4">
        <v>44818</v>
      </c>
      <c r="D1322">
        <v>226254.25</v>
      </c>
      <c r="E1322" t="s">
        <v>19</v>
      </c>
      <c r="F1322" t="s">
        <v>11</v>
      </c>
      <c r="G1322" t="s">
        <v>24</v>
      </c>
      <c r="H1322">
        <v>10</v>
      </c>
    </row>
    <row r="1323" spans="1:8" x14ac:dyDescent="0.3">
      <c r="A1323" t="s">
        <v>2416</v>
      </c>
      <c r="B1323" t="s">
        <v>2417</v>
      </c>
      <c r="C1323" s="4">
        <v>45376</v>
      </c>
      <c r="D1323">
        <v>67870.789999999994</v>
      </c>
      <c r="E1323" t="s">
        <v>10</v>
      </c>
      <c r="F1323" t="s">
        <v>11</v>
      </c>
      <c r="G1323" t="s">
        <v>24</v>
      </c>
      <c r="H1323">
        <v>57</v>
      </c>
    </row>
    <row r="1324" spans="1:8" x14ac:dyDescent="0.3">
      <c r="A1324" t="s">
        <v>2418</v>
      </c>
      <c r="B1324" t="s">
        <v>2348</v>
      </c>
      <c r="C1324" s="4">
        <v>44908</v>
      </c>
      <c r="D1324">
        <v>214971.11</v>
      </c>
      <c r="E1324" t="s">
        <v>19</v>
      </c>
      <c r="F1324" t="s">
        <v>23</v>
      </c>
      <c r="G1324" t="s">
        <v>24</v>
      </c>
      <c r="H1324">
        <v>16</v>
      </c>
    </row>
    <row r="1325" spans="1:8" x14ac:dyDescent="0.3">
      <c r="A1325" t="s">
        <v>2419</v>
      </c>
      <c r="B1325" t="s">
        <v>2420</v>
      </c>
      <c r="C1325" s="4">
        <v>44593</v>
      </c>
      <c r="D1325">
        <v>315155.32</v>
      </c>
      <c r="E1325" t="s">
        <v>19</v>
      </c>
      <c r="F1325" t="s">
        <v>23</v>
      </c>
      <c r="G1325" t="s">
        <v>24</v>
      </c>
      <c r="H1325">
        <v>39</v>
      </c>
    </row>
    <row r="1326" spans="1:8" x14ac:dyDescent="0.3">
      <c r="A1326" t="s">
        <v>2421</v>
      </c>
      <c r="B1326" t="s">
        <v>1213</v>
      </c>
      <c r="C1326" s="4">
        <v>44872</v>
      </c>
      <c r="D1326">
        <v>161510.10999999999</v>
      </c>
      <c r="E1326" t="s">
        <v>15</v>
      </c>
      <c r="F1326" t="s">
        <v>16</v>
      </c>
      <c r="G1326" t="s">
        <v>12</v>
      </c>
      <c r="H1326">
        <v>4</v>
      </c>
    </row>
    <row r="1327" spans="1:8" x14ac:dyDescent="0.3">
      <c r="A1327" t="s">
        <v>2422</v>
      </c>
      <c r="B1327" t="s">
        <v>1344</v>
      </c>
      <c r="C1327" s="4">
        <v>45148</v>
      </c>
      <c r="D1327">
        <v>213480.49</v>
      </c>
      <c r="E1327" t="s">
        <v>15</v>
      </c>
      <c r="F1327" t="s">
        <v>16</v>
      </c>
      <c r="G1327" t="s">
        <v>12</v>
      </c>
      <c r="H1327">
        <v>34</v>
      </c>
    </row>
    <row r="1328" spans="1:8" x14ac:dyDescent="0.3">
      <c r="A1328" t="s">
        <v>2423</v>
      </c>
      <c r="B1328" t="s">
        <v>2165</v>
      </c>
      <c r="C1328" s="4">
        <v>44428</v>
      </c>
      <c r="D1328">
        <v>420314.23</v>
      </c>
      <c r="E1328" t="s">
        <v>15</v>
      </c>
      <c r="F1328" t="s">
        <v>16</v>
      </c>
      <c r="G1328" t="s">
        <v>24</v>
      </c>
      <c r="H1328">
        <v>4</v>
      </c>
    </row>
    <row r="1329" spans="1:8" x14ac:dyDescent="0.3">
      <c r="A1329" t="s">
        <v>2424</v>
      </c>
      <c r="B1329" t="s">
        <v>2425</v>
      </c>
      <c r="C1329" s="4">
        <v>45207</v>
      </c>
      <c r="D1329">
        <v>366683.43</v>
      </c>
      <c r="E1329" t="s">
        <v>15</v>
      </c>
      <c r="F1329" t="s">
        <v>34</v>
      </c>
      <c r="G1329" t="s">
        <v>12</v>
      </c>
      <c r="H1329">
        <v>31</v>
      </c>
    </row>
    <row r="1330" spans="1:8" x14ac:dyDescent="0.3">
      <c r="A1330" t="s">
        <v>2426</v>
      </c>
      <c r="B1330" t="s">
        <v>1033</v>
      </c>
      <c r="C1330" s="4">
        <v>45486</v>
      </c>
      <c r="D1330">
        <v>284203.52000000002</v>
      </c>
      <c r="E1330" t="s">
        <v>10</v>
      </c>
      <c r="F1330" t="s">
        <v>20</v>
      </c>
      <c r="G1330" t="s">
        <v>24</v>
      </c>
      <c r="H1330">
        <v>2</v>
      </c>
    </row>
    <row r="1331" spans="1:8" x14ac:dyDescent="0.3">
      <c r="A1331" t="s">
        <v>2427</v>
      </c>
      <c r="B1331" t="s">
        <v>2428</v>
      </c>
      <c r="C1331" s="4">
        <v>45211</v>
      </c>
      <c r="D1331">
        <v>499014.37</v>
      </c>
      <c r="E1331" t="s">
        <v>10</v>
      </c>
      <c r="F1331" t="s">
        <v>11</v>
      </c>
      <c r="G1331" t="s">
        <v>12</v>
      </c>
      <c r="H1331">
        <v>17</v>
      </c>
    </row>
    <row r="1332" spans="1:8" x14ac:dyDescent="0.3">
      <c r="A1332" t="s">
        <v>2429</v>
      </c>
      <c r="B1332" t="s">
        <v>2430</v>
      </c>
      <c r="C1332" s="4">
        <v>45478</v>
      </c>
      <c r="D1332">
        <v>477448.06</v>
      </c>
      <c r="E1332" t="s">
        <v>15</v>
      </c>
      <c r="F1332" t="s">
        <v>34</v>
      </c>
      <c r="G1332" t="s">
        <v>12</v>
      </c>
      <c r="H1332">
        <v>4</v>
      </c>
    </row>
    <row r="1333" spans="1:8" x14ac:dyDescent="0.3">
      <c r="A1333" t="s">
        <v>2431</v>
      </c>
      <c r="B1333" t="s">
        <v>62</v>
      </c>
      <c r="C1333" s="4">
        <v>45124</v>
      </c>
      <c r="D1333">
        <v>345554.94</v>
      </c>
      <c r="E1333" t="s">
        <v>10</v>
      </c>
      <c r="F1333" t="s">
        <v>16</v>
      </c>
      <c r="G1333" t="s">
        <v>12</v>
      </c>
      <c r="H1333">
        <v>19</v>
      </c>
    </row>
    <row r="1334" spans="1:8" x14ac:dyDescent="0.3">
      <c r="A1334" t="s">
        <v>2432</v>
      </c>
      <c r="B1334" t="s">
        <v>1322</v>
      </c>
      <c r="C1334" s="4">
        <v>45054</v>
      </c>
      <c r="D1334">
        <v>119502.84</v>
      </c>
      <c r="E1334" t="s">
        <v>15</v>
      </c>
      <c r="F1334" t="s">
        <v>20</v>
      </c>
      <c r="G1334" t="s">
        <v>12</v>
      </c>
      <c r="H1334">
        <v>25</v>
      </c>
    </row>
    <row r="1335" spans="1:8" x14ac:dyDescent="0.3">
      <c r="A1335" t="s">
        <v>2433</v>
      </c>
      <c r="B1335" t="s">
        <v>2434</v>
      </c>
      <c r="C1335" s="4">
        <v>44944</v>
      </c>
      <c r="D1335">
        <v>389009.81</v>
      </c>
      <c r="E1335" t="s">
        <v>15</v>
      </c>
      <c r="F1335" t="s">
        <v>11</v>
      </c>
      <c r="G1335" t="s">
        <v>24</v>
      </c>
      <c r="H1335">
        <v>58</v>
      </c>
    </row>
    <row r="1336" spans="1:8" x14ac:dyDescent="0.3">
      <c r="A1336" t="s">
        <v>2435</v>
      </c>
      <c r="B1336" t="s">
        <v>2436</v>
      </c>
      <c r="C1336" s="4">
        <v>45145</v>
      </c>
      <c r="D1336">
        <v>146405.74</v>
      </c>
      <c r="E1336" t="s">
        <v>15</v>
      </c>
      <c r="F1336" t="s">
        <v>34</v>
      </c>
      <c r="G1336" t="s">
        <v>12</v>
      </c>
      <c r="H1336">
        <v>53</v>
      </c>
    </row>
    <row r="1337" spans="1:8" x14ac:dyDescent="0.3">
      <c r="A1337" t="s">
        <v>2437</v>
      </c>
      <c r="B1337" t="s">
        <v>2438</v>
      </c>
      <c r="C1337" s="4">
        <v>44436</v>
      </c>
      <c r="D1337">
        <v>154425.38</v>
      </c>
      <c r="E1337" t="s">
        <v>19</v>
      </c>
      <c r="F1337" t="s">
        <v>20</v>
      </c>
      <c r="G1337" t="s">
        <v>12</v>
      </c>
      <c r="H1337">
        <v>31</v>
      </c>
    </row>
    <row r="1338" spans="1:8" x14ac:dyDescent="0.3">
      <c r="A1338" t="s">
        <v>2439</v>
      </c>
      <c r="B1338" t="s">
        <v>1912</v>
      </c>
      <c r="C1338" s="4">
        <v>44639</v>
      </c>
      <c r="D1338">
        <v>443247.03</v>
      </c>
      <c r="E1338" t="s">
        <v>15</v>
      </c>
      <c r="F1338" t="s">
        <v>16</v>
      </c>
      <c r="G1338" t="s">
        <v>24</v>
      </c>
      <c r="H1338">
        <v>45</v>
      </c>
    </row>
    <row r="1339" spans="1:8" x14ac:dyDescent="0.3">
      <c r="A1339" t="s">
        <v>2440</v>
      </c>
      <c r="B1339" t="s">
        <v>2441</v>
      </c>
      <c r="C1339" s="4">
        <v>44715</v>
      </c>
      <c r="D1339">
        <v>355495.91</v>
      </c>
      <c r="E1339" t="s">
        <v>19</v>
      </c>
      <c r="F1339" t="s">
        <v>20</v>
      </c>
      <c r="G1339" t="s">
        <v>12</v>
      </c>
      <c r="H1339">
        <v>43</v>
      </c>
    </row>
    <row r="1340" spans="1:8" x14ac:dyDescent="0.3">
      <c r="A1340" t="s">
        <v>2442</v>
      </c>
      <c r="B1340" t="s">
        <v>157</v>
      </c>
      <c r="C1340" s="4">
        <v>45199</v>
      </c>
      <c r="D1340">
        <v>330072.90000000002</v>
      </c>
      <c r="E1340" t="s">
        <v>10</v>
      </c>
      <c r="F1340" t="s">
        <v>20</v>
      </c>
      <c r="G1340" t="s">
        <v>12</v>
      </c>
      <c r="H1340">
        <v>49</v>
      </c>
    </row>
    <row r="1341" spans="1:8" x14ac:dyDescent="0.3">
      <c r="A1341" t="s">
        <v>2443</v>
      </c>
      <c r="B1341" t="s">
        <v>2444</v>
      </c>
      <c r="C1341" s="4">
        <v>45091</v>
      </c>
      <c r="D1341">
        <v>343554.63</v>
      </c>
      <c r="E1341" t="s">
        <v>15</v>
      </c>
      <c r="F1341" t="s">
        <v>34</v>
      </c>
      <c r="G1341" t="s">
        <v>24</v>
      </c>
      <c r="H1341">
        <v>58</v>
      </c>
    </row>
    <row r="1342" spans="1:8" x14ac:dyDescent="0.3">
      <c r="A1342" t="s">
        <v>2445</v>
      </c>
      <c r="B1342" t="s">
        <v>2446</v>
      </c>
      <c r="C1342" s="4">
        <v>45111</v>
      </c>
      <c r="D1342">
        <v>380276.87</v>
      </c>
      <c r="E1342" t="s">
        <v>10</v>
      </c>
      <c r="F1342" t="s">
        <v>11</v>
      </c>
      <c r="G1342" t="s">
        <v>12</v>
      </c>
      <c r="H1342">
        <v>19</v>
      </c>
    </row>
    <row r="1343" spans="1:8" x14ac:dyDescent="0.3">
      <c r="A1343" t="s">
        <v>2447</v>
      </c>
      <c r="B1343" t="s">
        <v>2448</v>
      </c>
      <c r="C1343" s="4">
        <v>45165</v>
      </c>
      <c r="D1343">
        <v>432633.92</v>
      </c>
      <c r="E1343" t="s">
        <v>15</v>
      </c>
      <c r="F1343" t="s">
        <v>20</v>
      </c>
      <c r="G1343" t="s">
        <v>24</v>
      </c>
      <c r="H1343">
        <v>12</v>
      </c>
    </row>
    <row r="1344" spans="1:8" x14ac:dyDescent="0.3">
      <c r="A1344" t="s">
        <v>2449</v>
      </c>
      <c r="B1344" t="s">
        <v>2450</v>
      </c>
      <c r="C1344" s="4">
        <v>45662</v>
      </c>
      <c r="D1344">
        <v>332183.23</v>
      </c>
      <c r="E1344" t="s">
        <v>10</v>
      </c>
      <c r="F1344" t="s">
        <v>16</v>
      </c>
      <c r="G1344" t="s">
        <v>12</v>
      </c>
      <c r="H1344">
        <v>12</v>
      </c>
    </row>
    <row r="1345" spans="1:8" x14ac:dyDescent="0.3">
      <c r="A1345" t="s">
        <v>2451</v>
      </c>
      <c r="B1345" t="s">
        <v>2452</v>
      </c>
      <c r="C1345" s="4">
        <v>45074</v>
      </c>
      <c r="D1345">
        <v>283987.96999999997</v>
      </c>
      <c r="E1345" t="s">
        <v>15</v>
      </c>
      <c r="F1345" t="s">
        <v>16</v>
      </c>
      <c r="G1345" t="s">
        <v>24</v>
      </c>
      <c r="H1345">
        <v>38</v>
      </c>
    </row>
    <row r="1346" spans="1:8" x14ac:dyDescent="0.3">
      <c r="A1346" t="s">
        <v>2453</v>
      </c>
      <c r="B1346" t="s">
        <v>2454</v>
      </c>
      <c r="C1346" s="4">
        <v>45579</v>
      </c>
      <c r="D1346">
        <v>229787.85</v>
      </c>
      <c r="E1346" t="s">
        <v>10</v>
      </c>
      <c r="F1346" t="s">
        <v>34</v>
      </c>
      <c r="G1346" t="s">
        <v>24</v>
      </c>
      <c r="H1346">
        <v>17</v>
      </c>
    </row>
    <row r="1347" spans="1:8" x14ac:dyDescent="0.3">
      <c r="A1347" t="s">
        <v>2455</v>
      </c>
      <c r="B1347" t="s">
        <v>2456</v>
      </c>
      <c r="C1347" s="4">
        <v>45592</v>
      </c>
      <c r="D1347">
        <v>396898.79</v>
      </c>
      <c r="E1347" t="s">
        <v>15</v>
      </c>
      <c r="F1347" t="s">
        <v>11</v>
      </c>
      <c r="G1347" t="s">
        <v>12</v>
      </c>
      <c r="H1347">
        <v>31</v>
      </c>
    </row>
    <row r="1348" spans="1:8" x14ac:dyDescent="0.3">
      <c r="A1348" t="s">
        <v>2457</v>
      </c>
      <c r="B1348" t="s">
        <v>2458</v>
      </c>
      <c r="C1348" s="4">
        <v>45346</v>
      </c>
      <c r="D1348">
        <v>452468.82</v>
      </c>
      <c r="E1348" t="s">
        <v>19</v>
      </c>
      <c r="F1348" t="s">
        <v>34</v>
      </c>
      <c r="G1348" t="s">
        <v>24</v>
      </c>
      <c r="H1348">
        <v>27</v>
      </c>
    </row>
    <row r="1349" spans="1:8" x14ac:dyDescent="0.3">
      <c r="A1349" t="s">
        <v>2459</v>
      </c>
      <c r="B1349" t="s">
        <v>2460</v>
      </c>
      <c r="C1349" s="4">
        <v>44759</v>
      </c>
      <c r="D1349">
        <v>13090.82</v>
      </c>
      <c r="E1349" t="s">
        <v>10</v>
      </c>
      <c r="F1349" t="s">
        <v>16</v>
      </c>
      <c r="G1349" t="s">
        <v>12</v>
      </c>
      <c r="H1349">
        <v>31</v>
      </c>
    </row>
    <row r="1350" spans="1:8" x14ac:dyDescent="0.3">
      <c r="A1350" t="s">
        <v>2461</v>
      </c>
      <c r="B1350" t="s">
        <v>2462</v>
      </c>
      <c r="C1350" s="4">
        <v>45263</v>
      </c>
      <c r="D1350">
        <v>330665.71000000002</v>
      </c>
      <c r="E1350" t="s">
        <v>15</v>
      </c>
      <c r="F1350" t="s">
        <v>23</v>
      </c>
      <c r="G1350" t="s">
        <v>24</v>
      </c>
      <c r="H1350">
        <v>32</v>
      </c>
    </row>
    <row r="1351" spans="1:8" x14ac:dyDescent="0.3">
      <c r="A1351" t="s">
        <v>2463</v>
      </c>
      <c r="B1351" t="s">
        <v>2464</v>
      </c>
      <c r="C1351" s="4">
        <v>44467</v>
      </c>
      <c r="D1351">
        <v>490082.3</v>
      </c>
      <c r="E1351" t="s">
        <v>10</v>
      </c>
      <c r="F1351" t="s">
        <v>20</v>
      </c>
      <c r="G1351" t="s">
        <v>24</v>
      </c>
      <c r="H1351">
        <v>49</v>
      </c>
    </row>
    <row r="1352" spans="1:8" x14ac:dyDescent="0.3">
      <c r="A1352" t="s">
        <v>2465</v>
      </c>
      <c r="B1352" t="s">
        <v>2466</v>
      </c>
      <c r="C1352" s="4">
        <v>44548</v>
      </c>
      <c r="D1352">
        <v>200612.35</v>
      </c>
      <c r="E1352" t="s">
        <v>10</v>
      </c>
      <c r="F1352" t="s">
        <v>20</v>
      </c>
      <c r="G1352" t="s">
        <v>24</v>
      </c>
      <c r="H1352">
        <v>42</v>
      </c>
    </row>
    <row r="1353" spans="1:8" x14ac:dyDescent="0.3">
      <c r="A1353" t="s">
        <v>2467</v>
      </c>
      <c r="B1353" t="s">
        <v>2468</v>
      </c>
      <c r="C1353" s="4">
        <v>44900</v>
      </c>
      <c r="D1353">
        <v>357103.01</v>
      </c>
      <c r="E1353" t="s">
        <v>19</v>
      </c>
      <c r="F1353" t="s">
        <v>20</v>
      </c>
      <c r="G1353" t="s">
        <v>24</v>
      </c>
      <c r="H1353">
        <v>18</v>
      </c>
    </row>
    <row r="1354" spans="1:8" x14ac:dyDescent="0.3">
      <c r="A1354" t="s">
        <v>2469</v>
      </c>
      <c r="B1354" t="s">
        <v>2470</v>
      </c>
      <c r="C1354" s="4">
        <v>45374</v>
      </c>
      <c r="D1354">
        <v>137972.62</v>
      </c>
      <c r="E1354" t="s">
        <v>15</v>
      </c>
      <c r="F1354" t="s">
        <v>23</v>
      </c>
      <c r="G1354" t="s">
        <v>12</v>
      </c>
      <c r="H1354">
        <v>37</v>
      </c>
    </row>
    <row r="1355" spans="1:8" x14ac:dyDescent="0.3">
      <c r="A1355" t="s">
        <v>2471</v>
      </c>
      <c r="B1355" t="s">
        <v>2472</v>
      </c>
      <c r="C1355" s="4">
        <v>45233</v>
      </c>
      <c r="D1355">
        <v>133140.79999999999</v>
      </c>
      <c r="E1355" t="s">
        <v>10</v>
      </c>
      <c r="F1355" t="s">
        <v>11</v>
      </c>
      <c r="G1355" t="s">
        <v>24</v>
      </c>
      <c r="H1355">
        <v>11</v>
      </c>
    </row>
    <row r="1356" spans="1:8" x14ac:dyDescent="0.3">
      <c r="A1356" t="s">
        <v>2473</v>
      </c>
      <c r="B1356" t="s">
        <v>2474</v>
      </c>
      <c r="C1356" s="4">
        <v>45108</v>
      </c>
      <c r="D1356">
        <v>310170.56</v>
      </c>
      <c r="E1356" t="s">
        <v>19</v>
      </c>
      <c r="F1356" t="s">
        <v>20</v>
      </c>
      <c r="G1356" t="s">
        <v>24</v>
      </c>
      <c r="H1356">
        <v>42</v>
      </c>
    </row>
    <row r="1357" spans="1:8" x14ac:dyDescent="0.3">
      <c r="A1357" t="s">
        <v>2475</v>
      </c>
      <c r="B1357" t="s">
        <v>2157</v>
      </c>
      <c r="C1357" s="4">
        <v>45532</v>
      </c>
      <c r="D1357">
        <v>353894.27</v>
      </c>
      <c r="E1357" t="s">
        <v>15</v>
      </c>
      <c r="F1357" t="s">
        <v>20</v>
      </c>
      <c r="G1357" t="s">
        <v>12</v>
      </c>
      <c r="H1357">
        <v>39</v>
      </c>
    </row>
    <row r="1358" spans="1:8" x14ac:dyDescent="0.3">
      <c r="A1358" t="s">
        <v>2476</v>
      </c>
      <c r="B1358" t="s">
        <v>2477</v>
      </c>
      <c r="C1358" s="4">
        <v>45471</v>
      </c>
      <c r="D1358">
        <v>383911.55</v>
      </c>
      <c r="E1358" t="s">
        <v>19</v>
      </c>
      <c r="F1358" t="s">
        <v>11</v>
      </c>
      <c r="G1358" t="s">
        <v>12</v>
      </c>
      <c r="H1358">
        <v>25</v>
      </c>
    </row>
    <row r="1359" spans="1:8" x14ac:dyDescent="0.3">
      <c r="A1359" t="s">
        <v>2478</v>
      </c>
      <c r="B1359" t="s">
        <v>1056</v>
      </c>
      <c r="C1359" s="4">
        <v>45203</v>
      </c>
      <c r="D1359">
        <v>267934.13</v>
      </c>
      <c r="E1359" t="s">
        <v>15</v>
      </c>
      <c r="F1359" t="s">
        <v>34</v>
      </c>
      <c r="G1359" t="s">
        <v>12</v>
      </c>
      <c r="H1359">
        <v>48</v>
      </c>
    </row>
    <row r="1360" spans="1:8" x14ac:dyDescent="0.3">
      <c r="A1360" t="s">
        <v>2479</v>
      </c>
      <c r="B1360" t="s">
        <v>2480</v>
      </c>
      <c r="C1360" s="4">
        <v>45045</v>
      </c>
      <c r="D1360">
        <v>306316.33</v>
      </c>
      <c r="E1360" t="s">
        <v>15</v>
      </c>
      <c r="F1360" t="s">
        <v>34</v>
      </c>
      <c r="G1360" t="s">
        <v>24</v>
      </c>
      <c r="H1360">
        <v>59</v>
      </c>
    </row>
    <row r="1361" spans="1:8" x14ac:dyDescent="0.3">
      <c r="A1361" t="s">
        <v>2481</v>
      </c>
      <c r="B1361" t="s">
        <v>2482</v>
      </c>
      <c r="C1361" s="4">
        <v>45242</v>
      </c>
      <c r="D1361">
        <v>47123.31</v>
      </c>
      <c r="E1361" t="s">
        <v>15</v>
      </c>
      <c r="F1361" t="s">
        <v>23</v>
      </c>
      <c r="G1361" t="s">
        <v>24</v>
      </c>
      <c r="H1361">
        <v>34</v>
      </c>
    </row>
    <row r="1362" spans="1:8" x14ac:dyDescent="0.3">
      <c r="A1362" t="s">
        <v>2483</v>
      </c>
      <c r="B1362" t="s">
        <v>2484</v>
      </c>
      <c r="C1362" s="4">
        <v>44942</v>
      </c>
      <c r="D1362">
        <v>169159.85</v>
      </c>
      <c r="E1362" t="s">
        <v>10</v>
      </c>
      <c r="F1362" t="s">
        <v>34</v>
      </c>
      <c r="G1362" t="s">
        <v>12</v>
      </c>
      <c r="H1362">
        <v>45</v>
      </c>
    </row>
    <row r="1363" spans="1:8" x14ac:dyDescent="0.3">
      <c r="A1363" t="s">
        <v>2485</v>
      </c>
      <c r="B1363" t="s">
        <v>557</v>
      </c>
      <c r="C1363" s="4">
        <v>45296</v>
      </c>
      <c r="D1363">
        <v>203702.43</v>
      </c>
      <c r="E1363" t="s">
        <v>19</v>
      </c>
      <c r="F1363" t="s">
        <v>11</v>
      </c>
      <c r="G1363" t="s">
        <v>12</v>
      </c>
      <c r="H1363">
        <v>17</v>
      </c>
    </row>
    <row r="1364" spans="1:8" x14ac:dyDescent="0.3">
      <c r="A1364" t="s">
        <v>2486</v>
      </c>
      <c r="B1364" t="s">
        <v>1814</v>
      </c>
      <c r="C1364" s="4">
        <v>45209</v>
      </c>
      <c r="D1364">
        <v>490321.32</v>
      </c>
      <c r="E1364" t="s">
        <v>19</v>
      </c>
      <c r="F1364" t="s">
        <v>11</v>
      </c>
      <c r="G1364" t="s">
        <v>12</v>
      </c>
      <c r="H1364">
        <v>8</v>
      </c>
    </row>
    <row r="1365" spans="1:8" x14ac:dyDescent="0.3">
      <c r="A1365" t="s">
        <v>2487</v>
      </c>
      <c r="B1365" t="s">
        <v>1506</v>
      </c>
      <c r="C1365" s="4">
        <v>45287</v>
      </c>
      <c r="D1365">
        <v>346264.63</v>
      </c>
      <c r="E1365" t="s">
        <v>19</v>
      </c>
      <c r="F1365" t="s">
        <v>11</v>
      </c>
      <c r="G1365" t="s">
        <v>12</v>
      </c>
      <c r="H1365">
        <v>27</v>
      </c>
    </row>
    <row r="1366" spans="1:8" x14ac:dyDescent="0.3">
      <c r="A1366" t="s">
        <v>2488</v>
      </c>
      <c r="B1366" t="s">
        <v>1058</v>
      </c>
      <c r="C1366" s="4">
        <v>44980</v>
      </c>
      <c r="D1366">
        <v>67283.679999999993</v>
      </c>
      <c r="E1366" t="s">
        <v>19</v>
      </c>
      <c r="F1366" t="s">
        <v>11</v>
      </c>
      <c r="G1366" t="s">
        <v>12</v>
      </c>
      <c r="H1366">
        <v>33</v>
      </c>
    </row>
    <row r="1367" spans="1:8" x14ac:dyDescent="0.3">
      <c r="A1367" t="s">
        <v>2489</v>
      </c>
      <c r="B1367" t="s">
        <v>2490</v>
      </c>
      <c r="C1367" s="4">
        <v>44781</v>
      </c>
      <c r="D1367">
        <v>131719.76</v>
      </c>
      <c r="E1367" t="s">
        <v>19</v>
      </c>
      <c r="F1367" t="s">
        <v>34</v>
      </c>
      <c r="G1367" t="s">
        <v>24</v>
      </c>
      <c r="H1367">
        <v>46</v>
      </c>
    </row>
    <row r="1368" spans="1:8" x14ac:dyDescent="0.3">
      <c r="A1368" t="s">
        <v>2491</v>
      </c>
      <c r="B1368" t="s">
        <v>2492</v>
      </c>
      <c r="C1368" s="4">
        <v>45322</v>
      </c>
      <c r="D1368">
        <v>432486.37</v>
      </c>
      <c r="E1368" t="s">
        <v>15</v>
      </c>
      <c r="F1368" t="s">
        <v>20</v>
      </c>
      <c r="G1368" t="s">
        <v>24</v>
      </c>
      <c r="H1368">
        <v>42</v>
      </c>
    </row>
    <row r="1369" spans="1:8" x14ac:dyDescent="0.3">
      <c r="A1369" t="s">
        <v>2493</v>
      </c>
      <c r="B1369" t="s">
        <v>2494</v>
      </c>
      <c r="C1369" s="4">
        <v>45217</v>
      </c>
      <c r="D1369">
        <v>176826.83</v>
      </c>
      <c r="E1369" t="s">
        <v>19</v>
      </c>
      <c r="F1369" t="s">
        <v>34</v>
      </c>
      <c r="G1369" t="s">
        <v>12</v>
      </c>
      <c r="H1369">
        <v>34</v>
      </c>
    </row>
    <row r="1370" spans="1:8" x14ac:dyDescent="0.3">
      <c r="A1370" t="s">
        <v>2495</v>
      </c>
      <c r="B1370" t="s">
        <v>2496</v>
      </c>
      <c r="C1370" s="4">
        <v>45353</v>
      </c>
      <c r="D1370">
        <v>42409.64</v>
      </c>
      <c r="E1370" t="s">
        <v>15</v>
      </c>
      <c r="F1370" t="s">
        <v>23</v>
      </c>
      <c r="G1370" t="s">
        <v>24</v>
      </c>
      <c r="H1370">
        <v>3</v>
      </c>
    </row>
    <row r="1371" spans="1:8" x14ac:dyDescent="0.3">
      <c r="A1371" t="s">
        <v>2497</v>
      </c>
      <c r="B1371" t="s">
        <v>2498</v>
      </c>
      <c r="C1371" s="4">
        <v>45332</v>
      </c>
      <c r="D1371">
        <v>296454.08</v>
      </c>
      <c r="E1371" t="s">
        <v>19</v>
      </c>
      <c r="F1371" t="s">
        <v>23</v>
      </c>
      <c r="G1371" t="s">
        <v>24</v>
      </c>
      <c r="H1371">
        <v>59</v>
      </c>
    </row>
    <row r="1372" spans="1:8" x14ac:dyDescent="0.3">
      <c r="A1372" t="s">
        <v>2499</v>
      </c>
      <c r="B1372" t="s">
        <v>2500</v>
      </c>
      <c r="C1372" s="4">
        <v>45652</v>
      </c>
      <c r="D1372">
        <v>274101.78000000003</v>
      </c>
      <c r="E1372" t="s">
        <v>15</v>
      </c>
      <c r="F1372" t="s">
        <v>11</v>
      </c>
      <c r="G1372" t="s">
        <v>12</v>
      </c>
      <c r="H1372">
        <v>51</v>
      </c>
    </row>
    <row r="1373" spans="1:8" x14ac:dyDescent="0.3">
      <c r="A1373" t="s">
        <v>2501</v>
      </c>
      <c r="B1373" t="s">
        <v>229</v>
      </c>
      <c r="C1373" s="4">
        <v>45556</v>
      </c>
      <c r="D1373">
        <v>276931.21000000002</v>
      </c>
      <c r="E1373" t="s">
        <v>15</v>
      </c>
      <c r="F1373" t="s">
        <v>20</v>
      </c>
      <c r="G1373" t="s">
        <v>12</v>
      </c>
      <c r="H1373">
        <v>37</v>
      </c>
    </row>
    <row r="1374" spans="1:8" x14ac:dyDescent="0.3">
      <c r="A1374" t="s">
        <v>2502</v>
      </c>
      <c r="B1374" t="s">
        <v>672</v>
      </c>
      <c r="C1374" s="4">
        <v>44925</v>
      </c>
      <c r="D1374">
        <v>118840.39</v>
      </c>
      <c r="E1374" t="s">
        <v>15</v>
      </c>
      <c r="F1374" t="s">
        <v>16</v>
      </c>
      <c r="G1374" t="s">
        <v>24</v>
      </c>
      <c r="H1374">
        <v>48</v>
      </c>
    </row>
    <row r="1375" spans="1:8" x14ac:dyDescent="0.3">
      <c r="A1375" t="s">
        <v>2503</v>
      </c>
      <c r="B1375" t="s">
        <v>2504</v>
      </c>
      <c r="C1375" s="4">
        <v>45633</v>
      </c>
      <c r="D1375">
        <v>262744.96000000002</v>
      </c>
      <c r="E1375" t="s">
        <v>15</v>
      </c>
      <c r="F1375" t="s">
        <v>20</v>
      </c>
      <c r="G1375" t="s">
        <v>24</v>
      </c>
      <c r="H1375">
        <v>13</v>
      </c>
    </row>
    <row r="1376" spans="1:8" x14ac:dyDescent="0.3">
      <c r="A1376" t="s">
        <v>2505</v>
      </c>
      <c r="B1376" t="s">
        <v>2506</v>
      </c>
      <c r="C1376" s="4">
        <v>45149</v>
      </c>
      <c r="D1376">
        <v>151121.42000000001</v>
      </c>
      <c r="E1376" t="s">
        <v>10</v>
      </c>
      <c r="F1376" t="s">
        <v>34</v>
      </c>
      <c r="G1376" t="s">
        <v>24</v>
      </c>
      <c r="H1376">
        <v>36</v>
      </c>
    </row>
    <row r="1377" spans="1:8" x14ac:dyDescent="0.3">
      <c r="A1377" t="s">
        <v>2507</v>
      </c>
      <c r="B1377" t="s">
        <v>2288</v>
      </c>
      <c r="C1377" s="4">
        <v>45222</v>
      </c>
      <c r="D1377">
        <v>225216.92</v>
      </c>
      <c r="E1377" t="s">
        <v>19</v>
      </c>
      <c r="F1377" t="s">
        <v>20</v>
      </c>
      <c r="G1377" t="s">
        <v>24</v>
      </c>
      <c r="H1377">
        <v>54</v>
      </c>
    </row>
    <row r="1378" spans="1:8" x14ac:dyDescent="0.3">
      <c r="A1378" t="s">
        <v>2508</v>
      </c>
      <c r="B1378" t="s">
        <v>1067</v>
      </c>
      <c r="C1378" s="4">
        <v>44411</v>
      </c>
      <c r="D1378">
        <v>263091.40999999997</v>
      </c>
      <c r="E1378" t="s">
        <v>19</v>
      </c>
      <c r="F1378" t="s">
        <v>11</v>
      </c>
      <c r="G1378" t="s">
        <v>24</v>
      </c>
      <c r="H1378">
        <v>38</v>
      </c>
    </row>
    <row r="1379" spans="1:8" x14ac:dyDescent="0.3">
      <c r="A1379" t="s">
        <v>2509</v>
      </c>
      <c r="B1379" t="s">
        <v>250</v>
      </c>
      <c r="C1379" s="4">
        <v>45563</v>
      </c>
      <c r="D1379">
        <v>221928.7</v>
      </c>
      <c r="E1379" t="s">
        <v>10</v>
      </c>
      <c r="F1379" t="s">
        <v>23</v>
      </c>
      <c r="G1379" t="s">
        <v>12</v>
      </c>
      <c r="H1379">
        <v>56</v>
      </c>
    </row>
    <row r="1380" spans="1:8" x14ac:dyDescent="0.3">
      <c r="A1380" t="s">
        <v>2510</v>
      </c>
      <c r="B1380" t="s">
        <v>2511</v>
      </c>
      <c r="C1380" s="4">
        <v>45175</v>
      </c>
      <c r="D1380">
        <v>134037.46</v>
      </c>
      <c r="E1380" t="s">
        <v>19</v>
      </c>
      <c r="F1380" t="s">
        <v>20</v>
      </c>
      <c r="G1380" t="s">
        <v>24</v>
      </c>
      <c r="H1380">
        <v>42</v>
      </c>
    </row>
    <row r="1381" spans="1:8" x14ac:dyDescent="0.3">
      <c r="A1381" t="s">
        <v>2512</v>
      </c>
      <c r="B1381" t="s">
        <v>2513</v>
      </c>
      <c r="C1381" s="4">
        <v>44704</v>
      </c>
      <c r="D1381">
        <v>319703.82</v>
      </c>
      <c r="E1381" t="s">
        <v>10</v>
      </c>
      <c r="F1381" t="s">
        <v>11</v>
      </c>
      <c r="G1381" t="s">
        <v>24</v>
      </c>
      <c r="H1381">
        <v>43</v>
      </c>
    </row>
    <row r="1382" spans="1:8" x14ac:dyDescent="0.3">
      <c r="A1382" t="s">
        <v>2514</v>
      </c>
      <c r="B1382" t="s">
        <v>1476</v>
      </c>
      <c r="C1382" s="4">
        <v>44900</v>
      </c>
      <c r="D1382">
        <v>63264.45</v>
      </c>
      <c r="E1382" t="s">
        <v>10</v>
      </c>
      <c r="F1382" t="s">
        <v>23</v>
      </c>
      <c r="G1382" t="s">
        <v>12</v>
      </c>
      <c r="H1382">
        <v>3</v>
      </c>
    </row>
    <row r="1383" spans="1:8" x14ac:dyDescent="0.3">
      <c r="A1383" t="s">
        <v>2515</v>
      </c>
      <c r="B1383" t="s">
        <v>1305</v>
      </c>
      <c r="C1383" s="4">
        <v>44676</v>
      </c>
      <c r="D1383">
        <v>237510.38</v>
      </c>
      <c r="E1383" t="s">
        <v>15</v>
      </c>
      <c r="F1383" t="s">
        <v>16</v>
      </c>
      <c r="G1383" t="s">
        <v>24</v>
      </c>
      <c r="H1383">
        <v>20</v>
      </c>
    </row>
    <row r="1384" spans="1:8" x14ac:dyDescent="0.3">
      <c r="A1384" t="s">
        <v>2516</v>
      </c>
      <c r="B1384" t="s">
        <v>2517</v>
      </c>
      <c r="C1384" s="4">
        <v>45450</v>
      </c>
      <c r="D1384">
        <v>428852.71</v>
      </c>
      <c r="E1384" t="s">
        <v>19</v>
      </c>
      <c r="F1384" t="s">
        <v>20</v>
      </c>
      <c r="G1384" t="s">
        <v>24</v>
      </c>
      <c r="H1384">
        <v>44</v>
      </c>
    </row>
    <row r="1385" spans="1:8" x14ac:dyDescent="0.3">
      <c r="A1385" t="s">
        <v>2518</v>
      </c>
      <c r="B1385" t="s">
        <v>2519</v>
      </c>
      <c r="C1385" s="4">
        <v>45210</v>
      </c>
      <c r="D1385">
        <v>120374.43</v>
      </c>
      <c r="E1385" t="s">
        <v>10</v>
      </c>
      <c r="F1385" t="s">
        <v>20</v>
      </c>
      <c r="G1385" t="s">
        <v>24</v>
      </c>
      <c r="H1385">
        <v>19</v>
      </c>
    </row>
    <row r="1386" spans="1:8" x14ac:dyDescent="0.3">
      <c r="A1386" t="s">
        <v>2520</v>
      </c>
      <c r="B1386" t="s">
        <v>1219</v>
      </c>
      <c r="C1386" s="4">
        <v>44827</v>
      </c>
      <c r="D1386">
        <v>391752.99</v>
      </c>
      <c r="E1386" t="s">
        <v>15</v>
      </c>
      <c r="F1386" t="s">
        <v>11</v>
      </c>
      <c r="G1386" t="s">
        <v>12</v>
      </c>
      <c r="H1386">
        <v>57</v>
      </c>
    </row>
    <row r="1387" spans="1:8" x14ac:dyDescent="0.3">
      <c r="A1387" t="s">
        <v>2521</v>
      </c>
      <c r="B1387" t="s">
        <v>2458</v>
      </c>
      <c r="C1387" s="4">
        <v>45261</v>
      </c>
      <c r="D1387">
        <v>85469.97</v>
      </c>
      <c r="E1387" t="s">
        <v>15</v>
      </c>
      <c r="F1387" t="s">
        <v>23</v>
      </c>
      <c r="G1387" t="s">
        <v>12</v>
      </c>
      <c r="H1387">
        <v>16</v>
      </c>
    </row>
    <row r="1388" spans="1:8" x14ac:dyDescent="0.3">
      <c r="A1388" t="s">
        <v>2522</v>
      </c>
      <c r="B1388" t="s">
        <v>2523</v>
      </c>
      <c r="C1388" s="4">
        <v>44810</v>
      </c>
      <c r="D1388">
        <v>71058.73</v>
      </c>
      <c r="E1388" t="s">
        <v>10</v>
      </c>
      <c r="F1388" t="s">
        <v>20</v>
      </c>
      <c r="G1388" t="s">
        <v>24</v>
      </c>
      <c r="H1388">
        <v>55</v>
      </c>
    </row>
    <row r="1389" spans="1:8" x14ac:dyDescent="0.3">
      <c r="A1389" t="s">
        <v>2524</v>
      </c>
      <c r="B1389" t="s">
        <v>2525</v>
      </c>
      <c r="C1389" s="4">
        <v>45271</v>
      </c>
      <c r="D1389">
        <v>103092.28</v>
      </c>
      <c r="E1389" t="s">
        <v>10</v>
      </c>
      <c r="F1389" t="s">
        <v>16</v>
      </c>
      <c r="G1389" t="s">
        <v>12</v>
      </c>
      <c r="H1389">
        <v>30</v>
      </c>
    </row>
    <row r="1390" spans="1:8" x14ac:dyDescent="0.3">
      <c r="A1390" t="s">
        <v>2526</v>
      </c>
      <c r="B1390" t="s">
        <v>634</v>
      </c>
      <c r="C1390" s="4">
        <v>45156</v>
      </c>
      <c r="D1390">
        <v>37759.589999999997</v>
      </c>
      <c r="E1390" t="s">
        <v>10</v>
      </c>
      <c r="F1390" t="s">
        <v>34</v>
      </c>
      <c r="G1390" t="s">
        <v>12</v>
      </c>
      <c r="H1390">
        <v>22</v>
      </c>
    </row>
    <row r="1391" spans="1:8" x14ac:dyDescent="0.3">
      <c r="A1391" t="s">
        <v>2527</v>
      </c>
      <c r="B1391" t="s">
        <v>2528</v>
      </c>
      <c r="C1391" s="4">
        <v>44415</v>
      </c>
      <c r="D1391">
        <v>217827.22</v>
      </c>
      <c r="E1391" t="s">
        <v>10</v>
      </c>
      <c r="F1391" t="s">
        <v>23</v>
      </c>
      <c r="G1391" t="s">
        <v>12</v>
      </c>
      <c r="H1391">
        <v>28</v>
      </c>
    </row>
    <row r="1392" spans="1:8" x14ac:dyDescent="0.3">
      <c r="A1392" t="s">
        <v>2529</v>
      </c>
      <c r="B1392" t="s">
        <v>2530</v>
      </c>
      <c r="C1392" s="4">
        <v>44810</v>
      </c>
      <c r="D1392">
        <v>423430.23</v>
      </c>
      <c r="E1392" t="s">
        <v>15</v>
      </c>
      <c r="F1392" t="s">
        <v>34</v>
      </c>
      <c r="G1392" t="s">
        <v>12</v>
      </c>
      <c r="H1392">
        <v>3</v>
      </c>
    </row>
    <row r="1393" spans="1:8" x14ac:dyDescent="0.3">
      <c r="A1393" t="s">
        <v>2531</v>
      </c>
      <c r="B1393" t="s">
        <v>2532</v>
      </c>
      <c r="C1393" s="4">
        <v>44715</v>
      </c>
      <c r="D1393">
        <v>265306.09999999998</v>
      </c>
      <c r="E1393" t="s">
        <v>19</v>
      </c>
      <c r="F1393" t="s">
        <v>20</v>
      </c>
      <c r="G1393" t="s">
        <v>24</v>
      </c>
      <c r="H1393">
        <v>10</v>
      </c>
    </row>
    <row r="1394" spans="1:8" x14ac:dyDescent="0.3">
      <c r="A1394" t="s">
        <v>2533</v>
      </c>
      <c r="B1394" t="s">
        <v>2534</v>
      </c>
      <c r="C1394" s="4">
        <v>44528</v>
      </c>
      <c r="D1394">
        <v>409509.86</v>
      </c>
      <c r="E1394" t="s">
        <v>19</v>
      </c>
      <c r="F1394" t="s">
        <v>16</v>
      </c>
      <c r="G1394" t="s">
        <v>24</v>
      </c>
      <c r="H1394">
        <v>8</v>
      </c>
    </row>
    <row r="1395" spans="1:8" x14ac:dyDescent="0.3">
      <c r="A1395" t="s">
        <v>2535</v>
      </c>
      <c r="B1395" t="s">
        <v>2536</v>
      </c>
      <c r="C1395" s="4">
        <v>44354</v>
      </c>
      <c r="D1395">
        <v>339086.82</v>
      </c>
      <c r="E1395" t="s">
        <v>10</v>
      </c>
      <c r="F1395" t="s">
        <v>16</v>
      </c>
      <c r="G1395" t="s">
        <v>24</v>
      </c>
      <c r="H1395">
        <v>6</v>
      </c>
    </row>
    <row r="1396" spans="1:8" x14ac:dyDescent="0.3">
      <c r="A1396" t="s">
        <v>2537</v>
      </c>
      <c r="B1396" t="s">
        <v>46</v>
      </c>
      <c r="C1396" s="4">
        <v>45258</v>
      </c>
      <c r="D1396">
        <v>182027.58</v>
      </c>
      <c r="E1396" t="s">
        <v>15</v>
      </c>
      <c r="F1396" t="s">
        <v>23</v>
      </c>
      <c r="G1396" t="s">
        <v>24</v>
      </c>
      <c r="H1396">
        <v>38</v>
      </c>
    </row>
    <row r="1397" spans="1:8" x14ac:dyDescent="0.3">
      <c r="A1397" t="s">
        <v>2538</v>
      </c>
      <c r="B1397" t="s">
        <v>2539</v>
      </c>
      <c r="C1397" s="4">
        <v>45480</v>
      </c>
      <c r="D1397">
        <v>440888.59</v>
      </c>
      <c r="E1397" t="s">
        <v>10</v>
      </c>
      <c r="F1397" t="s">
        <v>23</v>
      </c>
      <c r="G1397" t="s">
        <v>24</v>
      </c>
      <c r="H1397">
        <v>33</v>
      </c>
    </row>
    <row r="1398" spans="1:8" x14ac:dyDescent="0.3">
      <c r="A1398" t="s">
        <v>2540</v>
      </c>
      <c r="B1398" t="s">
        <v>2541</v>
      </c>
      <c r="C1398" s="4">
        <v>45621</v>
      </c>
      <c r="D1398">
        <v>448047.75</v>
      </c>
      <c r="E1398" t="s">
        <v>10</v>
      </c>
      <c r="F1398" t="s">
        <v>23</v>
      </c>
      <c r="G1398" t="s">
        <v>12</v>
      </c>
      <c r="H1398">
        <v>30</v>
      </c>
    </row>
    <row r="1399" spans="1:8" x14ac:dyDescent="0.3">
      <c r="A1399" t="s">
        <v>2542</v>
      </c>
      <c r="B1399" t="s">
        <v>2543</v>
      </c>
      <c r="C1399" s="4">
        <v>45366</v>
      </c>
      <c r="D1399">
        <v>229672.11</v>
      </c>
      <c r="E1399" t="s">
        <v>15</v>
      </c>
      <c r="F1399" t="s">
        <v>20</v>
      </c>
      <c r="G1399" t="s">
        <v>12</v>
      </c>
      <c r="H1399">
        <v>29</v>
      </c>
    </row>
    <row r="1400" spans="1:8" x14ac:dyDescent="0.3">
      <c r="A1400" t="s">
        <v>2544</v>
      </c>
      <c r="B1400" t="s">
        <v>2299</v>
      </c>
      <c r="C1400" s="4">
        <v>45383</v>
      </c>
      <c r="D1400">
        <v>381721.67</v>
      </c>
      <c r="E1400" t="s">
        <v>10</v>
      </c>
      <c r="F1400" t="s">
        <v>34</v>
      </c>
      <c r="G1400" t="s">
        <v>24</v>
      </c>
      <c r="H1400">
        <v>4</v>
      </c>
    </row>
    <row r="1401" spans="1:8" x14ac:dyDescent="0.3">
      <c r="A1401" t="s">
        <v>2545</v>
      </c>
      <c r="B1401" t="s">
        <v>209</v>
      </c>
      <c r="C1401" s="4">
        <v>45191</v>
      </c>
      <c r="D1401">
        <v>423005.08</v>
      </c>
      <c r="E1401" t="s">
        <v>19</v>
      </c>
      <c r="F1401" t="s">
        <v>34</v>
      </c>
      <c r="G1401" t="s">
        <v>24</v>
      </c>
      <c r="H1401">
        <v>17</v>
      </c>
    </row>
    <row r="1402" spans="1:8" x14ac:dyDescent="0.3">
      <c r="A1402" t="s">
        <v>2546</v>
      </c>
      <c r="B1402" t="s">
        <v>437</v>
      </c>
      <c r="C1402" s="4">
        <v>45248</v>
      </c>
      <c r="D1402">
        <v>125443.45</v>
      </c>
      <c r="E1402" t="s">
        <v>15</v>
      </c>
      <c r="F1402" t="s">
        <v>11</v>
      </c>
      <c r="G1402" t="s">
        <v>12</v>
      </c>
      <c r="H1402">
        <v>34</v>
      </c>
    </row>
    <row r="1403" spans="1:8" x14ac:dyDescent="0.3">
      <c r="A1403" t="s">
        <v>2547</v>
      </c>
      <c r="B1403" t="s">
        <v>2548</v>
      </c>
      <c r="C1403" s="4">
        <v>45557</v>
      </c>
      <c r="D1403">
        <v>399400.01</v>
      </c>
      <c r="E1403" t="s">
        <v>19</v>
      </c>
      <c r="F1403" t="s">
        <v>34</v>
      </c>
      <c r="G1403" t="s">
        <v>12</v>
      </c>
      <c r="H1403">
        <v>50</v>
      </c>
    </row>
    <row r="1404" spans="1:8" x14ac:dyDescent="0.3">
      <c r="A1404" t="s">
        <v>2549</v>
      </c>
      <c r="B1404" t="s">
        <v>2550</v>
      </c>
      <c r="C1404" s="4">
        <v>45320</v>
      </c>
      <c r="D1404">
        <v>109732.19</v>
      </c>
      <c r="E1404" t="s">
        <v>19</v>
      </c>
      <c r="F1404" t="s">
        <v>16</v>
      </c>
      <c r="G1404" t="s">
        <v>24</v>
      </c>
      <c r="H1404">
        <v>41</v>
      </c>
    </row>
    <row r="1405" spans="1:8" x14ac:dyDescent="0.3">
      <c r="A1405" t="s">
        <v>2551</v>
      </c>
      <c r="B1405" t="s">
        <v>2552</v>
      </c>
      <c r="C1405" s="4">
        <v>45335</v>
      </c>
      <c r="D1405">
        <v>438345.46</v>
      </c>
      <c r="E1405" t="s">
        <v>15</v>
      </c>
      <c r="F1405" t="s">
        <v>23</v>
      </c>
      <c r="G1405" t="s">
        <v>12</v>
      </c>
      <c r="H1405">
        <v>46</v>
      </c>
    </row>
    <row r="1406" spans="1:8" x14ac:dyDescent="0.3">
      <c r="A1406" t="s">
        <v>2553</v>
      </c>
      <c r="B1406" t="s">
        <v>288</v>
      </c>
      <c r="C1406" s="4">
        <v>44650</v>
      </c>
      <c r="D1406">
        <v>373093.5</v>
      </c>
      <c r="E1406" t="s">
        <v>19</v>
      </c>
      <c r="F1406" t="s">
        <v>34</v>
      </c>
      <c r="G1406" t="s">
        <v>12</v>
      </c>
      <c r="H1406">
        <v>23</v>
      </c>
    </row>
    <row r="1407" spans="1:8" x14ac:dyDescent="0.3">
      <c r="A1407" t="s">
        <v>2554</v>
      </c>
      <c r="B1407" t="s">
        <v>2555</v>
      </c>
      <c r="C1407" s="4">
        <v>45265</v>
      </c>
      <c r="D1407">
        <v>124149.71</v>
      </c>
      <c r="E1407" t="s">
        <v>19</v>
      </c>
      <c r="F1407" t="s">
        <v>23</v>
      </c>
      <c r="G1407" t="s">
        <v>24</v>
      </c>
      <c r="H1407">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7C9BC-CC5C-4E2E-9F48-17B93167AA80}">
  <dimension ref="A1:Q1407"/>
  <sheetViews>
    <sheetView topLeftCell="C1" workbookViewId="0">
      <selection activeCell="Q7" sqref="Q7"/>
    </sheetView>
  </sheetViews>
  <sheetFormatPr defaultRowHeight="14.4" x14ac:dyDescent="0.3"/>
  <cols>
    <col min="1" max="1" width="10.21875" bestFit="1" customWidth="1"/>
    <col min="2" max="2" width="10.77734375" bestFit="1" customWidth="1"/>
    <col min="3" max="3" width="12.44140625" bestFit="1" customWidth="1"/>
    <col min="4" max="4" width="15.44140625" bestFit="1" customWidth="1"/>
    <col min="5" max="5" width="13.6640625" bestFit="1" customWidth="1"/>
    <col min="6" max="6" width="12.44140625" bestFit="1" customWidth="1"/>
    <col min="7" max="7" width="11.88671875" bestFit="1" customWidth="1"/>
    <col min="8" max="8" width="17.33203125" bestFit="1" customWidth="1"/>
    <col min="9" max="9" width="9.77734375" bestFit="1" customWidth="1"/>
    <col min="10" max="10" width="6.88671875" bestFit="1" customWidth="1"/>
    <col min="11" max="11" width="9.6640625" bestFit="1" customWidth="1"/>
    <col min="12" max="12" width="23.5546875" bestFit="1" customWidth="1"/>
    <col min="13" max="13" width="17.88671875" bestFit="1" customWidth="1"/>
    <col min="15" max="15" width="20.88671875" bestFit="1" customWidth="1"/>
    <col min="17" max="17" width="12" bestFit="1" customWidth="1"/>
  </cols>
  <sheetData>
    <row r="1" spans="1:17" x14ac:dyDescent="0.3">
      <c r="A1" t="s">
        <v>0</v>
      </c>
      <c r="B1" t="s">
        <v>1</v>
      </c>
      <c r="C1" t="s">
        <v>2</v>
      </c>
      <c r="D1" t="s">
        <v>3</v>
      </c>
      <c r="E1" t="s">
        <v>4</v>
      </c>
      <c r="F1" t="s">
        <v>5</v>
      </c>
      <c r="G1" t="s">
        <v>6</v>
      </c>
      <c r="H1" t="s">
        <v>7</v>
      </c>
      <c r="I1" t="s">
        <v>2556</v>
      </c>
      <c r="J1" t="s">
        <v>2557</v>
      </c>
      <c r="K1" t="s">
        <v>2558</v>
      </c>
      <c r="L1" t="s">
        <v>2559</v>
      </c>
      <c r="M1" t="s">
        <v>2560</v>
      </c>
    </row>
    <row r="2" spans="1:17" x14ac:dyDescent="0.3">
      <c r="A2" t="s">
        <v>8</v>
      </c>
      <c r="B2" s="2" t="s">
        <v>9</v>
      </c>
      <c r="C2" s="1">
        <v>44844</v>
      </c>
      <c r="D2" s="35">
        <v>379127.79</v>
      </c>
      <c r="E2" s="2" t="s">
        <v>10</v>
      </c>
      <c r="F2" s="2" t="s">
        <v>11</v>
      </c>
      <c r="G2" s="2" t="s">
        <v>12</v>
      </c>
      <c r="H2">
        <v>40</v>
      </c>
      <c r="I2" s="2" t="str">
        <f>TEXT(Sheet1[[#This Row],[claim_date]],"mmmm")</f>
        <v>October</v>
      </c>
      <c r="J2" s="2">
        <f>YEAR(Sheet1[[#This Row],[claim_date]])</f>
        <v>2022</v>
      </c>
      <c r="K2" s="2" t="str">
        <f>"Q"&amp;ROUNDUP(MONTH(Sheet1[[#This Row],[claim_date]])/3,0)</f>
        <v>Q4</v>
      </c>
      <c r="L2" s="2" t="str">
        <f>IF(Sheet1[[#This Row],[claim_amount]]&lt;100000,"Low",IF(Sheet1[[#This Row],[claim_amount]]&lt;200000,"Medium","High"))</f>
        <v>High</v>
      </c>
      <c r="M2" s="2" t="str">
        <f>IF(Sheet1[[#This Row],[days_to_process]]&lt;=30,"Fast","Slow")</f>
        <v>Slow</v>
      </c>
    </row>
    <row r="3" spans="1:17" x14ac:dyDescent="0.3">
      <c r="A3" t="s">
        <v>13</v>
      </c>
      <c r="B3" s="2" t="s">
        <v>14</v>
      </c>
      <c r="C3" s="1">
        <v>44536</v>
      </c>
      <c r="D3" s="35">
        <v>431984.06</v>
      </c>
      <c r="E3" s="2" t="s">
        <v>15</v>
      </c>
      <c r="F3" s="2" t="s">
        <v>16</v>
      </c>
      <c r="G3" s="2" t="s">
        <v>12</v>
      </c>
      <c r="H3">
        <v>56</v>
      </c>
      <c r="I3" s="2" t="str">
        <f>TEXT(Sheet1[[#This Row],[claim_date]],"mmmm")</f>
        <v>December</v>
      </c>
      <c r="J3" s="2">
        <f>YEAR(Sheet1[[#This Row],[claim_date]])</f>
        <v>2021</v>
      </c>
      <c r="K3" s="2" t="str">
        <f>"Q"&amp;ROUNDUP(MONTH(Sheet1[[#This Row],[claim_date]])/3,0)</f>
        <v>Q4</v>
      </c>
      <c r="L3" s="2" t="str">
        <f>IF(Sheet1[[#This Row],[claim_amount]]&lt;100000,"Low",IF(Sheet1[[#This Row],[claim_amount]]&lt;200000,"Medium","High"))</f>
        <v>High</v>
      </c>
      <c r="M3" s="2" t="str">
        <f>IF(Sheet1[[#This Row],[days_to_process]]&lt;=30,"Fast","Slow")</f>
        <v>Slow</v>
      </c>
    </row>
    <row r="4" spans="1:17" x14ac:dyDescent="0.3">
      <c r="A4" t="s">
        <v>17</v>
      </c>
      <c r="B4" s="2" t="s">
        <v>18</v>
      </c>
      <c r="C4" s="1">
        <v>45490</v>
      </c>
      <c r="D4" s="35">
        <v>206765.82</v>
      </c>
      <c r="E4" s="2" t="s">
        <v>19</v>
      </c>
      <c r="F4" s="2" t="s">
        <v>20</v>
      </c>
      <c r="G4" s="2" t="s">
        <v>12</v>
      </c>
      <c r="H4">
        <v>39</v>
      </c>
      <c r="I4" s="2" t="str">
        <f>TEXT(Sheet1[[#This Row],[claim_date]],"mmmm")</f>
        <v>July</v>
      </c>
      <c r="J4" s="2">
        <f>YEAR(Sheet1[[#This Row],[claim_date]])</f>
        <v>2024</v>
      </c>
      <c r="K4" s="2" t="str">
        <f>"Q"&amp;ROUNDUP(MONTH(Sheet1[[#This Row],[claim_date]])/3,0)</f>
        <v>Q3</v>
      </c>
      <c r="L4" s="2" t="str">
        <f>IF(Sheet1[[#This Row],[claim_amount]]&lt;100000,"Low",IF(Sheet1[[#This Row],[claim_amount]]&lt;200000,"Medium","High"))</f>
        <v>High</v>
      </c>
      <c r="M4" s="2" t="str">
        <f>IF(Sheet1[[#This Row],[days_to_process]]&lt;=30,"Fast","Slow")</f>
        <v>Slow</v>
      </c>
      <c r="Q4" s="8"/>
    </row>
    <row r="5" spans="1:17" x14ac:dyDescent="0.3">
      <c r="A5" t="s">
        <v>21</v>
      </c>
      <c r="B5" s="2" t="s">
        <v>22</v>
      </c>
      <c r="C5" s="1">
        <v>45455</v>
      </c>
      <c r="D5" s="35">
        <v>225358.05</v>
      </c>
      <c r="E5" s="2" t="s">
        <v>15</v>
      </c>
      <c r="F5" s="2" t="s">
        <v>23</v>
      </c>
      <c r="G5" s="2" t="s">
        <v>24</v>
      </c>
      <c r="H5">
        <v>22</v>
      </c>
      <c r="I5" s="2" t="str">
        <f>TEXT(Sheet1[[#This Row],[claim_date]],"mmmm")</f>
        <v>June</v>
      </c>
      <c r="J5" s="2">
        <f>YEAR(Sheet1[[#This Row],[claim_date]])</f>
        <v>2024</v>
      </c>
      <c r="K5" s="2" t="str">
        <f>"Q"&amp;ROUNDUP(MONTH(Sheet1[[#This Row],[claim_date]])/3,0)</f>
        <v>Q2</v>
      </c>
      <c r="L5" s="2" t="str">
        <f>IF(Sheet1[[#This Row],[claim_amount]]&lt;100000,"Low",IF(Sheet1[[#This Row],[claim_amount]]&lt;200000,"Medium","High"))</f>
        <v>High</v>
      </c>
      <c r="M5" s="2" t="str">
        <f>IF(Sheet1[[#This Row],[days_to_process]]&lt;=30,"Fast","Slow")</f>
        <v>Fast</v>
      </c>
      <c r="Q5" s="9"/>
    </row>
    <row r="6" spans="1:17" x14ac:dyDescent="0.3">
      <c r="A6" t="s">
        <v>25</v>
      </c>
      <c r="B6" s="2" t="s">
        <v>26</v>
      </c>
      <c r="C6" s="1">
        <v>45456</v>
      </c>
      <c r="D6" s="35">
        <v>340208.27</v>
      </c>
      <c r="E6" s="2" t="s">
        <v>19</v>
      </c>
      <c r="F6" s="2" t="s">
        <v>11</v>
      </c>
      <c r="G6" s="2" t="s">
        <v>12</v>
      </c>
      <c r="H6">
        <v>31</v>
      </c>
      <c r="I6" s="2" t="str">
        <f>TEXT(Sheet1[[#This Row],[claim_date]],"mmmm")</f>
        <v>June</v>
      </c>
      <c r="J6" s="2">
        <f>YEAR(Sheet1[[#This Row],[claim_date]])</f>
        <v>2024</v>
      </c>
      <c r="K6" s="2" t="str">
        <f>"Q"&amp;ROUNDUP(MONTH(Sheet1[[#This Row],[claim_date]])/3,0)</f>
        <v>Q2</v>
      </c>
      <c r="L6" s="2" t="str">
        <f>IF(Sheet1[[#This Row],[claim_amount]]&lt;100000,"Low",IF(Sheet1[[#This Row],[claim_amount]]&lt;200000,"Medium","High"))</f>
        <v>High</v>
      </c>
      <c r="M6" s="2" t="str">
        <f>IF(Sheet1[[#This Row],[days_to_process]]&lt;=30,"Fast","Slow")</f>
        <v>Slow</v>
      </c>
      <c r="Q6" s="10"/>
    </row>
    <row r="7" spans="1:17" x14ac:dyDescent="0.3">
      <c r="A7" t="s">
        <v>27</v>
      </c>
      <c r="B7" s="2" t="s">
        <v>28</v>
      </c>
      <c r="C7" s="1">
        <v>44801</v>
      </c>
      <c r="D7" s="35">
        <v>124603.36</v>
      </c>
      <c r="E7" s="2" t="s">
        <v>19</v>
      </c>
      <c r="F7" s="2" t="s">
        <v>20</v>
      </c>
      <c r="G7" s="2" t="s">
        <v>12</v>
      </c>
      <c r="H7">
        <v>31</v>
      </c>
      <c r="I7" s="2" t="str">
        <f>TEXT(Sheet1[[#This Row],[claim_date]],"mmmm")</f>
        <v>August</v>
      </c>
      <c r="J7" s="2">
        <f>YEAR(Sheet1[[#This Row],[claim_date]])</f>
        <v>2022</v>
      </c>
      <c r="K7" s="2" t="str">
        <f>"Q"&amp;ROUNDUP(MONTH(Sheet1[[#This Row],[claim_date]])/3,0)</f>
        <v>Q3</v>
      </c>
      <c r="L7" s="2" t="str">
        <f>IF(Sheet1[[#This Row],[claim_amount]]&lt;100000,"Low",IF(Sheet1[[#This Row],[claim_amount]]&lt;200000,"Medium","High"))</f>
        <v>Medium</v>
      </c>
      <c r="M7" s="2" t="str">
        <f>IF(Sheet1[[#This Row],[days_to_process]]&lt;=30,"Fast","Slow")</f>
        <v>Slow</v>
      </c>
      <c r="Q7" s="11"/>
    </row>
    <row r="8" spans="1:17" x14ac:dyDescent="0.3">
      <c r="A8" t="s">
        <v>30</v>
      </c>
      <c r="B8" s="2" t="s">
        <v>31</v>
      </c>
      <c r="C8" s="1">
        <v>45145</v>
      </c>
      <c r="D8" s="35">
        <v>83575.259999999995</v>
      </c>
      <c r="E8" s="2" t="s">
        <v>15</v>
      </c>
      <c r="F8" s="2" t="s">
        <v>11</v>
      </c>
      <c r="G8" s="2" t="s">
        <v>24</v>
      </c>
      <c r="H8">
        <v>40</v>
      </c>
      <c r="I8" s="2" t="str">
        <f>TEXT(Sheet1[[#This Row],[claim_date]],"mmmm")</f>
        <v>August</v>
      </c>
      <c r="J8" s="2">
        <f>YEAR(Sheet1[[#This Row],[claim_date]])</f>
        <v>2023</v>
      </c>
      <c r="K8" s="2" t="str">
        <f>"Q"&amp;ROUNDUP(MONTH(Sheet1[[#This Row],[claim_date]])/3,0)</f>
        <v>Q3</v>
      </c>
      <c r="L8" s="2" t="str">
        <f>IF(Sheet1[[#This Row],[claim_amount]]&lt;100000,"Low",IF(Sheet1[[#This Row],[claim_amount]]&lt;200000,"Medium","High"))</f>
        <v>Low</v>
      </c>
      <c r="M8" s="2" t="str">
        <f>IF(Sheet1[[#This Row],[days_to_process]]&lt;=30,"Fast","Slow")</f>
        <v>Slow</v>
      </c>
    </row>
    <row r="9" spans="1:17" x14ac:dyDescent="0.3">
      <c r="A9" t="s">
        <v>32</v>
      </c>
      <c r="B9" s="2" t="s">
        <v>33</v>
      </c>
      <c r="C9" s="1">
        <v>45832</v>
      </c>
      <c r="D9" s="35">
        <v>239279.38</v>
      </c>
      <c r="E9" s="2" t="s">
        <v>10</v>
      </c>
      <c r="F9" s="2" t="s">
        <v>34</v>
      </c>
      <c r="G9" s="2" t="s">
        <v>24</v>
      </c>
      <c r="H9">
        <v>58</v>
      </c>
      <c r="I9" s="2" t="str">
        <f>TEXT(Sheet1[[#This Row],[claim_date]],"mmmm")</f>
        <v>June</v>
      </c>
      <c r="J9" s="2">
        <f>YEAR(Sheet1[[#This Row],[claim_date]])</f>
        <v>2025</v>
      </c>
      <c r="K9" s="2" t="str">
        <f>"Q"&amp;ROUNDUP(MONTH(Sheet1[[#This Row],[claim_date]])/3,0)</f>
        <v>Q2</v>
      </c>
      <c r="L9" s="2" t="str">
        <f>IF(Sheet1[[#This Row],[claim_amount]]&lt;100000,"Low",IF(Sheet1[[#This Row],[claim_amount]]&lt;200000,"Medium","High"))</f>
        <v>High</v>
      </c>
      <c r="M9" s="2" t="str">
        <f>IF(Sheet1[[#This Row],[days_to_process]]&lt;=30,"Fast","Slow")</f>
        <v>Slow</v>
      </c>
    </row>
    <row r="10" spans="1:17" x14ac:dyDescent="0.3">
      <c r="A10" t="s">
        <v>35</v>
      </c>
      <c r="B10" s="2" t="s">
        <v>36</v>
      </c>
      <c r="C10" s="1">
        <v>45375</v>
      </c>
      <c r="D10" s="35">
        <v>394794.62</v>
      </c>
      <c r="E10" s="2" t="s">
        <v>19</v>
      </c>
      <c r="F10" s="2" t="s">
        <v>34</v>
      </c>
      <c r="G10" s="2" t="s">
        <v>12</v>
      </c>
      <c r="H10">
        <v>5</v>
      </c>
      <c r="I10" s="2" t="str">
        <f>TEXT(Sheet1[[#This Row],[claim_date]],"mmmm")</f>
        <v>March</v>
      </c>
      <c r="J10" s="2">
        <f>YEAR(Sheet1[[#This Row],[claim_date]])</f>
        <v>2024</v>
      </c>
      <c r="K10" s="2" t="str">
        <f>"Q"&amp;ROUNDUP(MONTH(Sheet1[[#This Row],[claim_date]])/3,0)</f>
        <v>Q1</v>
      </c>
      <c r="L10" s="2" t="str">
        <f>IF(Sheet1[[#This Row],[claim_amount]]&lt;100000,"Low",IF(Sheet1[[#This Row],[claim_amount]]&lt;200000,"Medium","High"))</f>
        <v>High</v>
      </c>
      <c r="M10" s="2" t="str">
        <f>IF(Sheet1[[#This Row],[days_to_process]]&lt;=30,"Fast","Slow")</f>
        <v>Fast</v>
      </c>
    </row>
    <row r="11" spans="1:17" x14ac:dyDescent="0.3">
      <c r="A11" t="s">
        <v>37</v>
      </c>
      <c r="B11" s="2" t="s">
        <v>38</v>
      </c>
      <c r="C11" s="1">
        <v>44472</v>
      </c>
      <c r="D11" s="35">
        <v>375987.61</v>
      </c>
      <c r="E11" s="2" t="s">
        <v>19</v>
      </c>
      <c r="F11" s="2" t="s">
        <v>20</v>
      </c>
      <c r="G11" s="2" t="s">
        <v>24</v>
      </c>
      <c r="H11">
        <v>25</v>
      </c>
      <c r="I11" s="2" t="str">
        <f>TEXT(Sheet1[[#This Row],[claim_date]],"mmmm")</f>
        <v>October</v>
      </c>
      <c r="J11" s="2">
        <f>YEAR(Sheet1[[#This Row],[claim_date]])</f>
        <v>2021</v>
      </c>
      <c r="K11" s="2" t="str">
        <f>"Q"&amp;ROUNDUP(MONTH(Sheet1[[#This Row],[claim_date]])/3,0)</f>
        <v>Q4</v>
      </c>
      <c r="L11" s="2" t="str">
        <f>IF(Sheet1[[#This Row],[claim_amount]]&lt;100000,"Low",IF(Sheet1[[#This Row],[claim_amount]]&lt;200000,"Medium","High"))</f>
        <v>High</v>
      </c>
      <c r="M11" s="2" t="str">
        <f>IF(Sheet1[[#This Row],[days_to_process]]&lt;=30,"Fast","Slow")</f>
        <v>Fast</v>
      </c>
    </row>
    <row r="12" spans="1:17" x14ac:dyDescent="0.3">
      <c r="A12" t="s">
        <v>39</v>
      </c>
      <c r="B12" s="2" t="s">
        <v>40</v>
      </c>
      <c r="C12" s="1">
        <v>45427</v>
      </c>
      <c r="D12" s="35">
        <v>495032.58</v>
      </c>
      <c r="E12" s="2" t="s">
        <v>10</v>
      </c>
      <c r="F12" s="2" t="s">
        <v>20</v>
      </c>
      <c r="G12" s="2" t="s">
        <v>12</v>
      </c>
      <c r="H12">
        <v>40</v>
      </c>
      <c r="I12" s="2" t="str">
        <f>TEXT(Sheet1[[#This Row],[claim_date]],"mmmm")</f>
        <v>May</v>
      </c>
      <c r="J12" s="2">
        <f>YEAR(Sheet1[[#This Row],[claim_date]])</f>
        <v>2024</v>
      </c>
      <c r="K12" s="2" t="str">
        <f>"Q"&amp;ROUNDUP(MONTH(Sheet1[[#This Row],[claim_date]])/3,0)</f>
        <v>Q2</v>
      </c>
      <c r="L12" s="2" t="str">
        <f>IF(Sheet1[[#This Row],[claim_amount]]&lt;100000,"Low",IF(Sheet1[[#This Row],[claim_amount]]&lt;200000,"Medium","High"))</f>
        <v>High</v>
      </c>
      <c r="M12" s="2" t="str">
        <f>IF(Sheet1[[#This Row],[days_to_process]]&lt;=30,"Fast","Slow")</f>
        <v>Slow</v>
      </c>
    </row>
    <row r="13" spans="1:17" x14ac:dyDescent="0.3">
      <c r="A13" t="s">
        <v>41</v>
      </c>
      <c r="B13" s="2" t="s">
        <v>42</v>
      </c>
      <c r="C13" s="1">
        <v>45185</v>
      </c>
      <c r="D13" s="35">
        <v>468259.32</v>
      </c>
      <c r="E13" s="2" t="s">
        <v>19</v>
      </c>
      <c r="F13" s="2" t="s">
        <v>23</v>
      </c>
      <c r="G13" s="2" t="s">
        <v>12</v>
      </c>
      <c r="H13">
        <v>11</v>
      </c>
      <c r="I13" s="2" t="str">
        <f>TEXT(Sheet1[[#This Row],[claim_date]],"mmmm")</f>
        <v>September</v>
      </c>
      <c r="J13" s="2">
        <f>YEAR(Sheet1[[#This Row],[claim_date]])</f>
        <v>2023</v>
      </c>
      <c r="K13" s="2" t="str">
        <f>"Q"&amp;ROUNDUP(MONTH(Sheet1[[#This Row],[claim_date]])/3,0)</f>
        <v>Q3</v>
      </c>
      <c r="L13" s="2" t="str">
        <f>IF(Sheet1[[#This Row],[claim_amount]]&lt;100000,"Low",IF(Sheet1[[#This Row],[claim_amount]]&lt;200000,"Medium","High"))</f>
        <v>High</v>
      </c>
      <c r="M13" s="2" t="str">
        <f>IF(Sheet1[[#This Row],[days_to_process]]&lt;=30,"Fast","Slow")</f>
        <v>Fast</v>
      </c>
    </row>
    <row r="14" spans="1:17" x14ac:dyDescent="0.3">
      <c r="A14" t="s">
        <v>43</v>
      </c>
      <c r="B14" s="2" t="s">
        <v>44</v>
      </c>
      <c r="C14" s="1">
        <v>45426</v>
      </c>
      <c r="D14" s="35">
        <v>470562.44</v>
      </c>
      <c r="E14" s="2" t="s">
        <v>19</v>
      </c>
      <c r="F14" s="2" t="s">
        <v>16</v>
      </c>
      <c r="G14" s="2" t="s">
        <v>24</v>
      </c>
      <c r="H14">
        <v>42</v>
      </c>
      <c r="I14" s="2" t="str">
        <f>TEXT(Sheet1[[#This Row],[claim_date]],"mmmm")</f>
        <v>May</v>
      </c>
      <c r="J14" s="2">
        <f>YEAR(Sheet1[[#This Row],[claim_date]])</f>
        <v>2024</v>
      </c>
      <c r="K14" s="2" t="str">
        <f>"Q"&amp;ROUNDUP(MONTH(Sheet1[[#This Row],[claim_date]])/3,0)</f>
        <v>Q2</v>
      </c>
      <c r="L14" s="2" t="str">
        <f>IF(Sheet1[[#This Row],[claim_amount]]&lt;100000,"Low",IF(Sheet1[[#This Row],[claim_amount]]&lt;200000,"Medium","High"))</f>
        <v>High</v>
      </c>
      <c r="M14" s="2" t="str">
        <f>IF(Sheet1[[#This Row],[days_to_process]]&lt;=30,"Fast","Slow")</f>
        <v>Slow</v>
      </c>
    </row>
    <row r="15" spans="1:17" x14ac:dyDescent="0.3">
      <c r="A15" t="s">
        <v>45</v>
      </c>
      <c r="B15" s="2" t="s">
        <v>46</v>
      </c>
      <c r="C15" s="1">
        <v>44951</v>
      </c>
      <c r="D15" s="35">
        <v>421414.85</v>
      </c>
      <c r="E15" s="2" t="s">
        <v>10</v>
      </c>
      <c r="F15" s="2" t="s">
        <v>20</v>
      </c>
      <c r="G15" s="2" t="s">
        <v>12</v>
      </c>
      <c r="H15">
        <v>27</v>
      </c>
      <c r="I15" s="2" t="str">
        <f>TEXT(Sheet1[[#This Row],[claim_date]],"mmmm")</f>
        <v>January</v>
      </c>
      <c r="J15" s="2">
        <f>YEAR(Sheet1[[#This Row],[claim_date]])</f>
        <v>2023</v>
      </c>
      <c r="K15" s="2" t="str">
        <f>"Q"&amp;ROUNDUP(MONTH(Sheet1[[#This Row],[claim_date]])/3,0)</f>
        <v>Q1</v>
      </c>
      <c r="L15" s="2" t="str">
        <f>IF(Sheet1[[#This Row],[claim_amount]]&lt;100000,"Low",IF(Sheet1[[#This Row],[claim_amount]]&lt;200000,"Medium","High"))</f>
        <v>High</v>
      </c>
      <c r="M15" s="2" t="str">
        <f>IF(Sheet1[[#This Row],[days_to_process]]&lt;=30,"Fast","Slow")</f>
        <v>Fast</v>
      </c>
    </row>
    <row r="16" spans="1:17" x14ac:dyDescent="0.3">
      <c r="A16" t="s">
        <v>47</v>
      </c>
      <c r="B16" s="2" t="s">
        <v>48</v>
      </c>
      <c r="C16" s="1">
        <v>45415</v>
      </c>
      <c r="D16" s="35">
        <v>155992.82</v>
      </c>
      <c r="E16" s="2" t="s">
        <v>15</v>
      </c>
      <c r="F16" s="2" t="s">
        <v>11</v>
      </c>
      <c r="G16" s="2" t="s">
        <v>12</v>
      </c>
      <c r="H16">
        <v>33</v>
      </c>
      <c r="I16" s="2" t="str">
        <f>TEXT(Sheet1[[#This Row],[claim_date]],"mmmm")</f>
        <v>May</v>
      </c>
      <c r="J16" s="2">
        <f>YEAR(Sheet1[[#This Row],[claim_date]])</f>
        <v>2024</v>
      </c>
      <c r="K16" s="2" t="str">
        <f>"Q"&amp;ROUNDUP(MONTH(Sheet1[[#This Row],[claim_date]])/3,0)</f>
        <v>Q2</v>
      </c>
      <c r="L16" s="2" t="str">
        <f>IF(Sheet1[[#This Row],[claim_amount]]&lt;100000,"Low",IF(Sheet1[[#This Row],[claim_amount]]&lt;200000,"Medium","High"))</f>
        <v>Medium</v>
      </c>
      <c r="M16" s="2" t="str">
        <f>IF(Sheet1[[#This Row],[days_to_process]]&lt;=30,"Fast","Slow")</f>
        <v>Slow</v>
      </c>
    </row>
    <row r="17" spans="1:13" x14ac:dyDescent="0.3">
      <c r="A17" t="s">
        <v>49</v>
      </c>
      <c r="B17" s="2" t="s">
        <v>50</v>
      </c>
      <c r="C17" s="1">
        <v>44666</v>
      </c>
      <c r="D17" s="35">
        <v>255073.2</v>
      </c>
      <c r="E17" s="2" t="s">
        <v>10</v>
      </c>
      <c r="F17" s="2" t="s">
        <v>34</v>
      </c>
      <c r="G17" s="2" t="s">
        <v>24</v>
      </c>
      <c r="H17">
        <v>29</v>
      </c>
      <c r="I17" s="2" t="str">
        <f>TEXT(Sheet1[[#This Row],[claim_date]],"mmmm")</f>
        <v>April</v>
      </c>
      <c r="J17" s="2">
        <f>YEAR(Sheet1[[#This Row],[claim_date]])</f>
        <v>2022</v>
      </c>
      <c r="K17" s="2" t="str">
        <f>"Q"&amp;ROUNDUP(MONTH(Sheet1[[#This Row],[claim_date]])/3,0)</f>
        <v>Q2</v>
      </c>
      <c r="L17" s="2" t="str">
        <f>IF(Sheet1[[#This Row],[claim_amount]]&lt;100000,"Low",IF(Sheet1[[#This Row],[claim_amount]]&lt;200000,"Medium","High"))</f>
        <v>High</v>
      </c>
      <c r="M17" s="2" t="str">
        <f>IF(Sheet1[[#This Row],[days_to_process]]&lt;=30,"Fast","Slow")</f>
        <v>Fast</v>
      </c>
    </row>
    <row r="18" spans="1:13" x14ac:dyDescent="0.3">
      <c r="A18" t="s">
        <v>51</v>
      </c>
      <c r="B18" s="2" t="s">
        <v>52</v>
      </c>
      <c r="C18" s="1">
        <v>45445</v>
      </c>
      <c r="D18" s="35">
        <v>67527.06</v>
      </c>
      <c r="E18" s="2" t="s">
        <v>10</v>
      </c>
      <c r="F18" s="2" t="s">
        <v>16</v>
      </c>
      <c r="G18" s="2" t="s">
        <v>12</v>
      </c>
      <c r="H18">
        <v>47</v>
      </c>
      <c r="I18" s="2" t="str">
        <f>TEXT(Sheet1[[#This Row],[claim_date]],"mmmm")</f>
        <v>June</v>
      </c>
      <c r="J18" s="2">
        <f>YEAR(Sheet1[[#This Row],[claim_date]])</f>
        <v>2024</v>
      </c>
      <c r="K18" s="2" t="str">
        <f>"Q"&amp;ROUNDUP(MONTH(Sheet1[[#This Row],[claim_date]])/3,0)</f>
        <v>Q2</v>
      </c>
      <c r="L18" s="2" t="str">
        <f>IF(Sheet1[[#This Row],[claim_amount]]&lt;100000,"Low",IF(Sheet1[[#This Row],[claim_amount]]&lt;200000,"Medium","High"))</f>
        <v>Low</v>
      </c>
      <c r="M18" s="2" t="str">
        <f>IF(Sheet1[[#This Row],[days_to_process]]&lt;=30,"Fast","Slow")</f>
        <v>Slow</v>
      </c>
    </row>
    <row r="19" spans="1:13" x14ac:dyDescent="0.3">
      <c r="A19" t="s">
        <v>53</v>
      </c>
      <c r="B19" s="2" t="s">
        <v>54</v>
      </c>
      <c r="C19" s="1">
        <v>45190</v>
      </c>
      <c r="D19" s="35">
        <v>22088.7</v>
      </c>
      <c r="E19" s="2" t="s">
        <v>15</v>
      </c>
      <c r="F19" s="2" t="s">
        <v>11</v>
      </c>
      <c r="G19" s="2" t="s">
        <v>24</v>
      </c>
      <c r="H19">
        <v>56</v>
      </c>
      <c r="I19" s="2" t="str">
        <f>TEXT(Sheet1[[#This Row],[claim_date]],"mmmm")</f>
        <v>September</v>
      </c>
      <c r="J19" s="2">
        <f>YEAR(Sheet1[[#This Row],[claim_date]])</f>
        <v>2023</v>
      </c>
      <c r="K19" s="2" t="str">
        <f>"Q"&amp;ROUNDUP(MONTH(Sheet1[[#This Row],[claim_date]])/3,0)</f>
        <v>Q3</v>
      </c>
      <c r="L19" s="2" t="str">
        <f>IF(Sheet1[[#This Row],[claim_amount]]&lt;100000,"Low",IF(Sheet1[[#This Row],[claim_amount]]&lt;200000,"Medium","High"))</f>
        <v>Low</v>
      </c>
      <c r="M19" s="2" t="str">
        <f>IF(Sheet1[[#This Row],[days_to_process]]&lt;=30,"Fast","Slow")</f>
        <v>Slow</v>
      </c>
    </row>
    <row r="20" spans="1:13" x14ac:dyDescent="0.3">
      <c r="A20" t="s">
        <v>55</v>
      </c>
      <c r="B20" s="2" t="s">
        <v>56</v>
      </c>
      <c r="C20" s="1">
        <v>45324</v>
      </c>
      <c r="D20" s="35">
        <v>350386.21</v>
      </c>
      <c r="E20" s="2" t="s">
        <v>15</v>
      </c>
      <c r="F20" s="2" t="s">
        <v>16</v>
      </c>
      <c r="G20" s="2" t="s">
        <v>12</v>
      </c>
      <c r="H20">
        <v>8</v>
      </c>
      <c r="I20" s="2" t="str">
        <f>TEXT(Sheet1[[#This Row],[claim_date]],"mmmm")</f>
        <v>February</v>
      </c>
      <c r="J20" s="2">
        <f>YEAR(Sheet1[[#This Row],[claim_date]])</f>
        <v>2024</v>
      </c>
      <c r="K20" s="2" t="str">
        <f>"Q"&amp;ROUNDUP(MONTH(Sheet1[[#This Row],[claim_date]])/3,0)</f>
        <v>Q1</v>
      </c>
      <c r="L20" s="2" t="str">
        <f>IF(Sheet1[[#This Row],[claim_amount]]&lt;100000,"Low",IF(Sheet1[[#This Row],[claim_amount]]&lt;200000,"Medium","High"))</f>
        <v>High</v>
      </c>
      <c r="M20" s="2" t="str">
        <f>IF(Sheet1[[#This Row],[days_to_process]]&lt;=30,"Fast","Slow")</f>
        <v>Fast</v>
      </c>
    </row>
    <row r="21" spans="1:13" x14ac:dyDescent="0.3">
      <c r="A21" t="s">
        <v>57</v>
      </c>
      <c r="B21" s="2" t="s">
        <v>58</v>
      </c>
      <c r="C21" s="1">
        <v>45401</v>
      </c>
      <c r="D21" s="35">
        <v>124876.51</v>
      </c>
      <c r="E21" s="2" t="s">
        <v>19</v>
      </c>
      <c r="F21" s="2" t="s">
        <v>11</v>
      </c>
      <c r="G21" s="2" t="s">
        <v>24</v>
      </c>
      <c r="H21">
        <v>10</v>
      </c>
      <c r="I21" s="2" t="str">
        <f>TEXT(Sheet1[[#This Row],[claim_date]],"mmmm")</f>
        <v>April</v>
      </c>
      <c r="J21" s="2">
        <f>YEAR(Sheet1[[#This Row],[claim_date]])</f>
        <v>2024</v>
      </c>
      <c r="K21" s="2" t="str">
        <f>"Q"&amp;ROUNDUP(MONTH(Sheet1[[#This Row],[claim_date]])/3,0)</f>
        <v>Q2</v>
      </c>
      <c r="L21" s="2" t="str">
        <f>IF(Sheet1[[#This Row],[claim_amount]]&lt;100000,"Low",IF(Sheet1[[#This Row],[claim_amount]]&lt;200000,"Medium","High"))</f>
        <v>Medium</v>
      </c>
      <c r="M21" s="2" t="str">
        <f>IF(Sheet1[[#This Row],[days_to_process]]&lt;=30,"Fast","Slow")</f>
        <v>Fast</v>
      </c>
    </row>
    <row r="22" spans="1:13" x14ac:dyDescent="0.3">
      <c r="A22" t="s">
        <v>59</v>
      </c>
      <c r="B22" s="2" t="s">
        <v>60</v>
      </c>
      <c r="C22" s="1">
        <v>45337</v>
      </c>
      <c r="D22" s="35">
        <v>401659.17</v>
      </c>
      <c r="E22" s="2" t="s">
        <v>10</v>
      </c>
      <c r="F22" s="2" t="s">
        <v>11</v>
      </c>
      <c r="G22" s="2" t="s">
        <v>24</v>
      </c>
      <c r="H22">
        <v>21</v>
      </c>
      <c r="I22" s="2" t="str">
        <f>TEXT(Sheet1[[#This Row],[claim_date]],"mmmm")</f>
        <v>February</v>
      </c>
      <c r="J22" s="2">
        <f>YEAR(Sheet1[[#This Row],[claim_date]])</f>
        <v>2024</v>
      </c>
      <c r="K22" s="2" t="str">
        <f>"Q"&amp;ROUNDUP(MONTH(Sheet1[[#This Row],[claim_date]])/3,0)</f>
        <v>Q1</v>
      </c>
      <c r="L22" s="2" t="str">
        <f>IF(Sheet1[[#This Row],[claim_amount]]&lt;100000,"Low",IF(Sheet1[[#This Row],[claim_amount]]&lt;200000,"Medium","High"))</f>
        <v>High</v>
      </c>
      <c r="M22" s="2" t="str">
        <f>IF(Sheet1[[#This Row],[days_to_process]]&lt;=30,"Fast","Slow")</f>
        <v>Fast</v>
      </c>
    </row>
    <row r="23" spans="1:13" x14ac:dyDescent="0.3">
      <c r="A23" t="s">
        <v>61</v>
      </c>
      <c r="B23" s="2" t="s">
        <v>62</v>
      </c>
      <c r="C23" s="1">
        <v>45193</v>
      </c>
      <c r="D23" s="35">
        <v>285832.96999999997</v>
      </c>
      <c r="E23" s="2" t="s">
        <v>19</v>
      </c>
      <c r="F23" s="2" t="s">
        <v>11</v>
      </c>
      <c r="G23" s="2" t="s">
        <v>12</v>
      </c>
      <c r="H23">
        <v>48</v>
      </c>
      <c r="I23" s="2" t="str">
        <f>TEXT(Sheet1[[#This Row],[claim_date]],"mmmm")</f>
        <v>September</v>
      </c>
      <c r="J23" s="2">
        <f>YEAR(Sheet1[[#This Row],[claim_date]])</f>
        <v>2023</v>
      </c>
      <c r="K23" s="2" t="str">
        <f>"Q"&amp;ROUNDUP(MONTH(Sheet1[[#This Row],[claim_date]])/3,0)</f>
        <v>Q3</v>
      </c>
      <c r="L23" s="2" t="str">
        <f>IF(Sheet1[[#This Row],[claim_amount]]&lt;100000,"Low",IF(Sheet1[[#This Row],[claim_amount]]&lt;200000,"Medium","High"))</f>
        <v>High</v>
      </c>
      <c r="M23" s="2" t="str">
        <f>IF(Sheet1[[#This Row],[days_to_process]]&lt;=30,"Fast","Slow")</f>
        <v>Slow</v>
      </c>
    </row>
    <row r="24" spans="1:13" x14ac:dyDescent="0.3">
      <c r="A24" t="s">
        <v>63</v>
      </c>
      <c r="B24" s="2" t="s">
        <v>64</v>
      </c>
      <c r="C24" s="1">
        <v>44984</v>
      </c>
      <c r="D24" s="35">
        <v>480795.2</v>
      </c>
      <c r="E24" s="2" t="s">
        <v>10</v>
      </c>
      <c r="F24" s="2" t="s">
        <v>23</v>
      </c>
      <c r="G24" s="2" t="s">
        <v>24</v>
      </c>
      <c r="H24">
        <v>33</v>
      </c>
      <c r="I24" s="2" t="str">
        <f>TEXT(Sheet1[[#This Row],[claim_date]],"mmmm")</f>
        <v>February</v>
      </c>
      <c r="J24" s="2">
        <f>YEAR(Sheet1[[#This Row],[claim_date]])</f>
        <v>2023</v>
      </c>
      <c r="K24" s="2" t="str">
        <f>"Q"&amp;ROUNDUP(MONTH(Sheet1[[#This Row],[claim_date]])/3,0)</f>
        <v>Q1</v>
      </c>
      <c r="L24" s="2" t="str">
        <f>IF(Sheet1[[#This Row],[claim_amount]]&lt;100000,"Low",IF(Sheet1[[#This Row],[claim_amount]]&lt;200000,"Medium","High"))</f>
        <v>High</v>
      </c>
      <c r="M24" s="2" t="str">
        <f>IF(Sheet1[[#This Row],[days_to_process]]&lt;=30,"Fast","Slow")</f>
        <v>Slow</v>
      </c>
    </row>
    <row r="25" spans="1:13" x14ac:dyDescent="0.3">
      <c r="A25" t="s">
        <v>65</v>
      </c>
      <c r="B25" s="2" t="s">
        <v>66</v>
      </c>
      <c r="C25" s="1">
        <v>45504</v>
      </c>
      <c r="D25" s="35">
        <v>367933.53</v>
      </c>
      <c r="E25" s="2" t="s">
        <v>15</v>
      </c>
      <c r="F25" s="2" t="s">
        <v>11</v>
      </c>
      <c r="G25" s="2" t="s">
        <v>12</v>
      </c>
      <c r="H25">
        <v>56</v>
      </c>
      <c r="I25" s="2" t="str">
        <f>TEXT(Sheet1[[#This Row],[claim_date]],"mmmm")</f>
        <v>July</v>
      </c>
      <c r="J25" s="2">
        <f>YEAR(Sheet1[[#This Row],[claim_date]])</f>
        <v>2024</v>
      </c>
      <c r="K25" s="2" t="str">
        <f>"Q"&amp;ROUNDUP(MONTH(Sheet1[[#This Row],[claim_date]])/3,0)</f>
        <v>Q3</v>
      </c>
      <c r="L25" s="2" t="str">
        <f>IF(Sheet1[[#This Row],[claim_amount]]&lt;100000,"Low",IF(Sheet1[[#This Row],[claim_amount]]&lt;200000,"Medium","High"))</f>
        <v>High</v>
      </c>
      <c r="M25" s="2" t="str">
        <f>IF(Sheet1[[#This Row],[days_to_process]]&lt;=30,"Fast","Slow")</f>
        <v>Slow</v>
      </c>
    </row>
    <row r="26" spans="1:13" x14ac:dyDescent="0.3">
      <c r="A26" t="s">
        <v>67</v>
      </c>
      <c r="B26" s="2" t="s">
        <v>68</v>
      </c>
      <c r="C26" s="1">
        <v>45436</v>
      </c>
      <c r="D26" s="35">
        <v>107721.44</v>
      </c>
      <c r="E26" s="2" t="s">
        <v>10</v>
      </c>
      <c r="F26" s="2" t="s">
        <v>34</v>
      </c>
      <c r="G26" s="2" t="s">
        <v>24</v>
      </c>
      <c r="H26">
        <v>4</v>
      </c>
      <c r="I26" s="2" t="str">
        <f>TEXT(Sheet1[[#This Row],[claim_date]],"mmmm")</f>
        <v>May</v>
      </c>
      <c r="J26" s="2">
        <f>YEAR(Sheet1[[#This Row],[claim_date]])</f>
        <v>2024</v>
      </c>
      <c r="K26" s="2" t="str">
        <f>"Q"&amp;ROUNDUP(MONTH(Sheet1[[#This Row],[claim_date]])/3,0)</f>
        <v>Q2</v>
      </c>
      <c r="L26" s="2" t="str">
        <f>IF(Sheet1[[#This Row],[claim_amount]]&lt;100000,"Low",IF(Sheet1[[#This Row],[claim_amount]]&lt;200000,"Medium","High"))</f>
        <v>Medium</v>
      </c>
      <c r="M26" s="2" t="str">
        <f>IF(Sheet1[[#This Row],[days_to_process]]&lt;=30,"Fast","Slow")</f>
        <v>Fast</v>
      </c>
    </row>
    <row r="27" spans="1:13" x14ac:dyDescent="0.3">
      <c r="A27" t="s">
        <v>69</v>
      </c>
      <c r="B27" s="2" t="s">
        <v>70</v>
      </c>
      <c r="C27" s="1">
        <v>45099</v>
      </c>
      <c r="D27" s="35">
        <v>397208.6</v>
      </c>
      <c r="E27" s="2" t="s">
        <v>10</v>
      </c>
      <c r="F27" s="2" t="s">
        <v>23</v>
      </c>
      <c r="G27" s="2" t="s">
        <v>24</v>
      </c>
      <c r="H27">
        <v>47</v>
      </c>
      <c r="I27" s="2" t="str">
        <f>TEXT(Sheet1[[#This Row],[claim_date]],"mmmm")</f>
        <v>June</v>
      </c>
      <c r="J27" s="2">
        <f>YEAR(Sheet1[[#This Row],[claim_date]])</f>
        <v>2023</v>
      </c>
      <c r="K27" s="2" t="str">
        <f>"Q"&amp;ROUNDUP(MONTH(Sheet1[[#This Row],[claim_date]])/3,0)</f>
        <v>Q2</v>
      </c>
      <c r="L27" s="2" t="str">
        <f>IF(Sheet1[[#This Row],[claim_amount]]&lt;100000,"Low",IF(Sheet1[[#This Row],[claim_amount]]&lt;200000,"Medium","High"))</f>
        <v>High</v>
      </c>
      <c r="M27" s="2" t="str">
        <f>IF(Sheet1[[#This Row],[days_to_process]]&lt;=30,"Fast","Slow")</f>
        <v>Slow</v>
      </c>
    </row>
    <row r="28" spans="1:13" x14ac:dyDescent="0.3">
      <c r="A28" t="s">
        <v>71</v>
      </c>
      <c r="B28" s="2" t="s">
        <v>72</v>
      </c>
      <c r="C28" s="1">
        <v>44802</v>
      </c>
      <c r="D28" s="35">
        <v>135683.89000000001</v>
      </c>
      <c r="E28" s="2" t="s">
        <v>10</v>
      </c>
      <c r="F28" s="2" t="s">
        <v>23</v>
      </c>
      <c r="G28" s="2" t="s">
        <v>24</v>
      </c>
      <c r="H28">
        <v>38</v>
      </c>
      <c r="I28" s="2" t="str">
        <f>TEXT(Sheet1[[#This Row],[claim_date]],"mmmm")</f>
        <v>August</v>
      </c>
      <c r="J28" s="2">
        <f>YEAR(Sheet1[[#This Row],[claim_date]])</f>
        <v>2022</v>
      </c>
      <c r="K28" s="2" t="str">
        <f>"Q"&amp;ROUNDUP(MONTH(Sheet1[[#This Row],[claim_date]])/3,0)</f>
        <v>Q3</v>
      </c>
      <c r="L28" s="2" t="str">
        <f>IF(Sheet1[[#This Row],[claim_amount]]&lt;100000,"Low",IF(Sheet1[[#This Row],[claim_amount]]&lt;200000,"Medium","High"))</f>
        <v>Medium</v>
      </c>
      <c r="M28" s="2" t="str">
        <f>IF(Sheet1[[#This Row],[days_to_process]]&lt;=30,"Fast","Slow")</f>
        <v>Slow</v>
      </c>
    </row>
    <row r="29" spans="1:13" x14ac:dyDescent="0.3">
      <c r="A29" t="s">
        <v>73</v>
      </c>
      <c r="B29" s="2" t="s">
        <v>74</v>
      </c>
      <c r="C29" s="1">
        <v>45201</v>
      </c>
      <c r="D29" s="35">
        <v>379326.31</v>
      </c>
      <c r="E29" s="2" t="s">
        <v>10</v>
      </c>
      <c r="F29" s="2" t="s">
        <v>23</v>
      </c>
      <c r="G29" s="2" t="s">
        <v>24</v>
      </c>
      <c r="H29">
        <v>25</v>
      </c>
      <c r="I29" s="2" t="str">
        <f>TEXT(Sheet1[[#This Row],[claim_date]],"mmmm")</f>
        <v>October</v>
      </c>
      <c r="J29" s="2">
        <f>YEAR(Sheet1[[#This Row],[claim_date]])</f>
        <v>2023</v>
      </c>
      <c r="K29" s="2" t="str">
        <f>"Q"&amp;ROUNDUP(MONTH(Sheet1[[#This Row],[claim_date]])/3,0)</f>
        <v>Q4</v>
      </c>
      <c r="L29" s="2" t="str">
        <f>IF(Sheet1[[#This Row],[claim_amount]]&lt;100000,"Low",IF(Sheet1[[#This Row],[claim_amount]]&lt;200000,"Medium","High"))</f>
        <v>High</v>
      </c>
      <c r="M29" s="2" t="str">
        <f>IF(Sheet1[[#This Row],[days_to_process]]&lt;=30,"Fast","Slow")</f>
        <v>Fast</v>
      </c>
    </row>
    <row r="30" spans="1:13" x14ac:dyDescent="0.3">
      <c r="A30" t="s">
        <v>75</v>
      </c>
      <c r="B30" s="2" t="s">
        <v>76</v>
      </c>
      <c r="C30" s="1">
        <v>45364</v>
      </c>
      <c r="D30" s="35">
        <v>446549.2</v>
      </c>
      <c r="E30" s="2" t="s">
        <v>19</v>
      </c>
      <c r="F30" s="2" t="s">
        <v>11</v>
      </c>
      <c r="G30" s="2" t="s">
        <v>12</v>
      </c>
      <c r="H30">
        <v>48</v>
      </c>
      <c r="I30" s="2" t="str">
        <f>TEXT(Sheet1[[#This Row],[claim_date]],"mmmm")</f>
        <v>March</v>
      </c>
      <c r="J30" s="2">
        <f>YEAR(Sheet1[[#This Row],[claim_date]])</f>
        <v>2024</v>
      </c>
      <c r="K30" s="2" t="str">
        <f>"Q"&amp;ROUNDUP(MONTH(Sheet1[[#This Row],[claim_date]])/3,0)</f>
        <v>Q1</v>
      </c>
      <c r="L30" s="2" t="str">
        <f>IF(Sheet1[[#This Row],[claim_amount]]&lt;100000,"Low",IF(Sheet1[[#This Row],[claim_amount]]&lt;200000,"Medium","High"))</f>
        <v>High</v>
      </c>
      <c r="M30" s="2" t="str">
        <f>IF(Sheet1[[#This Row],[days_to_process]]&lt;=30,"Fast","Slow")</f>
        <v>Slow</v>
      </c>
    </row>
    <row r="31" spans="1:13" x14ac:dyDescent="0.3">
      <c r="A31" t="s">
        <v>77</v>
      </c>
      <c r="B31" s="2" t="s">
        <v>78</v>
      </c>
      <c r="C31" s="1">
        <v>45063</v>
      </c>
      <c r="D31" s="35">
        <v>127488.96000000001</v>
      </c>
      <c r="E31" s="2" t="s">
        <v>10</v>
      </c>
      <c r="F31" s="2" t="s">
        <v>11</v>
      </c>
      <c r="G31" s="2" t="s">
        <v>24</v>
      </c>
      <c r="H31">
        <v>33</v>
      </c>
      <c r="I31" s="2" t="str">
        <f>TEXT(Sheet1[[#This Row],[claim_date]],"mmmm")</f>
        <v>May</v>
      </c>
      <c r="J31" s="2">
        <f>YEAR(Sheet1[[#This Row],[claim_date]])</f>
        <v>2023</v>
      </c>
      <c r="K31" s="2" t="str">
        <f>"Q"&amp;ROUNDUP(MONTH(Sheet1[[#This Row],[claim_date]])/3,0)</f>
        <v>Q2</v>
      </c>
      <c r="L31" s="2" t="str">
        <f>IF(Sheet1[[#This Row],[claim_amount]]&lt;100000,"Low",IF(Sheet1[[#This Row],[claim_amount]]&lt;200000,"Medium","High"))</f>
        <v>Medium</v>
      </c>
      <c r="M31" s="2" t="str">
        <f>IF(Sheet1[[#This Row],[days_to_process]]&lt;=30,"Fast","Slow")</f>
        <v>Slow</v>
      </c>
    </row>
    <row r="32" spans="1:13" x14ac:dyDescent="0.3">
      <c r="A32" t="s">
        <v>79</v>
      </c>
      <c r="B32" s="2" t="s">
        <v>80</v>
      </c>
      <c r="C32" s="1">
        <v>45531</v>
      </c>
      <c r="D32" s="35">
        <v>365730.12</v>
      </c>
      <c r="E32" s="2" t="s">
        <v>15</v>
      </c>
      <c r="F32" s="2" t="s">
        <v>34</v>
      </c>
      <c r="G32" s="2" t="s">
        <v>24</v>
      </c>
      <c r="H32">
        <v>17</v>
      </c>
      <c r="I32" s="2" t="str">
        <f>TEXT(Sheet1[[#This Row],[claim_date]],"mmmm")</f>
        <v>August</v>
      </c>
      <c r="J32" s="2">
        <f>YEAR(Sheet1[[#This Row],[claim_date]])</f>
        <v>2024</v>
      </c>
      <c r="K32" s="2" t="str">
        <f>"Q"&amp;ROUNDUP(MONTH(Sheet1[[#This Row],[claim_date]])/3,0)</f>
        <v>Q3</v>
      </c>
      <c r="L32" s="2" t="str">
        <f>IF(Sheet1[[#This Row],[claim_amount]]&lt;100000,"Low",IF(Sheet1[[#This Row],[claim_amount]]&lt;200000,"Medium","High"))</f>
        <v>High</v>
      </c>
      <c r="M32" s="2" t="str">
        <f>IF(Sheet1[[#This Row],[days_to_process]]&lt;=30,"Fast","Slow")</f>
        <v>Fast</v>
      </c>
    </row>
    <row r="33" spans="1:13" x14ac:dyDescent="0.3">
      <c r="A33" t="s">
        <v>81</v>
      </c>
      <c r="B33" s="2" t="s">
        <v>82</v>
      </c>
      <c r="C33" s="1">
        <v>45654</v>
      </c>
      <c r="D33" s="35">
        <v>486508.65</v>
      </c>
      <c r="E33" s="2" t="s">
        <v>15</v>
      </c>
      <c r="F33" s="2" t="s">
        <v>23</v>
      </c>
      <c r="G33" s="2" t="s">
        <v>24</v>
      </c>
      <c r="H33">
        <v>7</v>
      </c>
      <c r="I33" s="2" t="str">
        <f>TEXT(Sheet1[[#This Row],[claim_date]],"mmmm")</f>
        <v>December</v>
      </c>
      <c r="J33" s="2">
        <f>YEAR(Sheet1[[#This Row],[claim_date]])</f>
        <v>2024</v>
      </c>
      <c r="K33" s="2" t="str">
        <f>"Q"&amp;ROUNDUP(MONTH(Sheet1[[#This Row],[claim_date]])/3,0)</f>
        <v>Q4</v>
      </c>
      <c r="L33" s="2" t="str">
        <f>IF(Sheet1[[#This Row],[claim_amount]]&lt;100000,"Low",IF(Sheet1[[#This Row],[claim_amount]]&lt;200000,"Medium","High"))</f>
        <v>High</v>
      </c>
      <c r="M33" s="2" t="str">
        <f>IF(Sheet1[[#This Row],[days_to_process]]&lt;=30,"Fast","Slow")</f>
        <v>Fast</v>
      </c>
    </row>
    <row r="34" spans="1:13" x14ac:dyDescent="0.3">
      <c r="A34" t="s">
        <v>83</v>
      </c>
      <c r="B34" s="2" t="s">
        <v>84</v>
      </c>
      <c r="C34" s="1">
        <v>45702</v>
      </c>
      <c r="D34" s="35">
        <v>27907.74</v>
      </c>
      <c r="E34" s="2" t="s">
        <v>15</v>
      </c>
      <c r="F34" s="2" t="s">
        <v>16</v>
      </c>
      <c r="G34" s="2" t="s">
        <v>24</v>
      </c>
      <c r="H34">
        <v>9</v>
      </c>
      <c r="I34" s="2" t="str">
        <f>TEXT(Sheet1[[#This Row],[claim_date]],"mmmm")</f>
        <v>February</v>
      </c>
      <c r="J34" s="2">
        <f>YEAR(Sheet1[[#This Row],[claim_date]])</f>
        <v>2025</v>
      </c>
      <c r="K34" s="2" t="str">
        <f>"Q"&amp;ROUNDUP(MONTH(Sheet1[[#This Row],[claim_date]])/3,0)</f>
        <v>Q1</v>
      </c>
      <c r="L34" s="2" t="str">
        <f>IF(Sheet1[[#This Row],[claim_amount]]&lt;100000,"Low",IF(Sheet1[[#This Row],[claim_amount]]&lt;200000,"Medium","High"))</f>
        <v>Low</v>
      </c>
      <c r="M34" s="2" t="str">
        <f>IF(Sheet1[[#This Row],[days_to_process]]&lt;=30,"Fast","Slow")</f>
        <v>Fast</v>
      </c>
    </row>
    <row r="35" spans="1:13" x14ac:dyDescent="0.3">
      <c r="A35" t="s">
        <v>85</v>
      </c>
      <c r="B35" s="2" t="s">
        <v>86</v>
      </c>
      <c r="C35" s="1">
        <v>45428</v>
      </c>
      <c r="D35" s="35">
        <v>489315.33</v>
      </c>
      <c r="E35" s="2" t="s">
        <v>15</v>
      </c>
      <c r="F35" s="2" t="s">
        <v>23</v>
      </c>
      <c r="G35" s="2" t="s">
        <v>12</v>
      </c>
      <c r="H35">
        <v>50</v>
      </c>
      <c r="I35" s="2" t="str">
        <f>TEXT(Sheet1[[#This Row],[claim_date]],"mmmm")</f>
        <v>May</v>
      </c>
      <c r="J35" s="2">
        <f>YEAR(Sheet1[[#This Row],[claim_date]])</f>
        <v>2024</v>
      </c>
      <c r="K35" s="2" t="str">
        <f>"Q"&amp;ROUNDUP(MONTH(Sheet1[[#This Row],[claim_date]])/3,0)</f>
        <v>Q2</v>
      </c>
      <c r="L35" s="2" t="str">
        <f>IF(Sheet1[[#This Row],[claim_amount]]&lt;100000,"Low",IF(Sheet1[[#This Row],[claim_amount]]&lt;200000,"Medium","High"))</f>
        <v>High</v>
      </c>
      <c r="M35" s="2" t="str">
        <f>IF(Sheet1[[#This Row],[days_to_process]]&lt;=30,"Fast","Slow")</f>
        <v>Slow</v>
      </c>
    </row>
    <row r="36" spans="1:13" x14ac:dyDescent="0.3">
      <c r="A36" t="s">
        <v>88</v>
      </c>
      <c r="B36" s="2" t="s">
        <v>89</v>
      </c>
      <c r="C36" s="1">
        <v>45322</v>
      </c>
      <c r="D36" s="35">
        <v>274741.44</v>
      </c>
      <c r="E36" s="2" t="s">
        <v>19</v>
      </c>
      <c r="F36" s="2" t="s">
        <v>11</v>
      </c>
      <c r="G36" s="2" t="s">
        <v>24</v>
      </c>
      <c r="H36">
        <v>53</v>
      </c>
      <c r="I36" s="2" t="str">
        <f>TEXT(Sheet1[[#This Row],[claim_date]],"mmmm")</f>
        <v>January</v>
      </c>
      <c r="J36" s="2">
        <f>YEAR(Sheet1[[#This Row],[claim_date]])</f>
        <v>2024</v>
      </c>
      <c r="K36" s="2" t="str">
        <f>"Q"&amp;ROUNDUP(MONTH(Sheet1[[#This Row],[claim_date]])/3,0)</f>
        <v>Q1</v>
      </c>
      <c r="L36" s="2" t="str">
        <f>IF(Sheet1[[#This Row],[claim_amount]]&lt;100000,"Low",IF(Sheet1[[#This Row],[claim_amount]]&lt;200000,"Medium","High"))</f>
        <v>High</v>
      </c>
      <c r="M36" s="2" t="str">
        <f>IF(Sheet1[[#This Row],[days_to_process]]&lt;=30,"Fast","Slow")</f>
        <v>Slow</v>
      </c>
    </row>
    <row r="37" spans="1:13" x14ac:dyDescent="0.3">
      <c r="A37" t="s">
        <v>90</v>
      </c>
      <c r="B37" s="2" t="s">
        <v>91</v>
      </c>
      <c r="C37" s="1">
        <v>44922</v>
      </c>
      <c r="D37" s="35">
        <v>301554.48</v>
      </c>
      <c r="E37" s="2" t="s">
        <v>19</v>
      </c>
      <c r="F37" s="2" t="s">
        <v>34</v>
      </c>
      <c r="G37" s="2" t="s">
        <v>24</v>
      </c>
      <c r="H37">
        <v>32</v>
      </c>
      <c r="I37" s="2" t="str">
        <f>TEXT(Sheet1[[#This Row],[claim_date]],"mmmm")</f>
        <v>December</v>
      </c>
      <c r="J37" s="2">
        <f>YEAR(Sheet1[[#This Row],[claim_date]])</f>
        <v>2022</v>
      </c>
      <c r="K37" s="2" t="str">
        <f>"Q"&amp;ROUNDUP(MONTH(Sheet1[[#This Row],[claim_date]])/3,0)</f>
        <v>Q4</v>
      </c>
      <c r="L37" s="2" t="str">
        <f>IF(Sheet1[[#This Row],[claim_amount]]&lt;100000,"Low",IF(Sheet1[[#This Row],[claim_amount]]&lt;200000,"Medium","High"))</f>
        <v>High</v>
      </c>
      <c r="M37" s="2" t="str">
        <f>IF(Sheet1[[#This Row],[days_to_process]]&lt;=30,"Fast","Slow")</f>
        <v>Slow</v>
      </c>
    </row>
    <row r="38" spans="1:13" x14ac:dyDescent="0.3">
      <c r="A38" t="s">
        <v>92</v>
      </c>
      <c r="B38" s="2" t="s">
        <v>93</v>
      </c>
      <c r="C38" s="1">
        <v>45061</v>
      </c>
      <c r="D38" s="35">
        <v>155059.69</v>
      </c>
      <c r="E38" s="2" t="s">
        <v>10</v>
      </c>
      <c r="F38" s="2" t="s">
        <v>34</v>
      </c>
      <c r="G38" s="2" t="s">
        <v>12</v>
      </c>
      <c r="H38">
        <v>2</v>
      </c>
      <c r="I38" s="2" t="str">
        <f>TEXT(Sheet1[[#This Row],[claim_date]],"mmmm")</f>
        <v>May</v>
      </c>
      <c r="J38" s="2">
        <f>YEAR(Sheet1[[#This Row],[claim_date]])</f>
        <v>2023</v>
      </c>
      <c r="K38" s="2" t="str">
        <f>"Q"&amp;ROUNDUP(MONTH(Sheet1[[#This Row],[claim_date]])/3,0)</f>
        <v>Q2</v>
      </c>
      <c r="L38" s="2" t="str">
        <f>IF(Sheet1[[#This Row],[claim_amount]]&lt;100000,"Low",IF(Sheet1[[#This Row],[claim_amount]]&lt;200000,"Medium","High"))</f>
        <v>Medium</v>
      </c>
      <c r="M38" s="2" t="str">
        <f>IF(Sheet1[[#This Row],[days_to_process]]&lt;=30,"Fast","Slow")</f>
        <v>Fast</v>
      </c>
    </row>
    <row r="39" spans="1:13" x14ac:dyDescent="0.3">
      <c r="A39" t="s">
        <v>94</v>
      </c>
      <c r="B39" s="2" t="s">
        <v>95</v>
      </c>
      <c r="C39" s="1">
        <v>45444</v>
      </c>
      <c r="D39" s="35">
        <v>487345.7</v>
      </c>
      <c r="E39" s="2" t="s">
        <v>19</v>
      </c>
      <c r="F39" s="2" t="s">
        <v>20</v>
      </c>
      <c r="G39" s="2" t="s">
        <v>24</v>
      </c>
      <c r="H39">
        <v>33</v>
      </c>
      <c r="I39" s="2" t="str">
        <f>TEXT(Sheet1[[#This Row],[claim_date]],"mmmm")</f>
        <v>June</v>
      </c>
      <c r="J39" s="2">
        <f>YEAR(Sheet1[[#This Row],[claim_date]])</f>
        <v>2024</v>
      </c>
      <c r="K39" s="2" t="str">
        <f>"Q"&amp;ROUNDUP(MONTH(Sheet1[[#This Row],[claim_date]])/3,0)</f>
        <v>Q2</v>
      </c>
      <c r="L39" s="2" t="str">
        <f>IF(Sheet1[[#This Row],[claim_amount]]&lt;100000,"Low",IF(Sheet1[[#This Row],[claim_amount]]&lt;200000,"Medium","High"))</f>
        <v>High</v>
      </c>
      <c r="M39" s="2" t="str">
        <f>IF(Sheet1[[#This Row],[days_to_process]]&lt;=30,"Fast","Slow")</f>
        <v>Slow</v>
      </c>
    </row>
    <row r="40" spans="1:13" x14ac:dyDescent="0.3">
      <c r="A40" t="s">
        <v>96</v>
      </c>
      <c r="B40" s="2" t="s">
        <v>97</v>
      </c>
      <c r="C40" s="1">
        <v>44617</v>
      </c>
      <c r="D40" s="35">
        <v>122203.19</v>
      </c>
      <c r="E40" s="2" t="s">
        <v>10</v>
      </c>
      <c r="F40" s="2" t="s">
        <v>11</v>
      </c>
      <c r="G40" s="2" t="s">
        <v>12</v>
      </c>
      <c r="H40">
        <v>35</v>
      </c>
      <c r="I40" s="2" t="str">
        <f>TEXT(Sheet1[[#This Row],[claim_date]],"mmmm")</f>
        <v>February</v>
      </c>
      <c r="J40" s="2">
        <f>YEAR(Sheet1[[#This Row],[claim_date]])</f>
        <v>2022</v>
      </c>
      <c r="K40" s="2" t="str">
        <f>"Q"&amp;ROUNDUP(MONTH(Sheet1[[#This Row],[claim_date]])/3,0)</f>
        <v>Q1</v>
      </c>
      <c r="L40" s="2" t="str">
        <f>IF(Sheet1[[#This Row],[claim_amount]]&lt;100000,"Low",IF(Sheet1[[#This Row],[claim_amount]]&lt;200000,"Medium","High"))</f>
        <v>Medium</v>
      </c>
      <c r="M40" s="2" t="str">
        <f>IF(Sheet1[[#This Row],[days_to_process]]&lt;=30,"Fast","Slow")</f>
        <v>Slow</v>
      </c>
    </row>
    <row r="41" spans="1:13" x14ac:dyDescent="0.3">
      <c r="A41" t="s">
        <v>98</v>
      </c>
      <c r="B41" s="2" t="s">
        <v>99</v>
      </c>
      <c r="C41" s="1">
        <v>44372</v>
      </c>
      <c r="D41" s="35">
        <v>23474.7</v>
      </c>
      <c r="E41" s="2" t="s">
        <v>10</v>
      </c>
      <c r="F41" s="2" t="s">
        <v>34</v>
      </c>
      <c r="G41" s="2" t="s">
        <v>12</v>
      </c>
      <c r="H41">
        <v>19</v>
      </c>
      <c r="I41" s="2" t="str">
        <f>TEXT(Sheet1[[#This Row],[claim_date]],"mmmm")</f>
        <v>June</v>
      </c>
      <c r="J41" s="2">
        <f>YEAR(Sheet1[[#This Row],[claim_date]])</f>
        <v>2021</v>
      </c>
      <c r="K41" s="2" t="str">
        <f>"Q"&amp;ROUNDUP(MONTH(Sheet1[[#This Row],[claim_date]])/3,0)</f>
        <v>Q2</v>
      </c>
      <c r="L41" s="2" t="str">
        <f>IF(Sheet1[[#This Row],[claim_amount]]&lt;100000,"Low",IF(Sheet1[[#This Row],[claim_amount]]&lt;200000,"Medium","High"))</f>
        <v>Low</v>
      </c>
      <c r="M41" s="2" t="str">
        <f>IF(Sheet1[[#This Row],[days_to_process]]&lt;=30,"Fast","Slow")</f>
        <v>Fast</v>
      </c>
    </row>
    <row r="42" spans="1:13" x14ac:dyDescent="0.3">
      <c r="A42" t="s">
        <v>100</v>
      </c>
      <c r="B42" s="2" t="s">
        <v>101</v>
      </c>
      <c r="C42" s="1">
        <v>45261</v>
      </c>
      <c r="D42" s="35">
        <v>156041.48000000001</v>
      </c>
      <c r="E42" s="2" t="s">
        <v>15</v>
      </c>
      <c r="F42" s="2" t="s">
        <v>20</v>
      </c>
      <c r="G42" s="2" t="s">
        <v>24</v>
      </c>
      <c r="H42">
        <v>51</v>
      </c>
      <c r="I42" s="2" t="str">
        <f>TEXT(Sheet1[[#This Row],[claim_date]],"mmmm")</f>
        <v>December</v>
      </c>
      <c r="J42" s="2">
        <f>YEAR(Sheet1[[#This Row],[claim_date]])</f>
        <v>2023</v>
      </c>
      <c r="K42" s="2" t="str">
        <f>"Q"&amp;ROUNDUP(MONTH(Sheet1[[#This Row],[claim_date]])/3,0)</f>
        <v>Q4</v>
      </c>
      <c r="L42" s="2" t="str">
        <f>IF(Sheet1[[#This Row],[claim_amount]]&lt;100000,"Low",IF(Sheet1[[#This Row],[claim_amount]]&lt;200000,"Medium","High"))</f>
        <v>Medium</v>
      </c>
      <c r="M42" s="2" t="str">
        <f>IF(Sheet1[[#This Row],[days_to_process]]&lt;=30,"Fast","Slow")</f>
        <v>Slow</v>
      </c>
    </row>
    <row r="43" spans="1:13" x14ac:dyDescent="0.3">
      <c r="A43" t="s">
        <v>102</v>
      </c>
      <c r="B43" s="2" t="s">
        <v>103</v>
      </c>
      <c r="C43" s="1">
        <v>45087</v>
      </c>
      <c r="D43" s="35">
        <v>189563.24</v>
      </c>
      <c r="E43" s="2" t="s">
        <v>15</v>
      </c>
      <c r="F43" s="2" t="s">
        <v>23</v>
      </c>
      <c r="G43" s="2" t="s">
        <v>24</v>
      </c>
      <c r="H43">
        <v>12</v>
      </c>
      <c r="I43" s="2" t="str">
        <f>TEXT(Sheet1[[#This Row],[claim_date]],"mmmm")</f>
        <v>June</v>
      </c>
      <c r="J43" s="2">
        <f>YEAR(Sheet1[[#This Row],[claim_date]])</f>
        <v>2023</v>
      </c>
      <c r="K43" s="2" t="str">
        <f>"Q"&amp;ROUNDUP(MONTH(Sheet1[[#This Row],[claim_date]])/3,0)</f>
        <v>Q2</v>
      </c>
      <c r="L43" s="2" t="str">
        <f>IF(Sheet1[[#This Row],[claim_amount]]&lt;100000,"Low",IF(Sheet1[[#This Row],[claim_amount]]&lt;200000,"Medium","High"))</f>
        <v>Medium</v>
      </c>
      <c r="M43" s="2" t="str">
        <f>IF(Sheet1[[#This Row],[days_to_process]]&lt;=30,"Fast","Slow")</f>
        <v>Fast</v>
      </c>
    </row>
    <row r="44" spans="1:13" x14ac:dyDescent="0.3">
      <c r="A44" t="s">
        <v>104</v>
      </c>
      <c r="B44" s="2" t="s">
        <v>105</v>
      </c>
      <c r="C44" s="1">
        <v>45177</v>
      </c>
      <c r="D44" s="35">
        <v>413787.2</v>
      </c>
      <c r="E44" s="2" t="s">
        <v>19</v>
      </c>
      <c r="F44" s="2" t="s">
        <v>16</v>
      </c>
      <c r="G44" s="2" t="s">
        <v>12</v>
      </c>
      <c r="H44">
        <v>9</v>
      </c>
      <c r="I44" s="2" t="str">
        <f>TEXT(Sheet1[[#This Row],[claim_date]],"mmmm")</f>
        <v>September</v>
      </c>
      <c r="J44" s="2">
        <f>YEAR(Sheet1[[#This Row],[claim_date]])</f>
        <v>2023</v>
      </c>
      <c r="K44" s="2" t="str">
        <f>"Q"&amp;ROUNDUP(MONTH(Sheet1[[#This Row],[claim_date]])/3,0)</f>
        <v>Q3</v>
      </c>
      <c r="L44" s="2" t="str">
        <f>IF(Sheet1[[#This Row],[claim_amount]]&lt;100000,"Low",IF(Sheet1[[#This Row],[claim_amount]]&lt;200000,"Medium","High"))</f>
        <v>High</v>
      </c>
      <c r="M44" s="2" t="str">
        <f>IF(Sheet1[[#This Row],[days_to_process]]&lt;=30,"Fast","Slow")</f>
        <v>Fast</v>
      </c>
    </row>
    <row r="45" spans="1:13" x14ac:dyDescent="0.3">
      <c r="A45" t="s">
        <v>106</v>
      </c>
      <c r="B45" s="2" t="s">
        <v>107</v>
      </c>
      <c r="C45" s="1">
        <v>44642</v>
      </c>
      <c r="D45" s="35">
        <v>445095.51</v>
      </c>
      <c r="E45" s="2" t="s">
        <v>19</v>
      </c>
      <c r="F45" s="2" t="s">
        <v>11</v>
      </c>
      <c r="G45" s="2" t="s">
        <v>24</v>
      </c>
      <c r="H45">
        <v>16</v>
      </c>
      <c r="I45" s="2" t="str">
        <f>TEXT(Sheet1[[#This Row],[claim_date]],"mmmm")</f>
        <v>March</v>
      </c>
      <c r="J45" s="2">
        <f>YEAR(Sheet1[[#This Row],[claim_date]])</f>
        <v>2022</v>
      </c>
      <c r="K45" s="2" t="str">
        <f>"Q"&amp;ROUNDUP(MONTH(Sheet1[[#This Row],[claim_date]])/3,0)</f>
        <v>Q1</v>
      </c>
      <c r="L45" s="2" t="str">
        <f>IF(Sheet1[[#This Row],[claim_amount]]&lt;100000,"Low",IF(Sheet1[[#This Row],[claim_amount]]&lt;200000,"Medium","High"))</f>
        <v>High</v>
      </c>
      <c r="M45" s="2" t="str">
        <f>IF(Sheet1[[#This Row],[days_to_process]]&lt;=30,"Fast","Slow")</f>
        <v>Fast</v>
      </c>
    </row>
    <row r="46" spans="1:13" x14ac:dyDescent="0.3">
      <c r="A46" t="s">
        <v>108</v>
      </c>
      <c r="B46" s="2" t="s">
        <v>109</v>
      </c>
      <c r="C46" s="1">
        <v>45322</v>
      </c>
      <c r="D46" s="35">
        <v>79263.210000000006</v>
      </c>
      <c r="E46" s="2" t="s">
        <v>15</v>
      </c>
      <c r="F46" s="2" t="s">
        <v>34</v>
      </c>
      <c r="G46" s="2" t="s">
        <v>24</v>
      </c>
      <c r="H46">
        <v>30</v>
      </c>
      <c r="I46" s="2" t="str">
        <f>TEXT(Sheet1[[#This Row],[claim_date]],"mmmm")</f>
        <v>January</v>
      </c>
      <c r="J46" s="2">
        <f>YEAR(Sheet1[[#This Row],[claim_date]])</f>
        <v>2024</v>
      </c>
      <c r="K46" s="2" t="str">
        <f>"Q"&amp;ROUNDUP(MONTH(Sheet1[[#This Row],[claim_date]])/3,0)</f>
        <v>Q1</v>
      </c>
      <c r="L46" s="2" t="str">
        <f>IF(Sheet1[[#This Row],[claim_amount]]&lt;100000,"Low",IF(Sheet1[[#This Row],[claim_amount]]&lt;200000,"Medium","High"))</f>
        <v>Low</v>
      </c>
      <c r="M46" s="2" t="str">
        <f>IF(Sheet1[[#This Row],[days_to_process]]&lt;=30,"Fast","Slow")</f>
        <v>Fast</v>
      </c>
    </row>
    <row r="47" spans="1:13" x14ac:dyDescent="0.3">
      <c r="A47" t="s">
        <v>110</v>
      </c>
      <c r="B47" s="2" t="s">
        <v>111</v>
      </c>
      <c r="C47" s="1">
        <v>45629</v>
      </c>
      <c r="D47" s="35">
        <v>172221.13</v>
      </c>
      <c r="E47" s="2" t="s">
        <v>15</v>
      </c>
      <c r="F47" s="2" t="s">
        <v>16</v>
      </c>
      <c r="G47" s="2" t="s">
        <v>12</v>
      </c>
      <c r="H47">
        <v>59</v>
      </c>
      <c r="I47" s="2" t="str">
        <f>TEXT(Sheet1[[#This Row],[claim_date]],"mmmm")</f>
        <v>December</v>
      </c>
      <c r="J47" s="2">
        <f>YEAR(Sheet1[[#This Row],[claim_date]])</f>
        <v>2024</v>
      </c>
      <c r="K47" s="2" t="str">
        <f>"Q"&amp;ROUNDUP(MONTH(Sheet1[[#This Row],[claim_date]])/3,0)</f>
        <v>Q4</v>
      </c>
      <c r="L47" s="2" t="str">
        <f>IF(Sheet1[[#This Row],[claim_amount]]&lt;100000,"Low",IF(Sheet1[[#This Row],[claim_amount]]&lt;200000,"Medium","High"))</f>
        <v>Medium</v>
      </c>
      <c r="M47" s="2" t="str">
        <f>IF(Sheet1[[#This Row],[days_to_process]]&lt;=30,"Fast","Slow")</f>
        <v>Slow</v>
      </c>
    </row>
    <row r="48" spans="1:13" x14ac:dyDescent="0.3">
      <c r="A48" t="s">
        <v>112</v>
      </c>
      <c r="B48" s="2" t="s">
        <v>113</v>
      </c>
      <c r="C48" s="1">
        <v>45626</v>
      </c>
      <c r="D48" s="35">
        <v>191244.94</v>
      </c>
      <c r="E48" s="2" t="s">
        <v>10</v>
      </c>
      <c r="F48" s="2" t="s">
        <v>16</v>
      </c>
      <c r="G48" s="2" t="s">
        <v>24</v>
      </c>
      <c r="H48">
        <v>48</v>
      </c>
      <c r="I48" s="2" t="str">
        <f>TEXT(Sheet1[[#This Row],[claim_date]],"mmmm")</f>
        <v>November</v>
      </c>
      <c r="J48" s="2">
        <f>YEAR(Sheet1[[#This Row],[claim_date]])</f>
        <v>2024</v>
      </c>
      <c r="K48" s="2" t="str">
        <f>"Q"&amp;ROUNDUP(MONTH(Sheet1[[#This Row],[claim_date]])/3,0)</f>
        <v>Q4</v>
      </c>
      <c r="L48" s="2" t="str">
        <f>IF(Sheet1[[#This Row],[claim_amount]]&lt;100000,"Low",IF(Sheet1[[#This Row],[claim_amount]]&lt;200000,"Medium","High"))</f>
        <v>Medium</v>
      </c>
      <c r="M48" s="2" t="str">
        <f>IF(Sheet1[[#This Row],[days_to_process]]&lt;=30,"Fast","Slow")</f>
        <v>Slow</v>
      </c>
    </row>
    <row r="49" spans="1:13" x14ac:dyDescent="0.3">
      <c r="A49" t="s">
        <v>114</v>
      </c>
      <c r="B49" s="2" t="s">
        <v>115</v>
      </c>
      <c r="C49" s="1">
        <v>45517</v>
      </c>
      <c r="D49" s="35">
        <v>267667.93</v>
      </c>
      <c r="E49" s="2" t="s">
        <v>19</v>
      </c>
      <c r="F49" s="2" t="s">
        <v>11</v>
      </c>
      <c r="G49" s="2" t="s">
        <v>24</v>
      </c>
      <c r="H49">
        <v>58</v>
      </c>
      <c r="I49" s="2" t="str">
        <f>TEXT(Sheet1[[#This Row],[claim_date]],"mmmm")</f>
        <v>August</v>
      </c>
      <c r="J49" s="2">
        <f>YEAR(Sheet1[[#This Row],[claim_date]])</f>
        <v>2024</v>
      </c>
      <c r="K49" s="2" t="str">
        <f>"Q"&amp;ROUNDUP(MONTH(Sheet1[[#This Row],[claim_date]])/3,0)</f>
        <v>Q3</v>
      </c>
      <c r="L49" s="2" t="str">
        <f>IF(Sheet1[[#This Row],[claim_amount]]&lt;100000,"Low",IF(Sheet1[[#This Row],[claim_amount]]&lt;200000,"Medium","High"))</f>
        <v>High</v>
      </c>
      <c r="M49" s="2" t="str">
        <f>IF(Sheet1[[#This Row],[days_to_process]]&lt;=30,"Fast","Slow")</f>
        <v>Slow</v>
      </c>
    </row>
    <row r="50" spans="1:13" x14ac:dyDescent="0.3">
      <c r="A50" t="s">
        <v>116</v>
      </c>
      <c r="B50" s="2" t="s">
        <v>117</v>
      </c>
      <c r="C50" s="1">
        <v>44831</v>
      </c>
      <c r="D50" s="35">
        <v>422381.21</v>
      </c>
      <c r="E50" s="2" t="s">
        <v>10</v>
      </c>
      <c r="F50" s="2" t="s">
        <v>20</v>
      </c>
      <c r="G50" s="2" t="s">
        <v>24</v>
      </c>
      <c r="H50">
        <v>13</v>
      </c>
      <c r="I50" s="2" t="str">
        <f>TEXT(Sheet1[[#This Row],[claim_date]],"mmmm")</f>
        <v>September</v>
      </c>
      <c r="J50" s="2">
        <f>YEAR(Sheet1[[#This Row],[claim_date]])</f>
        <v>2022</v>
      </c>
      <c r="K50" s="2" t="str">
        <f>"Q"&amp;ROUNDUP(MONTH(Sheet1[[#This Row],[claim_date]])/3,0)</f>
        <v>Q3</v>
      </c>
      <c r="L50" s="2" t="str">
        <f>IF(Sheet1[[#This Row],[claim_amount]]&lt;100000,"Low",IF(Sheet1[[#This Row],[claim_amount]]&lt;200000,"Medium","High"))</f>
        <v>High</v>
      </c>
      <c r="M50" s="2" t="str">
        <f>IF(Sheet1[[#This Row],[days_to_process]]&lt;=30,"Fast","Slow")</f>
        <v>Fast</v>
      </c>
    </row>
    <row r="51" spans="1:13" x14ac:dyDescent="0.3">
      <c r="A51" t="s">
        <v>118</v>
      </c>
      <c r="B51" s="2" t="s">
        <v>119</v>
      </c>
      <c r="C51" s="1">
        <v>45731</v>
      </c>
      <c r="D51" s="35">
        <v>435372.41</v>
      </c>
      <c r="E51" s="2" t="s">
        <v>15</v>
      </c>
      <c r="F51" s="2" t="s">
        <v>23</v>
      </c>
      <c r="G51" s="2" t="s">
        <v>24</v>
      </c>
      <c r="H51">
        <v>11</v>
      </c>
      <c r="I51" s="2" t="str">
        <f>TEXT(Sheet1[[#This Row],[claim_date]],"mmmm")</f>
        <v>March</v>
      </c>
      <c r="J51" s="2">
        <f>YEAR(Sheet1[[#This Row],[claim_date]])</f>
        <v>2025</v>
      </c>
      <c r="K51" s="2" t="str">
        <f>"Q"&amp;ROUNDUP(MONTH(Sheet1[[#This Row],[claim_date]])/3,0)</f>
        <v>Q1</v>
      </c>
      <c r="L51" s="2" t="str">
        <f>IF(Sheet1[[#This Row],[claim_amount]]&lt;100000,"Low",IF(Sheet1[[#This Row],[claim_amount]]&lt;200000,"Medium","High"))</f>
        <v>High</v>
      </c>
      <c r="M51" s="2" t="str">
        <f>IF(Sheet1[[#This Row],[days_to_process]]&lt;=30,"Fast","Slow")</f>
        <v>Fast</v>
      </c>
    </row>
    <row r="52" spans="1:13" x14ac:dyDescent="0.3">
      <c r="A52" t="s">
        <v>120</v>
      </c>
      <c r="B52" s="2" t="s">
        <v>121</v>
      </c>
      <c r="C52" s="1">
        <v>44955</v>
      </c>
      <c r="D52" s="35">
        <v>342793.84</v>
      </c>
      <c r="E52" s="2" t="s">
        <v>15</v>
      </c>
      <c r="F52" s="2" t="s">
        <v>16</v>
      </c>
      <c r="G52" s="2" t="s">
        <v>12</v>
      </c>
      <c r="H52">
        <v>5</v>
      </c>
      <c r="I52" s="2" t="str">
        <f>TEXT(Sheet1[[#This Row],[claim_date]],"mmmm")</f>
        <v>January</v>
      </c>
      <c r="J52" s="2">
        <f>YEAR(Sheet1[[#This Row],[claim_date]])</f>
        <v>2023</v>
      </c>
      <c r="K52" s="2" t="str">
        <f>"Q"&amp;ROUNDUP(MONTH(Sheet1[[#This Row],[claim_date]])/3,0)</f>
        <v>Q1</v>
      </c>
      <c r="L52" s="2" t="str">
        <f>IF(Sheet1[[#This Row],[claim_amount]]&lt;100000,"Low",IF(Sheet1[[#This Row],[claim_amount]]&lt;200000,"Medium","High"))</f>
        <v>High</v>
      </c>
      <c r="M52" s="2" t="str">
        <f>IF(Sheet1[[#This Row],[days_to_process]]&lt;=30,"Fast","Slow")</f>
        <v>Fast</v>
      </c>
    </row>
    <row r="53" spans="1:13" x14ac:dyDescent="0.3">
      <c r="A53" t="s">
        <v>122</v>
      </c>
      <c r="B53" s="2" t="s">
        <v>123</v>
      </c>
      <c r="C53" s="1">
        <v>44799</v>
      </c>
      <c r="D53" s="35">
        <v>271007.14</v>
      </c>
      <c r="E53" s="2" t="s">
        <v>10</v>
      </c>
      <c r="F53" s="2" t="s">
        <v>11</v>
      </c>
      <c r="G53" s="2" t="s">
        <v>12</v>
      </c>
      <c r="H53">
        <v>16</v>
      </c>
      <c r="I53" s="2" t="str">
        <f>TEXT(Sheet1[[#This Row],[claim_date]],"mmmm")</f>
        <v>August</v>
      </c>
      <c r="J53" s="2">
        <f>YEAR(Sheet1[[#This Row],[claim_date]])</f>
        <v>2022</v>
      </c>
      <c r="K53" s="2" t="str">
        <f>"Q"&amp;ROUNDUP(MONTH(Sheet1[[#This Row],[claim_date]])/3,0)</f>
        <v>Q3</v>
      </c>
      <c r="L53" s="2" t="str">
        <f>IF(Sheet1[[#This Row],[claim_amount]]&lt;100000,"Low",IF(Sheet1[[#This Row],[claim_amount]]&lt;200000,"Medium","High"))</f>
        <v>High</v>
      </c>
      <c r="M53" s="2" t="str">
        <f>IF(Sheet1[[#This Row],[days_to_process]]&lt;=30,"Fast","Slow")</f>
        <v>Fast</v>
      </c>
    </row>
    <row r="54" spans="1:13" x14ac:dyDescent="0.3">
      <c r="A54" t="s">
        <v>124</v>
      </c>
      <c r="B54" s="2" t="s">
        <v>125</v>
      </c>
      <c r="C54" s="1">
        <v>45767</v>
      </c>
      <c r="D54" s="35">
        <v>389411.04</v>
      </c>
      <c r="E54" s="2" t="s">
        <v>15</v>
      </c>
      <c r="F54" s="2" t="s">
        <v>16</v>
      </c>
      <c r="G54" s="2" t="s">
        <v>12</v>
      </c>
      <c r="H54">
        <v>56</v>
      </c>
      <c r="I54" s="2" t="str">
        <f>TEXT(Sheet1[[#This Row],[claim_date]],"mmmm")</f>
        <v>April</v>
      </c>
      <c r="J54" s="2">
        <f>YEAR(Sheet1[[#This Row],[claim_date]])</f>
        <v>2025</v>
      </c>
      <c r="K54" s="2" t="str">
        <f>"Q"&amp;ROUNDUP(MONTH(Sheet1[[#This Row],[claim_date]])/3,0)</f>
        <v>Q2</v>
      </c>
      <c r="L54" s="2" t="str">
        <f>IF(Sheet1[[#This Row],[claim_amount]]&lt;100000,"Low",IF(Sheet1[[#This Row],[claim_amount]]&lt;200000,"Medium","High"))</f>
        <v>High</v>
      </c>
      <c r="M54" s="2" t="str">
        <f>IF(Sheet1[[#This Row],[days_to_process]]&lt;=30,"Fast","Slow")</f>
        <v>Slow</v>
      </c>
    </row>
    <row r="55" spans="1:13" x14ac:dyDescent="0.3">
      <c r="A55" t="s">
        <v>126</v>
      </c>
      <c r="B55" s="2" t="s">
        <v>127</v>
      </c>
      <c r="C55" s="1">
        <v>44961</v>
      </c>
      <c r="D55" s="35">
        <v>112536.24</v>
      </c>
      <c r="E55" s="2" t="s">
        <v>19</v>
      </c>
      <c r="F55" s="2" t="s">
        <v>16</v>
      </c>
      <c r="G55" s="2" t="s">
        <v>12</v>
      </c>
      <c r="H55">
        <v>53</v>
      </c>
      <c r="I55" s="2" t="str">
        <f>TEXT(Sheet1[[#This Row],[claim_date]],"mmmm")</f>
        <v>February</v>
      </c>
      <c r="J55" s="2">
        <f>YEAR(Sheet1[[#This Row],[claim_date]])</f>
        <v>2023</v>
      </c>
      <c r="K55" s="2" t="str">
        <f>"Q"&amp;ROUNDUP(MONTH(Sheet1[[#This Row],[claim_date]])/3,0)</f>
        <v>Q1</v>
      </c>
      <c r="L55" s="2" t="str">
        <f>IF(Sheet1[[#This Row],[claim_amount]]&lt;100000,"Low",IF(Sheet1[[#This Row],[claim_amount]]&lt;200000,"Medium","High"))</f>
        <v>Medium</v>
      </c>
      <c r="M55" s="2" t="str">
        <f>IF(Sheet1[[#This Row],[days_to_process]]&lt;=30,"Fast","Slow")</f>
        <v>Slow</v>
      </c>
    </row>
    <row r="56" spans="1:13" x14ac:dyDescent="0.3">
      <c r="A56" t="s">
        <v>128</v>
      </c>
      <c r="B56" s="2" t="s">
        <v>129</v>
      </c>
      <c r="C56" s="1">
        <v>44985</v>
      </c>
      <c r="D56" s="35">
        <v>296977.2</v>
      </c>
      <c r="E56" s="2" t="s">
        <v>15</v>
      </c>
      <c r="F56" s="2" t="s">
        <v>11</v>
      </c>
      <c r="G56" s="2" t="s">
        <v>12</v>
      </c>
      <c r="H56">
        <v>35</v>
      </c>
      <c r="I56" s="2" t="str">
        <f>TEXT(Sheet1[[#This Row],[claim_date]],"mmmm")</f>
        <v>February</v>
      </c>
      <c r="J56" s="2">
        <f>YEAR(Sheet1[[#This Row],[claim_date]])</f>
        <v>2023</v>
      </c>
      <c r="K56" s="2" t="str">
        <f>"Q"&amp;ROUNDUP(MONTH(Sheet1[[#This Row],[claim_date]])/3,0)</f>
        <v>Q1</v>
      </c>
      <c r="L56" s="2" t="str">
        <f>IF(Sheet1[[#This Row],[claim_amount]]&lt;100000,"Low",IF(Sheet1[[#This Row],[claim_amount]]&lt;200000,"Medium","High"))</f>
        <v>High</v>
      </c>
      <c r="M56" s="2" t="str">
        <f>IF(Sheet1[[#This Row],[days_to_process]]&lt;=30,"Fast","Slow")</f>
        <v>Slow</v>
      </c>
    </row>
    <row r="57" spans="1:13" x14ac:dyDescent="0.3">
      <c r="A57" t="s">
        <v>130</v>
      </c>
      <c r="B57" s="2" t="s">
        <v>131</v>
      </c>
      <c r="C57" s="1">
        <v>45153</v>
      </c>
      <c r="D57" s="35">
        <v>386747.78</v>
      </c>
      <c r="E57" s="2" t="s">
        <v>10</v>
      </c>
      <c r="F57" s="2" t="s">
        <v>11</v>
      </c>
      <c r="G57" s="2" t="s">
        <v>12</v>
      </c>
      <c r="H57">
        <v>45</v>
      </c>
      <c r="I57" s="2" t="str">
        <f>TEXT(Sheet1[[#This Row],[claim_date]],"mmmm")</f>
        <v>August</v>
      </c>
      <c r="J57" s="2">
        <f>YEAR(Sheet1[[#This Row],[claim_date]])</f>
        <v>2023</v>
      </c>
      <c r="K57" s="2" t="str">
        <f>"Q"&amp;ROUNDUP(MONTH(Sheet1[[#This Row],[claim_date]])/3,0)</f>
        <v>Q3</v>
      </c>
      <c r="L57" s="2" t="str">
        <f>IF(Sheet1[[#This Row],[claim_amount]]&lt;100000,"Low",IF(Sheet1[[#This Row],[claim_amount]]&lt;200000,"Medium","High"))</f>
        <v>High</v>
      </c>
      <c r="M57" s="2" t="str">
        <f>IF(Sheet1[[#This Row],[days_to_process]]&lt;=30,"Fast","Slow")</f>
        <v>Slow</v>
      </c>
    </row>
    <row r="58" spans="1:13" x14ac:dyDescent="0.3">
      <c r="A58" t="s">
        <v>132</v>
      </c>
      <c r="B58" s="2" t="s">
        <v>133</v>
      </c>
      <c r="C58" s="1">
        <v>45330</v>
      </c>
      <c r="D58" s="35">
        <v>182099.71</v>
      </c>
      <c r="E58" s="2" t="s">
        <v>15</v>
      </c>
      <c r="F58" s="2" t="s">
        <v>34</v>
      </c>
      <c r="G58" s="2" t="s">
        <v>12</v>
      </c>
      <c r="H58">
        <v>12</v>
      </c>
      <c r="I58" s="2" t="str">
        <f>TEXT(Sheet1[[#This Row],[claim_date]],"mmmm")</f>
        <v>February</v>
      </c>
      <c r="J58" s="2">
        <f>YEAR(Sheet1[[#This Row],[claim_date]])</f>
        <v>2024</v>
      </c>
      <c r="K58" s="2" t="str">
        <f>"Q"&amp;ROUNDUP(MONTH(Sheet1[[#This Row],[claim_date]])/3,0)</f>
        <v>Q1</v>
      </c>
      <c r="L58" s="2" t="str">
        <f>IF(Sheet1[[#This Row],[claim_amount]]&lt;100000,"Low",IF(Sheet1[[#This Row],[claim_amount]]&lt;200000,"Medium","High"))</f>
        <v>Medium</v>
      </c>
      <c r="M58" s="2" t="str">
        <f>IF(Sheet1[[#This Row],[days_to_process]]&lt;=30,"Fast","Slow")</f>
        <v>Fast</v>
      </c>
    </row>
    <row r="59" spans="1:13" x14ac:dyDescent="0.3">
      <c r="A59" t="s">
        <v>134</v>
      </c>
      <c r="B59" s="2" t="s">
        <v>135</v>
      </c>
      <c r="C59" s="1">
        <v>45568</v>
      </c>
      <c r="D59" s="35">
        <v>405963.06</v>
      </c>
      <c r="E59" s="2" t="s">
        <v>15</v>
      </c>
      <c r="F59" s="2" t="s">
        <v>23</v>
      </c>
      <c r="G59" s="2" t="s">
        <v>12</v>
      </c>
      <c r="H59">
        <v>26</v>
      </c>
      <c r="I59" s="2" t="str">
        <f>TEXT(Sheet1[[#This Row],[claim_date]],"mmmm")</f>
        <v>October</v>
      </c>
      <c r="J59" s="2">
        <f>YEAR(Sheet1[[#This Row],[claim_date]])</f>
        <v>2024</v>
      </c>
      <c r="K59" s="2" t="str">
        <f>"Q"&amp;ROUNDUP(MONTH(Sheet1[[#This Row],[claim_date]])/3,0)</f>
        <v>Q4</v>
      </c>
      <c r="L59" s="2" t="str">
        <f>IF(Sheet1[[#This Row],[claim_amount]]&lt;100000,"Low",IF(Sheet1[[#This Row],[claim_amount]]&lt;200000,"Medium","High"))</f>
        <v>High</v>
      </c>
      <c r="M59" s="2" t="str">
        <f>IF(Sheet1[[#This Row],[days_to_process]]&lt;=30,"Fast","Slow")</f>
        <v>Fast</v>
      </c>
    </row>
    <row r="60" spans="1:13" x14ac:dyDescent="0.3">
      <c r="A60" t="s">
        <v>136</v>
      </c>
      <c r="B60" s="2" t="s">
        <v>137</v>
      </c>
      <c r="C60" s="1">
        <v>44889</v>
      </c>
      <c r="D60" s="35">
        <v>243607.52</v>
      </c>
      <c r="E60" s="2" t="s">
        <v>19</v>
      </c>
      <c r="F60" s="2" t="s">
        <v>16</v>
      </c>
      <c r="G60" s="2" t="s">
        <v>24</v>
      </c>
      <c r="H60">
        <v>52</v>
      </c>
      <c r="I60" s="2" t="str">
        <f>TEXT(Sheet1[[#This Row],[claim_date]],"mmmm")</f>
        <v>November</v>
      </c>
      <c r="J60" s="2">
        <f>YEAR(Sheet1[[#This Row],[claim_date]])</f>
        <v>2022</v>
      </c>
      <c r="K60" s="2" t="str">
        <f>"Q"&amp;ROUNDUP(MONTH(Sheet1[[#This Row],[claim_date]])/3,0)</f>
        <v>Q4</v>
      </c>
      <c r="L60" s="2" t="str">
        <f>IF(Sheet1[[#This Row],[claim_amount]]&lt;100000,"Low",IF(Sheet1[[#This Row],[claim_amount]]&lt;200000,"Medium","High"))</f>
        <v>High</v>
      </c>
      <c r="M60" s="2" t="str">
        <f>IF(Sheet1[[#This Row],[days_to_process]]&lt;=30,"Fast","Slow")</f>
        <v>Slow</v>
      </c>
    </row>
    <row r="61" spans="1:13" x14ac:dyDescent="0.3">
      <c r="A61" t="s">
        <v>138</v>
      </c>
      <c r="B61" s="2" t="s">
        <v>139</v>
      </c>
      <c r="C61" s="1">
        <v>44427</v>
      </c>
      <c r="D61" s="35">
        <v>498110.26</v>
      </c>
      <c r="E61" s="2" t="s">
        <v>15</v>
      </c>
      <c r="F61" s="2" t="s">
        <v>16</v>
      </c>
      <c r="G61" s="2" t="s">
        <v>24</v>
      </c>
      <c r="H61">
        <v>29</v>
      </c>
      <c r="I61" s="2" t="str">
        <f>TEXT(Sheet1[[#This Row],[claim_date]],"mmmm")</f>
        <v>August</v>
      </c>
      <c r="J61" s="2">
        <f>YEAR(Sheet1[[#This Row],[claim_date]])</f>
        <v>2021</v>
      </c>
      <c r="K61" s="2" t="str">
        <f>"Q"&amp;ROUNDUP(MONTH(Sheet1[[#This Row],[claim_date]])/3,0)</f>
        <v>Q3</v>
      </c>
      <c r="L61" s="2" t="str">
        <f>IF(Sheet1[[#This Row],[claim_amount]]&lt;100000,"Low",IF(Sheet1[[#This Row],[claim_amount]]&lt;200000,"Medium","High"))</f>
        <v>High</v>
      </c>
      <c r="M61" s="2" t="str">
        <f>IF(Sheet1[[#This Row],[days_to_process]]&lt;=30,"Fast","Slow")</f>
        <v>Fast</v>
      </c>
    </row>
    <row r="62" spans="1:13" x14ac:dyDescent="0.3">
      <c r="A62" t="s">
        <v>140</v>
      </c>
      <c r="B62" s="2" t="s">
        <v>141</v>
      </c>
      <c r="C62" s="1">
        <v>45515</v>
      </c>
      <c r="D62" s="35">
        <v>269337.03000000003</v>
      </c>
      <c r="E62" s="2" t="s">
        <v>19</v>
      </c>
      <c r="F62" s="2" t="s">
        <v>34</v>
      </c>
      <c r="G62" s="2" t="s">
        <v>12</v>
      </c>
      <c r="H62">
        <v>59</v>
      </c>
      <c r="I62" s="2" t="str">
        <f>TEXT(Sheet1[[#This Row],[claim_date]],"mmmm")</f>
        <v>August</v>
      </c>
      <c r="J62" s="2">
        <f>YEAR(Sheet1[[#This Row],[claim_date]])</f>
        <v>2024</v>
      </c>
      <c r="K62" s="2" t="str">
        <f>"Q"&amp;ROUNDUP(MONTH(Sheet1[[#This Row],[claim_date]])/3,0)</f>
        <v>Q3</v>
      </c>
      <c r="L62" s="2" t="str">
        <f>IF(Sheet1[[#This Row],[claim_amount]]&lt;100000,"Low",IF(Sheet1[[#This Row],[claim_amount]]&lt;200000,"Medium","High"))</f>
        <v>High</v>
      </c>
      <c r="M62" s="2" t="str">
        <f>IF(Sheet1[[#This Row],[days_to_process]]&lt;=30,"Fast","Slow")</f>
        <v>Slow</v>
      </c>
    </row>
    <row r="63" spans="1:13" x14ac:dyDescent="0.3">
      <c r="A63" t="s">
        <v>142</v>
      </c>
      <c r="B63" s="2" t="s">
        <v>143</v>
      </c>
      <c r="C63" s="1">
        <v>45698</v>
      </c>
      <c r="D63" s="35">
        <v>86152.38</v>
      </c>
      <c r="E63" s="2" t="s">
        <v>19</v>
      </c>
      <c r="F63" s="2" t="s">
        <v>34</v>
      </c>
      <c r="G63" s="2" t="s">
        <v>12</v>
      </c>
      <c r="H63">
        <v>36</v>
      </c>
      <c r="I63" s="2" t="str">
        <f>TEXT(Sheet1[[#This Row],[claim_date]],"mmmm")</f>
        <v>February</v>
      </c>
      <c r="J63" s="2">
        <f>YEAR(Sheet1[[#This Row],[claim_date]])</f>
        <v>2025</v>
      </c>
      <c r="K63" s="2" t="str">
        <f>"Q"&amp;ROUNDUP(MONTH(Sheet1[[#This Row],[claim_date]])/3,0)</f>
        <v>Q1</v>
      </c>
      <c r="L63" s="2" t="str">
        <f>IF(Sheet1[[#This Row],[claim_amount]]&lt;100000,"Low",IF(Sheet1[[#This Row],[claim_amount]]&lt;200000,"Medium","High"))</f>
        <v>Low</v>
      </c>
      <c r="M63" s="2" t="str">
        <f>IF(Sheet1[[#This Row],[days_to_process]]&lt;=30,"Fast","Slow")</f>
        <v>Slow</v>
      </c>
    </row>
    <row r="64" spans="1:13" x14ac:dyDescent="0.3">
      <c r="A64" t="s">
        <v>144</v>
      </c>
      <c r="B64" s="2" t="s">
        <v>145</v>
      </c>
      <c r="C64" s="1">
        <v>45457</v>
      </c>
      <c r="D64" s="35">
        <v>411616.47</v>
      </c>
      <c r="E64" s="2" t="s">
        <v>15</v>
      </c>
      <c r="F64" s="2" t="s">
        <v>16</v>
      </c>
      <c r="G64" s="2" t="s">
        <v>24</v>
      </c>
      <c r="H64">
        <v>8</v>
      </c>
      <c r="I64" s="2" t="str">
        <f>TEXT(Sheet1[[#This Row],[claim_date]],"mmmm")</f>
        <v>June</v>
      </c>
      <c r="J64" s="2">
        <f>YEAR(Sheet1[[#This Row],[claim_date]])</f>
        <v>2024</v>
      </c>
      <c r="K64" s="2" t="str">
        <f>"Q"&amp;ROUNDUP(MONTH(Sheet1[[#This Row],[claim_date]])/3,0)</f>
        <v>Q2</v>
      </c>
      <c r="L64" s="2" t="str">
        <f>IF(Sheet1[[#This Row],[claim_amount]]&lt;100000,"Low",IF(Sheet1[[#This Row],[claim_amount]]&lt;200000,"Medium","High"))</f>
        <v>High</v>
      </c>
      <c r="M64" s="2" t="str">
        <f>IF(Sheet1[[#This Row],[days_to_process]]&lt;=30,"Fast","Slow")</f>
        <v>Fast</v>
      </c>
    </row>
    <row r="65" spans="1:13" x14ac:dyDescent="0.3">
      <c r="A65" t="s">
        <v>146</v>
      </c>
      <c r="B65" s="2" t="s">
        <v>147</v>
      </c>
      <c r="C65" s="1">
        <v>45628</v>
      </c>
      <c r="D65" s="35">
        <v>345978.75</v>
      </c>
      <c r="E65" s="2" t="s">
        <v>10</v>
      </c>
      <c r="F65" s="2" t="s">
        <v>11</v>
      </c>
      <c r="G65" s="2" t="s">
        <v>12</v>
      </c>
      <c r="H65">
        <v>9</v>
      </c>
      <c r="I65" s="2" t="str">
        <f>TEXT(Sheet1[[#This Row],[claim_date]],"mmmm")</f>
        <v>December</v>
      </c>
      <c r="J65" s="2">
        <f>YEAR(Sheet1[[#This Row],[claim_date]])</f>
        <v>2024</v>
      </c>
      <c r="K65" s="2" t="str">
        <f>"Q"&amp;ROUNDUP(MONTH(Sheet1[[#This Row],[claim_date]])/3,0)</f>
        <v>Q4</v>
      </c>
      <c r="L65" s="2" t="str">
        <f>IF(Sheet1[[#This Row],[claim_amount]]&lt;100000,"Low",IF(Sheet1[[#This Row],[claim_amount]]&lt;200000,"Medium","High"))</f>
        <v>High</v>
      </c>
      <c r="M65" s="2" t="str">
        <f>IF(Sheet1[[#This Row],[days_to_process]]&lt;=30,"Fast","Slow")</f>
        <v>Fast</v>
      </c>
    </row>
    <row r="66" spans="1:13" x14ac:dyDescent="0.3">
      <c r="A66" t="s">
        <v>148</v>
      </c>
      <c r="B66" s="2" t="s">
        <v>149</v>
      </c>
      <c r="C66" s="1">
        <v>45531</v>
      </c>
      <c r="D66" s="35">
        <v>48118.03</v>
      </c>
      <c r="E66" s="2" t="s">
        <v>19</v>
      </c>
      <c r="F66" s="2" t="s">
        <v>34</v>
      </c>
      <c r="G66" s="2" t="s">
        <v>12</v>
      </c>
      <c r="H66">
        <v>18</v>
      </c>
      <c r="I66" s="2" t="str">
        <f>TEXT(Sheet1[[#This Row],[claim_date]],"mmmm")</f>
        <v>August</v>
      </c>
      <c r="J66" s="2">
        <f>YEAR(Sheet1[[#This Row],[claim_date]])</f>
        <v>2024</v>
      </c>
      <c r="K66" s="2" t="str">
        <f>"Q"&amp;ROUNDUP(MONTH(Sheet1[[#This Row],[claim_date]])/3,0)</f>
        <v>Q3</v>
      </c>
      <c r="L66" s="2" t="str">
        <f>IF(Sheet1[[#This Row],[claim_amount]]&lt;100000,"Low",IF(Sheet1[[#This Row],[claim_amount]]&lt;200000,"Medium","High"))</f>
        <v>Low</v>
      </c>
      <c r="M66" s="2" t="str">
        <f>IF(Sheet1[[#This Row],[days_to_process]]&lt;=30,"Fast","Slow")</f>
        <v>Fast</v>
      </c>
    </row>
    <row r="67" spans="1:13" x14ac:dyDescent="0.3">
      <c r="A67" t="s">
        <v>150</v>
      </c>
      <c r="B67" s="2" t="s">
        <v>151</v>
      </c>
      <c r="C67" s="1">
        <v>45482</v>
      </c>
      <c r="D67" s="35">
        <v>308159.53999999998</v>
      </c>
      <c r="E67" s="2" t="s">
        <v>15</v>
      </c>
      <c r="F67" s="2" t="s">
        <v>20</v>
      </c>
      <c r="G67" s="2" t="s">
        <v>12</v>
      </c>
      <c r="H67">
        <v>17</v>
      </c>
      <c r="I67" s="2" t="str">
        <f>TEXT(Sheet1[[#This Row],[claim_date]],"mmmm")</f>
        <v>July</v>
      </c>
      <c r="J67" s="2">
        <f>YEAR(Sheet1[[#This Row],[claim_date]])</f>
        <v>2024</v>
      </c>
      <c r="K67" s="2" t="str">
        <f>"Q"&amp;ROUNDUP(MONTH(Sheet1[[#This Row],[claim_date]])/3,0)</f>
        <v>Q3</v>
      </c>
      <c r="L67" s="2" t="str">
        <f>IF(Sheet1[[#This Row],[claim_amount]]&lt;100000,"Low",IF(Sheet1[[#This Row],[claim_amount]]&lt;200000,"Medium","High"))</f>
        <v>High</v>
      </c>
      <c r="M67" s="2" t="str">
        <f>IF(Sheet1[[#This Row],[days_to_process]]&lt;=30,"Fast","Slow")</f>
        <v>Fast</v>
      </c>
    </row>
    <row r="68" spans="1:13" x14ac:dyDescent="0.3">
      <c r="A68" t="s">
        <v>152</v>
      </c>
      <c r="B68" s="2" t="s">
        <v>153</v>
      </c>
      <c r="C68" s="1">
        <v>45469</v>
      </c>
      <c r="D68" s="35">
        <v>97264.45</v>
      </c>
      <c r="E68" s="2" t="s">
        <v>19</v>
      </c>
      <c r="F68" s="2" t="s">
        <v>20</v>
      </c>
      <c r="G68" s="2" t="s">
        <v>24</v>
      </c>
      <c r="H68">
        <v>10</v>
      </c>
      <c r="I68" s="2" t="str">
        <f>TEXT(Sheet1[[#This Row],[claim_date]],"mmmm")</f>
        <v>June</v>
      </c>
      <c r="J68" s="2">
        <f>YEAR(Sheet1[[#This Row],[claim_date]])</f>
        <v>2024</v>
      </c>
      <c r="K68" s="2" t="str">
        <f>"Q"&amp;ROUNDUP(MONTH(Sheet1[[#This Row],[claim_date]])/3,0)</f>
        <v>Q2</v>
      </c>
      <c r="L68" s="2" t="str">
        <f>IF(Sheet1[[#This Row],[claim_amount]]&lt;100000,"Low",IF(Sheet1[[#This Row],[claim_amount]]&lt;200000,"Medium","High"))</f>
        <v>Low</v>
      </c>
      <c r="M68" s="2" t="str">
        <f>IF(Sheet1[[#This Row],[days_to_process]]&lt;=30,"Fast","Slow")</f>
        <v>Fast</v>
      </c>
    </row>
    <row r="69" spans="1:13" x14ac:dyDescent="0.3">
      <c r="A69" t="s">
        <v>154</v>
      </c>
      <c r="B69" s="2" t="s">
        <v>155</v>
      </c>
      <c r="C69" s="1">
        <v>45154</v>
      </c>
      <c r="D69" s="35">
        <v>128300.14</v>
      </c>
      <c r="E69" s="2" t="s">
        <v>15</v>
      </c>
      <c r="F69" s="2" t="s">
        <v>20</v>
      </c>
      <c r="G69" s="2" t="s">
        <v>12</v>
      </c>
      <c r="H69">
        <v>42</v>
      </c>
      <c r="I69" s="2" t="str">
        <f>TEXT(Sheet1[[#This Row],[claim_date]],"mmmm")</f>
        <v>August</v>
      </c>
      <c r="J69" s="2">
        <f>YEAR(Sheet1[[#This Row],[claim_date]])</f>
        <v>2023</v>
      </c>
      <c r="K69" s="2" t="str">
        <f>"Q"&amp;ROUNDUP(MONTH(Sheet1[[#This Row],[claim_date]])/3,0)</f>
        <v>Q3</v>
      </c>
      <c r="L69" s="2" t="str">
        <f>IF(Sheet1[[#This Row],[claim_amount]]&lt;100000,"Low",IF(Sheet1[[#This Row],[claim_amount]]&lt;200000,"Medium","High"))</f>
        <v>Medium</v>
      </c>
      <c r="M69" s="2" t="str">
        <f>IF(Sheet1[[#This Row],[days_to_process]]&lt;=30,"Fast","Slow")</f>
        <v>Slow</v>
      </c>
    </row>
    <row r="70" spans="1:13" x14ac:dyDescent="0.3">
      <c r="A70" t="s">
        <v>156</v>
      </c>
      <c r="B70" s="2" t="s">
        <v>157</v>
      </c>
      <c r="C70" s="1">
        <v>45205</v>
      </c>
      <c r="D70" s="35">
        <v>462147.09</v>
      </c>
      <c r="E70" s="2" t="s">
        <v>10</v>
      </c>
      <c r="F70" s="2" t="s">
        <v>11</v>
      </c>
      <c r="G70" s="2" t="s">
        <v>12</v>
      </c>
      <c r="H70">
        <v>44</v>
      </c>
      <c r="I70" s="2" t="str">
        <f>TEXT(Sheet1[[#This Row],[claim_date]],"mmmm")</f>
        <v>October</v>
      </c>
      <c r="J70" s="2">
        <f>YEAR(Sheet1[[#This Row],[claim_date]])</f>
        <v>2023</v>
      </c>
      <c r="K70" s="2" t="str">
        <f>"Q"&amp;ROUNDUP(MONTH(Sheet1[[#This Row],[claim_date]])/3,0)</f>
        <v>Q4</v>
      </c>
      <c r="L70" s="2" t="str">
        <f>IF(Sheet1[[#This Row],[claim_amount]]&lt;100000,"Low",IF(Sheet1[[#This Row],[claim_amount]]&lt;200000,"Medium","High"))</f>
        <v>High</v>
      </c>
      <c r="M70" s="2" t="str">
        <f>IF(Sheet1[[#This Row],[days_to_process]]&lt;=30,"Fast","Slow")</f>
        <v>Slow</v>
      </c>
    </row>
    <row r="71" spans="1:13" x14ac:dyDescent="0.3">
      <c r="A71" t="s">
        <v>158</v>
      </c>
      <c r="B71" s="2" t="s">
        <v>159</v>
      </c>
      <c r="C71" s="1">
        <v>45341</v>
      </c>
      <c r="D71" s="35">
        <v>192823.07</v>
      </c>
      <c r="E71" s="2" t="s">
        <v>19</v>
      </c>
      <c r="F71" s="2" t="s">
        <v>23</v>
      </c>
      <c r="G71" s="2" t="s">
        <v>24</v>
      </c>
      <c r="H71">
        <v>50</v>
      </c>
      <c r="I71" s="2" t="str">
        <f>TEXT(Sheet1[[#This Row],[claim_date]],"mmmm")</f>
        <v>February</v>
      </c>
      <c r="J71" s="2">
        <f>YEAR(Sheet1[[#This Row],[claim_date]])</f>
        <v>2024</v>
      </c>
      <c r="K71" s="2" t="str">
        <f>"Q"&amp;ROUNDUP(MONTH(Sheet1[[#This Row],[claim_date]])/3,0)</f>
        <v>Q1</v>
      </c>
      <c r="L71" s="2" t="str">
        <f>IF(Sheet1[[#This Row],[claim_amount]]&lt;100000,"Low",IF(Sheet1[[#This Row],[claim_amount]]&lt;200000,"Medium","High"))</f>
        <v>Medium</v>
      </c>
      <c r="M71" s="2" t="str">
        <f>IF(Sheet1[[#This Row],[days_to_process]]&lt;=30,"Fast","Slow")</f>
        <v>Slow</v>
      </c>
    </row>
    <row r="72" spans="1:13" x14ac:dyDescent="0.3">
      <c r="A72" t="s">
        <v>160</v>
      </c>
      <c r="B72" s="2" t="s">
        <v>161</v>
      </c>
      <c r="C72" s="1">
        <v>45459</v>
      </c>
      <c r="D72" s="35">
        <v>88266.82</v>
      </c>
      <c r="E72" s="2" t="s">
        <v>15</v>
      </c>
      <c r="F72" s="2" t="s">
        <v>16</v>
      </c>
      <c r="G72" s="2" t="s">
        <v>12</v>
      </c>
      <c r="H72">
        <v>12</v>
      </c>
      <c r="I72" s="2" t="str">
        <f>TEXT(Sheet1[[#This Row],[claim_date]],"mmmm")</f>
        <v>June</v>
      </c>
      <c r="J72" s="2">
        <f>YEAR(Sheet1[[#This Row],[claim_date]])</f>
        <v>2024</v>
      </c>
      <c r="K72" s="2" t="str">
        <f>"Q"&amp;ROUNDUP(MONTH(Sheet1[[#This Row],[claim_date]])/3,0)</f>
        <v>Q2</v>
      </c>
      <c r="L72" s="2" t="str">
        <f>IF(Sheet1[[#This Row],[claim_amount]]&lt;100000,"Low",IF(Sheet1[[#This Row],[claim_amount]]&lt;200000,"Medium","High"))</f>
        <v>Low</v>
      </c>
      <c r="M72" s="2" t="str">
        <f>IF(Sheet1[[#This Row],[days_to_process]]&lt;=30,"Fast","Slow")</f>
        <v>Fast</v>
      </c>
    </row>
    <row r="73" spans="1:13" x14ac:dyDescent="0.3">
      <c r="A73" t="s">
        <v>162</v>
      </c>
      <c r="B73" s="2" t="s">
        <v>163</v>
      </c>
      <c r="C73" s="1">
        <v>45458</v>
      </c>
      <c r="D73" s="35">
        <v>16861.39</v>
      </c>
      <c r="E73" s="2" t="s">
        <v>10</v>
      </c>
      <c r="F73" s="2" t="s">
        <v>11</v>
      </c>
      <c r="G73" s="2" t="s">
        <v>12</v>
      </c>
      <c r="H73">
        <v>19</v>
      </c>
      <c r="I73" s="2" t="str">
        <f>TEXT(Sheet1[[#This Row],[claim_date]],"mmmm")</f>
        <v>June</v>
      </c>
      <c r="J73" s="2">
        <f>YEAR(Sheet1[[#This Row],[claim_date]])</f>
        <v>2024</v>
      </c>
      <c r="K73" s="2" t="str">
        <f>"Q"&amp;ROUNDUP(MONTH(Sheet1[[#This Row],[claim_date]])/3,0)</f>
        <v>Q2</v>
      </c>
      <c r="L73" s="2" t="str">
        <f>IF(Sheet1[[#This Row],[claim_amount]]&lt;100000,"Low",IF(Sheet1[[#This Row],[claim_amount]]&lt;200000,"Medium","High"))</f>
        <v>Low</v>
      </c>
      <c r="M73" s="2" t="str">
        <f>IF(Sheet1[[#This Row],[days_to_process]]&lt;=30,"Fast","Slow")</f>
        <v>Fast</v>
      </c>
    </row>
    <row r="74" spans="1:13" x14ac:dyDescent="0.3">
      <c r="A74" t="s">
        <v>164</v>
      </c>
      <c r="B74" s="2" t="s">
        <v>165</v>
      </c>
      <c r="C74" s="1">
        <v>45527</v>
      </c>
      <c r="D74" s="35">
        <v>309197.71000000002</v>
      </c>
      <c r="E74" s="2" t="s">
        <v>19</v>
      </c>
      <c r="F74" s="2" t="s">
        <v>23</v>
      </c>
      <c r="G74" s="2" t="s">
        <v>12</v>
      </c>
      <c r="H74">
        <v>4</v>
      </c>
      <c r="I74" s="2" t="str">
        <f>TEXT(Sheet1[[#This Row],[claim_date]],"mmmm")</f>
        <v>August</v>
      </c>
      <c r="J74" s="2">
        <f>YEAR(Sheet1[[#This Row],[claim_date]])</f>
        <v>2024</v>
      </c>
      <c r="K74" s="2" t="str">
        <f>"Q"&amp;ROUNDUP(MONTH(Sheet1[[#This Row],[claim_date]])/3,0)</f>
        <v>Q3</v>
      </c>
      <c r="L74" s="2" t="str">
        <f>IF(Sheet1[[#This Row],[claim_amount]]&lt;100000,"Low",IF(Sheet1[[#This Row],[claim_amount]]&lt;200000,"Medium","High"))</f>
        <v>High</v>
      </c>
      <c r="M74" s="2" t="str">
        <f>IF(Sheet1[[#This Row],[days_to_process]]&lt;=30,"Fast","Slow")</f>
        <v>Fast</v>
      </c>
    </row>
    <row r="75" spans="1:13" x14ac:dyDescent="0.3">
      <c r="A75" t="s">
        <v>166</v>
      </c>
      <c r="B75" s="2" t="s">
        <v>167</v>
      </c>
      <c r="C75" s="1">
        <v>45545</v>
      </c>
      <c r="D75" s="35">
        <v>50005.2</v>
      </c>
      <c r="E75" s="2" t="s">
        <v>10</v>
      </c>
      <c r="F75" s="2" t="s">
        <v>34</v>
      </c>
      <c r="G75" s="2" t="s">
        <v>12</v>
      </c>
      <c r="H75">
        <v>42</v>
      </c>
      <c r="I75" s="2" t="str">
        <f>TEXT(Sheet1[[#This Row],[claim_date]],"mmmm")</f>
        <v>September</v>
      </c>
      <c r="J75" s="2">
        <f>YEAR(Sheet1[[#This Row],[claim_date]])</f>
        <v>2024</v>
      </c>
      <c r="K75" s="2" t="str">
        <f>"Q"&amp;ROUNDUP(MONTH(Sheet1[[#This Row],[claim_date]])/3,0)</f>
        <v>Q3</v>
      </c>
      <c r="L75" s="2" t="str">
        <f>IF(Sheet1[[#This Row],[claim_amount]]&lt;100000,"Low",IF(Sheet1[[#This Row],[claim_amount]]&lt;200000,"Medium","High"))</f>
        <v>Low</v>
      </c>
      <c r="M75" s="2" t="str">
        <f>IF(Sheet1[[#This Row],[days_to_process]]&lt;=30,"Fast","Slow")</f>
        <v>Slow</v>
      </c>
    </row>
    <row r="76" spans="1:13" x14ac:dyDescent="0.3">
      <c r="A76" t="s">
        <v>168</v>
      </c>
      <c r="B76" s="2" t="s">
        <v>169</v>
      </c>
      <c r="C76" s="1">
        <v>45157</v>
      </c>
      <c r="D76" s="35">
        <v>26489.24</v>
      </c>
      <c r="E76" s="2" t="s">
        <v>15</v>
      </c>
      <c r="F76" s="2" t="s">
        <v>23</v>
      </c>
      <c r="G76" s="2" t="s">
        <v>24</v>
      </c>
      <c r="H76">
        <v>32</v>
      </c>
      <c r="I76" s="2" t="str">
        <f>TEXT(Sheet1[[#This Row],[claim_date]],"mmmm")</f>
        <v>August</v>
      </c>
      <c r="J76" s="2">
        <f>YEAR(Sheet1[[#This Row],[claim_date]])</f>
        <v>2023</v>
      </c>
      <c r="K76" s="2" t="str">
        <f>"Q"&amp;ROUNDUP(MONTH(Sheet1[[#This Row],[claim_date]])/3,0)</f>
        <v>Q3</v>
      </c>
      <c r="L76" s="2" t="str">
        <f>IF(Sheet1[[#This Row],[claim_amount]]&lt;100000,"Low",IF(Sheet1[[#This Row],[claim_amount]]&lt;200000,"Medium","High"))</f>
        <v>Low</v>
      </c>
      <c r="M76" s="2" t="str">
        <f>IF(Sheet1[[#This Row],[days_to_process]]&lt;=30,"Fast","Slow")</f>
        <v>Slow</v>
      </c>
    </row>
    <row r="77" spans="1:13" x14ac:dyDescent="0.3">
      <c r="A77" t="s">
        <v>170</v>
      </c>
      <c r="B77" s="2" t="s">
        <v>171</v>
      </c>
      <c r="C77" s="1">
        <v>45210</v>
      </c>
      <c r="D77" s="35">
        <v>336815.69</v>
      </c>
      <c r="E77" s="2" t="s">
        <v>19</v>
      </c>
      <c r="F77" s="2" t="s">
        <v>20</v>
      </c>
      <c r="G77" s="2" t="s">
        <v>24</v>
      </c>
      <c r="H77">
        <v>32</v>
      </c>
      <c r="I77" s="2" t="str">
        <f>TEXT(Sheet1[[#This Row],[claim_date]],"mmmm")</f>
        <v>October</v>
      </c>
      <c r="J77" s="2">
        <f>YEAR(Sheet1[[#This Row],[claim_date]])</f>
        <v>2023</v>
      </c>
      <c r="K77" s="2" t="str">
        <f>"Q"&amp;ROUNDUP(MONTH(Sheet1[[#This Row],[claim_date]])/3,0)</f>
        <v>Q4</v>
      </c>
      <c r="L77" s="2" t="str">
        <f>IF(Sheet1[[#This Row],[claim_amount]]&lt;100000,"Low",IF(Sheet1[[#This Row],[claim_amount]]&lt;200000,"Medium","High"))</f>
        <v>High</v>
      </c>
      <c r="M77" s="2" t="str">
        <f>IF(Sheet1[[#This Row],[days_to_process]]&lt;=30,"Fast","Slow")</f>
        <v>Slow</v>
      </c>
    </row>
    <row r="78" spans="1:13" x14ac:dyDescent="0.3">
      <c r="A78" t="s">
        <v>172</v>
      </c>
      <c r="B78" s="2" t="s">
        <v>173</v>
      </c>
      <c r="C78" s="1">
        <v>45562</v>
      </c>
      <c r="D78" s="35">
        <v>453099.96</v>
      </c>
      <c r="E78" s="2" t="s">
        <v>10</v>
      </c>
      <c r="F78" s="2" t="s">
        <v>23</v>
      </c>
      <c r="G78" s="2" t="s">
        <v>12</v>
      </c>
      <c r="H78">
        <v>21</v>
      </c>
      <c r="I78" s="2" t="str">
        <f>TEXT(Sheet1[[#This Row],[claim_date]],"mmmm")</f>
        <v>September</v>
      </c>
      <c r="J78" s="2">
        <f>YEAR(Sheet1[[#This Row],[claim_date]])</f>
        <v>2024</v>
      </c>
      <c r="K78" s="2" t="str">
        <f>"Q"&amp;ROUNDUP(MONTH(Sheet1[[#This Row],[claim_date]])/3,0)</f>
        <v>Q3</v>
      </c>
      <c r="L78" s="2" t="str">
        <f>IF(Sheet1[[#This Row],[claim_amount]]&lt;100000,"Low",IF(Sheet1[[#This Row],[claim_amount]]&lt;200000,"Medium","High"))</f>
        <v>High</v>
      </c>
      <c r="M78" s="2" t="str">
        <f>IF(Sheet1[[#This Row],[days_to_process]]&lt;=30,"Fast","Slow")</f>
        <v>Fast</v>
      </c>
    </row>
    <row r="79" spans="1:13" x14ac:dyDescent="0.3">
      <c r="A79" t="s">
        <v>174</v>
      </c>
      <c r="B79" s="2" t="s">
        <v>175</v>
      </c>
      <c r="C79" s="1">
        <v>45262</v>
      </c>
      <c r="D79" s="35">
        <v>133918.39999999999</v>
      </c>
      <c r="E79" s="2" t="s">
        <v>10</v>
      </c>
      <c r="F79" s="2" t="s">
        <v>16</v>
      </c>
      <c r="G79" s="2" t="s">
        <v>12</v>
      </c>
      <c r="H79">
        <v>18</v>
      </c>
      <c r="I79" s="2" t="str">
        <f>TEXT(Sheet1[[#This Row],[claim_date]],"mmmm")</f>
        <v>December</v>
      </c>
      <c r="J79" s="2">
        <f>YEAR(Sheet1[[#This Row],[claim_date]])</f>
        <v>2023</v>
      </c>
      <c r="K79" s="2" t="str">
        <f>"Q"&amp;ROUNDUP(MONTH(Sheet1[[#This Row],[claim_date]])/3,0)</f>
        <v>Q4</v>
      </c>
      <c r="L79" s="2" t="str">
        <f>IF(Sheet1[[#This Row],[claim_amount]]&lt;100000,"Low",IF(Sheet1[[#This Row],[claim_amount]]&lt;200000,"Medium","High"))</f>
        <v>Medium</v>
      </c>
      <c r="M79" s="2" t="str">
        <f>IF(Sheet1[[#This Row],[days_to_process]]&lt;=30,"Fast","Slow")</f>
        <v>Fast</v>
      </c>
    </row>
    <row r="80" spans="1:13" x14ac:dyDescent="0.3">
      <c r="A80" t="s">
        <v>176</v>
      </c>
      <c r="B80" s="2" t="s">
        <v>177</v>
      </c>
      <c r="C80" s="1">
        <v>45541</v>
      </c>
      <c r="D80" s="35">
        <v>121826.81</v>
      </c>
      <c r="E80" s="2" t="s">
        <v>10</v>
      </c>
      <c r="F80" s="2" t="s">
        <v>34</v>
      </c>
      <c r="G80" s="2" t="s">
        <v>12</v>
      </c>
      <c r="H80">
        <v>25</v>
      </c>
      <c r="I80" s="2" t="str">
        <f>TEXT(Sheet1[[#This Row],[claim_date]],"mmmm")</f>
        <v>September</v>
      </c>
      <c r="J80" s="2">
        <f>YEAR(Sheet1[[#This Row],[claim_date]])</f>
        <v>2024</v>
      </c>
      <c r="K80" s="2" t="str">
        <f>"Q"&amp;ROUNDUP(MONTH(Sheet1[[#This Row],[claim_date]])/3,0)</f>
        <v>Q3</v>
      </c>
      <c r="L80" s="2" t="str">
        <f>IF(Sheet1[[#This Row],[claim_amount]]&lt;100000,"Low",IF(Sheet1[[#This Row],[claim_amount]]&lt;200000,"Medium","High"))</f>
        <v>Medium</v>
      </c>
      <c r="M80" s="2" t="str">
        <f>IF(Sheet1[[#This Row],[days_to_process]]&lt;=30,"Fast","Slow")</f>
        <v>Fast</v>
      </c>
    </row>
    <row r="81" spans="1:13" x14ac:dyDescent="0.3">
      <c r="A81" t="s">
        <v>178</v>
      </c>
      <c r="B81" s="2" t="s">
        <v>179</v>
      </c>
      <c r="C81" s="1">
        <v>45251</v>
      </c>
      <c r="D81" s="35">
        <v>239290.7</v>
      </c>
      <c r="E81" s="2" t="s">
        <v>10</v>
      </c>
      <c r="F81" s="2" t="s">
        <v>23</v>
      </c>
      <c r="G81" s="2" t="s">
        <v>12</v>
      </c>
      <c r="H81">
        <v>57</v>
      </c>
      <c r="I81" s="2" t="str">
        <f>TEXT(Sheet1[[#This Row],[claim_date]],"mmmm")</f>
        <v>November</v>
      </c>
      <c r="J81" s="2">
        <f>YEAR(Sheet1[[#This Row],[claim_date]])</f>
        <v>2023</v>
      </c>
      <c r="K81" s="2" t="str">
        <f>"Q"&amp;ROUNDUP(MONTH(Sheet1[[#This Row],[claim_date]])/3,0)</f>
        <v>Q4</v>
      </c>
      <c r="L81" s="2" t="str">
        <f>IF(Sheet1[[#This Row],[claim_amount]]&lt;100000,"Low",IF(Sheet1[[#This Row],[claim_amount]]&lt;200000,"Medium","High"))</f>
        <v>High</v>
      </c>
      <c r="M81" s="2" t="str">
        <f>IF(Sheet1[[#This Row],[days_to_process]]&lt;=30,"Fast","Slow")</f>
        <v>Slow</v>
      </c>
    </row>
    <row r="82" spans="1:13" x14ac:dyDescent="0.3">
      <c r="A82" t="s">
        <v>180</v>
      </c>
      <c r="B82" s="2" t="s">
        <v>181</v>
      </c>
      <c r="C82" s="1">
        <v>45344</v>
      </c>
      <c r="D82" s="35">
        <v>39974.79</v>
      </c>
      <c r="E82" s="2" t="s">
        <v>15</v>
      </c>
      <c r="F82" s="2" t="s">
        <v>11</v>
      </c>
      <c r="G82" s="2" t="s">
        <v>12</v>
      </c>
      <c r="H82">
        <v>31</v>
      </c>
      <c r="I82" s="2" t="str">
        <f>TEXT(Sheet1[[#This Row],[claim_date]],"mmmm")</f>
        <v>February</v>
      </c>
      <c r="J82" s="2">
        <f>YEAR(Sheet1[[#This Row],[claim_date]])</f>
        <v>2024</v>
      </c>
      <c r="K82" s="2" t="str">
        <f>"Q"&amp;ROUNDUP(MONTH(Sheet1[[#This Row],[claim_date]])/3,0)</f>
        <v>Q1</v>
      </c>
      <c r="L82" s="2" t="str">
        <f>IF(Sheet1[[#This Row],[claim_amount]]&lt;100000,"Low",IF(Sheet1[[#This Row],[claim_amount]]&lt;200000,"Medium","High"))</f>
        <v>Low</v>
      </c>
      <c r="M82" s="2" t="str">
        <f>IF(Sheet1[[#This Row],[days_to_process]]&lt;=30,"Fast","Slow")</f>
        <v>Slow</v>
      </c>
    </row>
    <row r="83" spans="1:13" x14ac:dyDescent="0.3">
      <c r="A83" t="s">
        <v>182</v>
      </c>
      <c r="B83" s="2" t="s">
        <v>183</v>
      </c>
      <c r="C83" s="1">
        <v>45594</v>
      </c>
      <c r="D83" s="35">
        <v>40452.32</v>
      </c>
      <c r="E83" s="2" t="s">
        <v>10</v>
      </c>
      <c r="F83" s="2" t="s">
        <v>23</v>
      </c>
      <c r="G83" s="2" t="s">
        <v>24</v>
      </c>
      <c r="H83">
        <v>36</v>
      </c>
      <c r="I83" s="2" t="str">
        <f>TEXT(Sheet1[[#This Row],[claim_date]],"mmmm")</f>
        <v>October</v>
      </c>
      <c r="J83" s="2">
        <f>YEAR(Sheet1[[#This Row],[claim_date]])</f>
        <v>2024</v>
      </c>
      <c r="K83" s="2" t="str">
        <f>"Q"&amp;ROUNDUP(MONTH(Sheet1[[#This Row],[claim_date]])/3,0)</f>
        <v>Q4</v>
      </c>
      <c r="L83" s="2" t="str">
        <f>IF(Sheet1[[#This Row],[claim_amount]]&lt;100000,"Low",IF(Sheet1[[#This Row],[claim_amount]]&lt;200000,"Medium","High"))</f>
        <v>Low</v>
      </c>
      <c r="M83" s="2" t="str">
        <f>IF(Sheet1[[#This Row],[days_to_process]]&lt;=30,"Fast","Slow")</f>
        <v>Slow</v>
      </c>
    </row>
    <row r="84" spans="1:13" x14ac:dyDescent="0.3">
      <c r="A84" t="s">
        <v>184</v>
      </c>
      <c r="B84" s="2" t="s">
        <v>185</v>
      </c>
      <c r="C84" s="1">
        <v>45175</v>
      </c>
      <c r="D84" s="35">
        <v>263130.25</v>
      </c>
      <c r="E84" s="2" t="s">
        <v>19</v>
      </c>
      <c r="F84" s="2" t="s">
        <v>11</v>
      </c>
      <c r="G84" s="2" t="s">
        <v>12</v>
      </c>
      <c r="H84">
        <v>43</v>
      </c>
      <c r="I84" s="2" t="str">
        <f>TEXT(Sheet1[[#This Row],[claim_date]],"mmmm")</f>
        <v>September</v>
      </c>
      <c r="J84" s="2">
        <f>YEAR(Sheet1[[#This Row],[claim_date]])</f>
        <v>2023</v>
      </c>
      <c r="K84" s="2" t="str">
        <f>"Q"&amp;ROUNDUP(MONTH(Sheet1[[#This Row],[claim_date]])/3,0)</f>
        <v>Q3</v>
      </c>
      <c r="L84" s="2" t="str">
        <f>IF(Sheet1[[#This Row],[claim_amount]]&lt;100000,"Low",IF(Sheet1[[#This Row],[claim_amount]]&lt;200000,"Medium","High"))</f>
        <v>High</v>
      </c>
      <c r="M84" s="2" t="str">
        <f>IF(Sheet1[[#This Row],[days_to_process]]&lt;=30,"Fast","Slow")</f>
        <v>Slow</v>
      </c>
    </row>
    <row r="85" spans="1:13" x14ac:dyDescent="0.3">
      <c r="A85" t="s">
        <v>186</v>
      </c>
      <c r="B85" s="2" t="s">
        <v>179</v>
      </c>
      <c r="C85" s="1">
        <v>45313</v>
      </c>
      <c r="D85" s="35">
        <v>29898.86</v>
      </c>
      <c r="E85" s="2" t="s">
        <v>15</v>
      </c>
      <c r="F85" s="2" t="s">
        <v>16</v>
      </c>
      <c r="G85" s="2" t="s">
        <v>12</v>
      </c>
      <c r="H85">
        <v>8</v>
      </c>
      <c r="I85" s="2" t="str">
        <f>TEXT(Sheet1[[#This Row],[claim_date]],"mmmm")</f>
        <v>January</v>
      </c>
      <c r="J85" s="2">
        <f>YEAR(Sheet1[[#This Row],[claim_date]])</f>
        <v>2024</v>
      </c>
      <c r="K85" s="2" t="str">
        <f>"Q"&amp;ROUNDUP(MONTH(Sheet1[[#This Row],[claim_date]])/3,0)</f>
        <v>Q1</v>
      </c>
      <c r="L85" s="2" t="str">
        <f>IF(Sheet1[[#This Row],[claim_amount]]&lt;100000,"Low",IF(Sheet1[[#This Row],[claim_amount]]&lt;200000,"Medium","High"))</f>
        <v>Low</v>
      </c>
      <c r="M85" s="2" t="str">
        <f>IF(Sheet1[[#This Row],[days_to_process]]&lt;=30,"Fast","Slow")</f>
        <v>Fast</v>
      </c>
    </row>
    <row r="86" spans="1:13" x14ac:dyDescent="0.3">
      <c r="A86" t="s">
        <v>187</v>
      </c>
      <c r="B86" s="2" t="s">
        <v>188</v>
      </c>
      <c r="C86" s="1">
        <v>44662</v>
      </c>
      <c r="D86" s="35">
        <v>259993.08</v>
      </c>
      <c r="E86" s="2" t="s">
        <v>10</v>
      </c>
      <c r="F86" s="2" t="s">
        <v>23</v>
      </c>
      <c r="G86" s="2" t="s">
        <v>24</v>
      </c>
      <c r="H86">
        <v>10</v>
      </c>
      <c r="I86" s="2" t="str">
        <f>TEXT(Sheet1[[#This Row],[claim_date]],"mmmm")</f>
        <v>April</v>
      </c>
      <c r="J86" s="2">
        <f>YEAR(Sheet1[[#This Row],[claim_date]])</f>
        <v>2022</v>
      </c>
      <c r="K86" s="2" t="str">
        <f>"Q"&amp;ROUNDUP(MONTH(Sheet1[[#This Row],[claim_date]])/3,0)</f>
        <v>Q2</v>
      </c>
      <c r="L86" s="2" t="str">
        <f>IF(Sheet1[[#This Row],[claim_amount]]&lt;100000,"Low",IF(Sheet1[[#This Row],[claim_amount]]&lt;200000,"Medium","High"))</f>
        <v>High</v>
      </c>
      <c r="M86" s="2" t="str">
        <f>IF(Sheet1[[#This Row],[days_to_process]]&lt;=30,"Fast","Slow")</f>
        <v>Fast</v>
      </c>
    </row>
    <row r="87" spans="1:13" x14ac:dyDescent="0.3">
      <c r="A87" t="s">
        <v>189</v>
      </c>
      <c r="B87" s="2" t="s">
        <v>190</v>
      </c>
      <c r="C87" s="1">
        <v>44834</v>
      </c>
      <c r="D87" s="35">
        <v>282324.3</v>
      </c>
      <c r="E87" s="2" t="s">
        <v>10</v>
      </c>
      <c r="F87" s="2" t="s">
        <v>11</v>
      </c>
      <c r="G87" s="2" t="s">
        <v>12</v>
      </c>
      <c r="H87">
        <v>16</v>
      </c>
      <c r="I87" s="2" t="str">
        <f>TEXT(Sheet1[[#This Row],[claim_date]],"mmmm")</f>
        <v>September</v>
      </c>
      <c r="J87" s="2">
        <f>YEAR(Sheet1[[#This Row],[claim_date]])</f>
        <v>2022</v>
      </c>
      <c r="K87" s="2" t="str">
        <f>"Q"&amp;ROUNDUP(MONTH(Sheet1[[#This Row],[claim_date]])/3,0)</f>
        <v>Q3</v>
      </c>
      <c r="L87" s="2" t="str">
        <f>IF(Sheet1[[#This Row],[claim_amount]]&lt;100000,"Low",IF(Sheet1[[#This Row],[claim_amount]]&lt;200000,"Medium","High"))</f>
        <v>High</v>
      </c>
      <c r="M87" s="2" t="str">
        <f>IF(Sheet1[[#This Row],[days_to_process]]&lt;=30,"Fast","Slow")</f>
        <v>Fast</v>
      </c>
    </row>
    <row r="88" spans="1:13" x14ac:dyDescent="0.3">
      <c r="A88" t="s">
        <v>191</v>
      </c>
      <c r="B88" s="2" t="s">
        <v>192</v>
      </c>
      <c r="C88" s="1">
        <v>44565</v>
      </c>
      <c r="D88" s="35">
        <v>415196.39</v>
      </c>
      <c r="E88" s="2" t="s">
        <v>15</v>
      </c>
      <c r="F88" s="2" t="s">
        <v>20</v>
      </c>
      <c r="G88" s="2" t="s">
        <v>12</v>
      </c>
      <c r="H88">
        <v>29</v>
      </c>
      <c r="I88" s="2" t="str">
        <f>TEXT(Sheet1[[#This Row],[claim_date]],"mmmm")</f>
        <v>January</v>
      </c>
      <c r="J88" s="2">
        <f>YEAR(Sheet1[[#This Row],[claim_date]])</f>
        <v>2022</v>
      </c>
      <c r="K88" s="2" t="str">
        <f>"Q"&amp;ROUNDUP(MONTH(Sheet1[[#This Row],[claim_date]])/3,0)</f>
        <v>Q1</v>
      </c>
      <c r="L88" s="2" t="str">
        <f>IF(Sheet1[[#This Row],[claim_amount]]&lt;100000,"Low",IF(Sheet1[[#This Row],[claim_amount]]&lt;200000,"Medium","High"))</f>
        <v>High</v>
      </c>
      <c r="M88" s="2" t="str">
        <f>IF(Sheet1[[#This Row],[days_to_process]]&lt;=30,"Fast","Slow")</f>
        <v>Fast</v>
      </c>
    </row>
    <row r="89" spans="1:13" x14ac:dyDescent="0.3">
      <c r="A89" t="s">
        <v>193</v>
      </c>
      <c r="B89" s="2" t="s">
        <v>194</v>
      </c>
      <c r="C89" s="1">
        <v>45276</v>
      </c>
      <c r="D89" s="35">
        <v>362825.55</v>
      </c>
      <c r="E89" s="2" t="s">
        <v>19</v>
      </c>
      <c r="F89" s="2" t="s">
        <v>20</v>
      </c>
      <c r="G89" s="2" t="s">
        <v>24</v>
      </c>
      <c r="H89">
        <v>6</v>
      </c>
      <c r="I89" s="2" t="str">
        <f>TEXT(Sheet1[[#This Row],[claim_date]],"mmmm")</f>
        <v>December</v>
      </c>
      <c r="J89" s="2">
        <f>YEAR(Sheet1[[#This Row],[claim_date]])</f>
        <v>2023</v>
      </c>
      <c r="K89" s="2" t="str">
        <f>"Q"&amp;ROUNDUP(MONTH(Sheet1[[#This Row],[claim_date]])/3,0)</f>
        <v>Q4</v>
      </c>
      <c r="L89" s="2" t="str">
        <f>IF(Sheet1[[#This Row],[claim_amount]]&lt;100000,"Low",IF(Sheet1[[#This Row],[claim_amount]]&lt;200000,"Medium","High"))</f>
        <v>High</v>
      </c>
      <c r="M89" s="2" t="str">
        <f>IF(Sheet1[[#This Row],[days_to_process]]&lt;=30,"Fast","Slow")</f>
        <v>Fast</v>
      </c>
    </row>
    <row r="90" spans="1:13" x14ac:dyDescent="0.3">
      <c r="A90" t="s">
        <v>195</v>
      </c>
      <c r="B90" s="2" t="s">
        <v>196</v>
      </c>
      <c r="C90" s="1">
        <v>45739</v>
      </c>
      <c r="D90" s="35">
        <v>109215.32</v>
      </c>
      <c r="E90" s="2" t="s">
        <v>10</v>
      </c>
      <c r="F90" s="2" t="s">
        <v>23</v>
      </c>
      <c r="G90" s="2" t="s">
        <v>24</v>
      </c>
      <c r="H90">
        <v>46</v>
      </c>
      <c r="I90" s="2" t="str">
        <f>TEXT(Sheet1[[#This Row],[claim_date]],"mmmm")</f>
        <v>March</v>
      </c>
      <c r="J90" s="2">
        <f>YEAR(Sheet1[[#This Row],[claim_date]])</f>
        <v>2025</v>
      </c>
      <c r="K90" s="2" t="str">
        <f>"Q"&amp;ROUNDUP(MONTH(Sheet1[[#This Row],[claim_date]])/3,0)</f>
        <v>Q1</v>
      </c>
      <c r="L90" s="2" t="str">
        <f>IF(Sheet1[[#This Row],[claim_amount]]&lt;100000,"Low",IF(Sheet1[[#This Row],[claim_amount]]&lt;200000,"Medium","High"))</f>
        <v>Medium</v>
      </c>
      <c r="M90" s="2" t="str">
        <f>IF(Sheet1[[#This Row],[days_to_process]]&lt;=30,"Fast","Slow")</f>
        <v>Slow</v>
      </c>
    </row>
    <row r="91" spans="1:13" x14ac:dyDescent="0.3">
      <c r="A91" t="s">
        <v>197</v>
      </c>
      <c r="B91" s="2" t="s">
        <v>198</v>
      </c>
      <c r="C91" s="1">
        <v>45475</v>
      </c>
      <c r="D91" s="35">
        <v>426039.67</v>
      </c>
      <c r="E91" s="2" t="s">
        <v>15</v>
      </c>
      <c r="F91" s="2" t="s">
        <v>20</v>
      </c>
      <c r="G91" s="2" t="s">
        <v>24</v>
      </c>
      <c r="H91">
        <v>55</v>
      </c>
      <c r="I91" s="2" t="str">
        <f>TEXT(Sheet1[[#This Row],[claim_date]],"mmmm")</f>
        <v>July</v>
      </c>
      <c r="J91" s="2">
        <f>YEAR(Sheet1[[#This Row],[claim_date]])</f>
        <v>2024</v>
      </c>
      <c r="K91" s="2" t="str">
        <f>"Q"&amp;ROUNDUP(MONTH(Sheet1[[#This Row],[claim_date]])/3,0)</f>
        <v>Q3</v>
      </c>
      <c r="L91" s="2" t="str">
        <f>IF(Sheet1[[#This Row],[claim_amount]]&lt;100000,"Low",IF(Sheet1[[#This Row],[claim_amount]]&lt;200000,"Medium","High"))</f>
        <v>High</v>
      </c>
      <c r="M91" s="2" t="str">
        <f>IF(Sheet1[[#This Row],[days_to_process]]&lt;=30,"Fast","Slow")</f>
        <v>Slow</v>
      </c>
    </row>
    <row r="92" spans="1:13" x14ac:dyDescent="0.3">
      <c r="A92" t="s">
        <v>199</v>
      </c>
      <c r="B92" s="2" t="s">
        <v>119</v>
      </c>
      <c r="C92" s="1">
        <v>45801</v>
      </c>
      <c r="D92" s="35">
        <v>102228.31</v>
      </c>
      <c r="E92" s="2" t="s">
        <v>19</v>
      </c>
      <c r="F92" s="2" t="s">
        <v>23</v>
      </c>
      <c r="G92" s="2" t="s">
        <v>12</v>
      </c>
      <c r="H92">
        <v>9</v>
      </c>
      <c r="I92" s="2" t="str">
        <f>TEXT(Sheet1[[#This Row],[claim_date]],"mmmm")</f>
        <v>May</v>
      </c>
      <c r="J92" s="2">
        <f>YEAR(Sheet1[[#This Row],[claim_date]])</f>
        <v>2025</v>
      </c>
      <c r="K92" s="2" t="str">
        <f>"Q"&amp;ROUNDUP(MONTH(Sheet1[[#This Row],[claim_date]])/3,0)</f>
        <v>Q2</v>
      </c>
      <c r="L92" s="2" t="str">
        <f>IF(Sheet1[[#This Row],[claim_amount]]&lt;100000,"Low",IF(Sheet1[[#This Row],[claim_amount]]&lt;200000,"Medium","High"))</f>
        <v>Medium</v>
      </c>
      <c r="M92" s="2" t="str">
        <f>IF(Sheet1[[#This Row],[days_to_process]]&lt;=30,"Fast","Slow")</f>
        <v>Fast</v>
      </c>
    </row>
    <row r="93" spans="1:13" x14ac:dyDescent="0.3">
      <c r="A93" t="s">
        <v>200</v>
      </c>
      <c r="B93" s="2" t="s">
        <v>201</v>
      </c>
      <c r="C93" s="1">
        <v>44404</v>
      </c>
      <c r="D93" s="35">
        <v>164633.69</v>
      </c>
      <c r="E93" s="2" t="s">
        <v>10</v>
      </c>
      <c r="F93" s="2" t="s">
        <v>23</v>
      </c>
      <c r="G93" s="2" t="s">
        <v>12</v>
      </c>
      <c r="H93">
        <v>28</v>
      </c>
      <c r="I93" s="2" t="str">
        <f>TEXT(Sheet1[[#This Row],[claim_date]],"mmmm")</f>
        <v>July</v>
      </c>
      <c r="J93" s="2">
        <f>YEAR(Sheet1[[#This Row],[claim_date]])</f>
        <v>2021</v>
      </c>
      <c r="K93" s="2" t="str">
        <f>"Q"&amp;ROUNDUP(MONTH(Sheet1[[#This Row],[claim_date]])/3,0)</f>
        <v>Q3</v>
      </c>
      <c r="L93" s="2" t="str">
        <f>IF(Sheet1[[#This Row],[claim_amount]]&lt;100000,"Low",IF(Sheet1[[#This Row],[claim_amount]]&lt;200000,"Medium","High"))</f>
        <v>Medium</v>
      </c>
      <c r="M93" s="2" t="str">
        <f>IF(Sheet1[[#This Row],[days_to_process]]&lt;=30,"Fast","Slow")</f>
        <v>Fast</v>
      </c>
    </row>
    <row r="94" spans="1:13" x14ac:dyDescent="0.3">
      <c r="A94" t="s">
        <v>202</v>
      </c>
      <c r="B94" s="2" t="s">
        <v>203</v>
      </c>
      <c r="C94" s="1">
        <v>44792</v>
      </c>
      <c r="D94" s="35">
        <v>436651.52000000002</v>
      </c>
      <c r="E94" s="2" t="s">
        <v>15</v>
      </c>
      <c r="F94" s="2" t="s">
        <v>23</v>
      </c>
      <c r="G94" s="2" t="s">
        <v>24</v>
      </c>
      <c r="H94">
        <v>59</v>
      </c>
      <c r="I94" s="2" t="str">
        <f>TEXT(Sheet1[[#This Row],[claim_date]],"mmmm")</f>
        <v>August</v>
      </c>
      <c r="J94" s="2">
        <f>YEAR(Sheet1[[#This Row],[claim_date]])</f>
        <v>2022</v>
      </c>
      <c r="K94" s="2" t="str">
        <f>"Q"&amp;ROUNDUP(MONTH(Sheet1[[#This Row],[claim_date]])/3,0)</f>
        <v>Q3</v>
      </c>
      <c r="L94" s="2" t="str">
        <f>IF(Sheet1[[#This Row],[claim_amount]]&lt;100000,"Low",IF(Sheet1[[#This Row],[claim_amount]]&lt;200000,"Medium","High"))</f>
        <v>High</v>
      </c>
      <c r="M94" s="2" t="str">
        <f>IF(Sheet1[[#This Row],[days_to_process]]&lt;=30,"Fast","Slow")</f>
        <v>Slow</v>
      </c>
    </row>
    <row r="95" spans="1:13" x14ac:dyDescent="0.3">
      <c r="A95" t="s">
        <v>204</v>
      </c>
      <c r="B95" s="2" t="s">
        <v>205</v>
      </c>
      <c r="C95" s="1">
        <v>45201</v>
      </c>
      <c r="D95" s="35">
        <v>217480.8</v>
      </c>
      <c r="E95" s="2" t="s">
        <v>15</v>
      </c>
      <c r="F95" s="2" t="s">
        <v>16</v>
      </c>
      <c r="G95" s="2" t="s">
        <v>12</v>
      </c>
      <c r="H95">
        <v>30</v>
      </c>
      <c r="I95" s="2" t="str">
        <f>TEXT(Sheet1[[#This Row],[claim_date]],"mmmm")</f>
        <v>October</v>
      </c>
      <c r="J95" s="2">
        <f>YEAR(Sheet1[[#This Row],[claim_date]])</f>
        <v>2023</v>
      </c>
      <c r="K95" s="2" t="str">
        <f>"Q"&amp;ROUNDUP(MONTH(Sheet1[[#This Row],[claim_date]])/3,0)</f>
        <v>Q4</v>
      </c>
      <c r="L95" s="2" t="str">
        <f>IF(Sheet1[[#This Row],[claim_amount]]&lt;100000,"Low",IF(Sheet1[[#This Row],[claim_amount]]&lt;200000,"Medium","High"))</f>
        <v>High</v>
      </c>
      <c r="M95" s="2" t="str">
        <f>IF(Sheet1[[#This Row],[days_to_process]]&lt;=30,"Fast","Slow")</f>
        <v>Fast</v>
      </c>
    </row>
    <row r="96" spans="1:13" x14ac:dyDescent="0.3">
      <c r="A96" t="s">
        <v>206</v>
      </c>
      <c r="B96" s="2" t="s">
        <v>207</v>
      </c>
      <c r="C96" s="1">
        <v>45139</v>
      </c>
      <c r="D96" s="35">
        <v>341474.05</v>
      </c>
      <c r="E96" s="2" t="s">
        <v>19</v>
      </c>
      <c r="F96" s="2" t="s">
        <v>20</v>
      </c>
      <c r="G96" s="2" t="s">
        <v>24</v>
      </c>
      <c r="H96">
        <v>12</v>
      </c>
      <c r="I96" s="2" t="str">
        <f>TEXT(Sheet1[[#This Row],[claim_date]],"mmmm")</f>
        <v>August</v>
      </c>
      <c r="J96" s="2">
        <f>YEAR(Sheet1[[#This Row],[claim_date]])</f>
        <v>2023</v>
      </c>
      <c r="K96" s="2" t="str">
        <f>"Q"&amp;ROUNDUP(MONTH(Sheet1[[#This Row],[claim_date]])/3,0)</f>
        <v>Q3</v>
      </c>
      <c r="L96" s="2" t="str">
        <f>IF(Sheet1[[#This Row],[claim_amount]]&lt;100000,"Low",IF(Sheet1[[#This Row],[claim_amount]]&lt;200000,"Medium","High"))</f>
        <v>High</v>
      </c>
      <c r="M96" s="2" t="str">
        <f>IF(Sheet1[[#This Row],[days_to_process]]&lt;=30,"Fast","Slow")</f>
        <v>Fast</v>
      </c>
    </row>
    <row r="97" spans="1:13" x14ac:dyDescent="0.3">
      <c r="A97" t="s">
        <v>208</v>
      </c>
      <c r="B97" s="2" t="s">
        <v>209</v>
      </c>
      <c r="C97" s="1">
        <v>45207</v>
      </c>
      <c r="D97" s="35">
        <v>256398.09</v>
      </c>
      <c r="E97" s="2" t="s">
        <v>15</v>
      </c>
      <c r="F97" s="2" t="s">
        <v>34</v>
      </c>
      <c r="G97" s="2" t="s">
        <v>24</v>
      </c>
      <c r="H97">
        <v>44</v>
      </c>
      <c r="I97" s="2" t="str">
        <f>TEXT(Sheet1[[#This Row],[claim_date]],"mmmm")</f>
        <v>October</v>
      </c>
      <c r="J97" s="2">
        <f>YEAR(Sheet1[[#This Row],[claim_date]])</f>
        <v>2023</v>
      </c>
      <c r="K97" s="2" t="str">
        <f>"Q"&amp;ROUNDUP(MONTH(Sheet1[[#This Row],[claim_date]])/3,0)</f>
        <v>Q4</v>
      </c>
      <c r="L97" s="2" t="str">
        <f>IF(Sheet1[[#This Row],[claim_amount]]&lt;100000,"Low",IF(Sheet1[[#This Row],[claim_amount]]&lt;200000,"Medium","High"))</f>
        <v>High</v>
      </c>
      <c r="M97" s="2" t="str">
        <f>IF(Sheet1[[#This Row],[days_to_process]]&lt;=30,"Fast","Slow")</f>
        <v>Slow</v>
      </c>
    </row>
    <row r="98" spans="1:13" x14ac:dyDescent="0.3">
      <c r="A98" t="s">
        <v>210</v>
      </c>
      <c r="B98" s="2" t="s">
        <v>211</v>
      </c>
      <c r="C98" s="1">
        <v>44787</v>
      </c>
      <c r="D98" s="35">
        <v>10635.02</v>
      </c>
      <c r="E98" s="2" t="s">
        <v>15</v>
      </c>
      <c r="F98" s="2" t="s">
        <v>34</v>
      </c>
      <c r="G98" s="2" t="s">
        <v>12</v>
      </c>
      <c r="H98">
        <v>4</v>
      </c>
      <c r="I98" s="2" t="str">
        <f>TEXT(Sheet1[[#This Row],[claim_date]],"mmmm")</f>
        <v>August</v>
      </c>
      <c r="J98" s="2">
        <f>YEAR(Sheet1[[#This Row],[claim_date]])</f>
        <v>2022</v>
      </c>
      <c r="K98" s="2" t="str">
        <f>"Q"&amp;ROUNDUP(MONTH(Sheet1[[#This Row],[claim_date]])/3,0)</f>
        <v>Q3</v>
      </c>
      <c r="L98" s="2" t="str">
        <f>IF(Sheet1[[#This Row],[claim_amount]]&lt;100000,"Low",IF(Sheet1[[#This Row],[claim_amount]]&lt;200000,"Medium","High"))</f>
        <v>Low</v>
      </c>
      <c r="M98" s="2" t="str">
        <f>IF(Sheet1[[#This Row],[days_to_process]]&lt;=30,"Fast","Slow")</f>
        <v>Fast</v>
      </c>
    </row>
    <row r="99" spans="1:13" x14ac:dyDescent="0.3">
      <c r="A99" t="s">
        <v>212</v>
      </c>
      <c r="B99" s="2" t="s">
        <v>213</v>
      </c>
      <c r="C99" s="1">
        <v>44870</v>
      </c>
      <c r="D99" s="35">
        <v>107740.44</v>
      </c>
      <c r="E99" s="2" t="s">
        <v>10</v>
      </c>
      <c r="F99" s="2" t="s">
        <v>23</v>
      </c>
      <c r="G99" s="2" t="s">
        <v>24</v>
      </c>
      <c r="H99">
        <v>12</v>
      </c>
      <c r="I99" s="2" t="str">
        <f>TEXT(Sheet1[[#This Row],[claim_date]],"mmmm")</f>
        <v>November</v>
      </c>
      <c r="J99" s="2">
        <f>YEAR(Sheet1[[#This Row],[claim_date]])</f>
        <v>2022</v>
      </c>
      <c r="K99" s="2" t="str">
        <f>"Q"&amp;ROUNDUP(MONTH(Sheet1[[#This Row],[claim_date]])/3,0)</f>
        <v>Q4</v>
      </c>
      <c r="L99" s="2" t="str">
        <f>IF(Sheet1[[#This Row],[claim_amount]]&lt;100000,"Low",IF(Sheet1[[#This Row],[claim_amount]]&lt;200000,"Medium","High"))</f>
        <v>Medium</v>
      </c>
      <c r="M99" s="2" t="str">
        <f>IF(Sheet1[[#This Row],[days_to_process]]&lt;=30,"Fast","Slow")</f>
        <v>Fast</v>
      </c>
    </row>
    <row r="100" spans="1:13" x14ac:dyDescent="0.3">
      <c r="A100" t="s">
        <v>214</v>
      </c>
      <c r="B100" s="2" t="s">
        <v>215</v>
      </c>
      <c r="C100" s="1">
        <v>45328</v>
      </c>
      <c r="D100" s="35">
        <v>256866.78</v>
      </c>
      <c r="E100" s="2" t="s">
        <v>15</v>
      </c>
      <c r="F100" s="2" t="s">
        <v>34</v>
      </c>
      <c r="G100" s="2" t="s">
        <v>12</v>
      </c>
      <c r="H100">
        <v>16</v>
      </c>
      <c r="I100" s="2" t="str">
        <f>TEXT(Sheet1[[#This Row],[claim_date]],"mmmm")</f>
        <v>February</v>
      </c>
      <c r="J100" s="2">
        <f>YEAR(Sheet1[[#This Row],[claim_date]])</f>
        <v>2024</v>
      </c>
      <c r="K100" s="2" t="str">
        <f>"Q"&amp;ROUNDUP(MONTH(Sheet1[[#This Row],[claim_date]])/3,0)</f>
        <v>Q1</v>
      </c>
      <c r="L100" s="2" t="str">
        <f>IF(Sheet1[[#This Row],[claim_amount]]&lt;100000,"Low",IF(Sheet1[[#This Row],[claim_amount]]&lt;200000,"Medium","High"))</f>
        <v>High</v>
      </c>
      <c r="M100" s="2" t="str">
        <f>IF(Sheet1[[#This Row],[days_to_process]]&lt;=30,"Fast","Slow")</f>
        <v>Fast</v>
      </c>
    </row>
    <row r="101" spans="1:13" x14ac:dyDescent="0.3">
      <c r="A101" t="s">
        <v>216</v>
      </c>
      <c r="B101" s="2" t="s">
        <v>217</v>
      </c>
      <c r="C101" s="1">
        <v>45503</v>
      </c>
      <c r="D101" s="35">
        <v>458792.01</v>
      </c>
      <c r="E101" s="2" t="s">
        <v>10</v>
      </c>
      <c r="F101" s="2" t="s">
        <v>34</v>
      </c>
      <c r="G101" s="2" t="s">
        <v>24</v>
      </c>
      <c r="H101">
        <v>29</v>
      </c>
      <c r="I101" s="2" t="str">
        <f>TEXT(Sheet1[[#This Row],[claim_date]],"mmmm")</f>
        <v>July</v>
      </c>
      <c r="J101" s="2">
        <f>YEAR(Sheet1[[#This Row],[claim_date]])</f>
        <v>2024</v>
      </c>
      <c r="K101" s="2" t="str">
        <f>"Q"&amp;ROUNDUP(MONTH(Sheet1[[#This Row],[claim_date]])/3,0)</f>
        <v>Q3</v>
      </c>
      <c r="L101" s="2" t="str">
        <f>IF(Sheet1[[#This Row],[claim_amount]]&lt;100000,"Low",IF(Sheet1[[#This Row],[claim_amount]]&lt;200000,"Medium","High"))</f>
        <v>High</v>
      </c>
      <c r="M101" s="2" t="str">
        <f>IF(Sheet1[[#This Row],[days_to_process]]&lt;=30,"Fast","Slow")</f>
        <v>Fast</v>
      </c>
    </row>
    <row r="102" spans="1:13" x14ac:dyDescent="0.3">
      <c r="A102" t="s">
        <v>218</v>
      </c>
      <c r="B102" s="2" t="s">
        <v>219</v>
      </c>
      <c r="C102" s="1">
        <v>44592</v>
      </c>
      <c r="D102" s="35">
        <v>152733.62</v>
      </c>
      <c r="E102" s="2" t="s">
        <v>10</v>
      </c>
      <c r="F102" s="2" t="s">
        <v>16</v>
      </c>
      <c r="G102" s="2" t="s">
        <v>24</v>
      </c>
      <c r="H102">
        <v>9</v>
      </c>
      <c r="I102" s="2" t="str">
        <f>TEXT(Sheet1[[#This Row],[claim_date]],"mmmm")</f>
        <v>January</v>
      </c>
      <c r="J102" s="2">
        <f>YEAR(Sheet1[[#This Row],[claim_date]])</f>
        <v>2022</v>
      </c>
      <c r="K102" s="2" t="str">
        <f>"Q"&amp;ROUNDUP(MONTH(Sheet1[[#This Row],[claim_date]])/3,0)</f>
        <v>Q1</v>
      </c>
      <c r="L102" s="2" t="str">
        <f>IF(Sheet1[[#This Row],[claim_amount]]&lt;100000,"Low",IF(Sheet1[[#This Row],[claim_amount]]&lt;200000,"Medium","High"))</f>
        <v>Medium</v>
      </c>
      <c r="M102" s="2" t="str">
        <f>IF(Sheet1[[#This Row],[days_to_process]]&lt;=30,"Fast","Slow")</f>
        <v>Fast</v>
      </c>
    </row>
    <row r="103" spans="1:13" x14ac:dyDescent="0.3">
      <c r="A103" t="s">
        <v>220</v>
      </c>
      <c r="B103" s="2" t="s">
        <v>221</v>
      </c>
      <c r="C103" s="1">
        <v>44971</v>
      </c>
      <c r="D103" s="35">
        <v>61139.51</v>
      </c>
      <c r="E103" s="2" t="s">
        <v>10</v>
      </c>
      <c r="F103" s="2" t="s">
        <v>34</v>
      </c>
      <c r="G103" s="2" t="s">
        <v>12</v>
      </c>
      <c r="H103">
        <v>39</v>
      </c>
      <c r="I103" s="2" t="str">
        <f>TEXT(Sheet1[[#This Row],[claim_date]],"mmmm")</f>
        <v>February</v>
      </c>
      <c r="J103" s="2">
        <f>YEAR(Sheet1[[#This Row],[claim_date]])</f>
        <v>2023</v>
      </c>
      <c r="K103" s="2" t="str">
        <f>"Q"&amp;ROUNDUP(MONTH(Sheet1[[#This Row],[claim_date]])/3,0)</f>
        <v>Q1</v>
      </c>
      <c r="L103" s="2" t="str">
        <f>IF(Sheet1[[#This Row],[claim_amount]]&lt;100000,"Low",IF(Sheet1[[#This Row],[claim_amount]]&lt;200000,"Medium","High"))</f>
        <v>Low</v>
      </c>
      <c r="M103" s="2" t="str">
        <f>IF(Sheet1[[#This Row],[days_to_process]]&lt;=30,"Fast","Slow")</f>
        <v>Slow</v>
      </c>
    </row>
    <row r="104" spans="1:13" x14ac:dyDescent="0.3">
      <c r="A104" t="s">
        <v>222</v>
      </c>
      <c r="B104" s="2" t="s">
        <v>223</v>
      </c>
      <c r="C104" s="1">
        <v>45470</v>
      </c>
      <c r="D104" s="35">
        <v>476174.32</v>
      </c>
      <c r="E104" s="2" t="s">
        <v>19</v>
      </c>
      <c r="F104" s="2" t="s">
        <v>34</v>
      </c>
      <c r="G104" s="2" t="s">
        <v>12</v>
      </c>
      <c r="H104">
        <v>28</v>
      </c>
      <c r="I104" s="2" t="str">
        <f>TEXT(Sheet1[[#This Row],[claim_date]],"mmmm")</f>
        <v>June</v>
      </c>
      <c r="J104" s="2">
        <f>YEAR(Sheet1[[#This Row],[claim_date]])</f>
        <v>2024</v>
      </c>
      <c r="K104" s="2" t="str">
        <f>"Q"&amp;ROUNDUP(MONTH(Sheet1[[#This Row],[claim_date]])/3,0)</f>
        <v>Q2</v>
      </c>
      <c r="L104" s="2" t="str">
        <f>IF(Sheet1[[#This Row],[claim_amount]]&lt;100000,"Low",IF(Sheet1[[#This Row],[claim_amount]]&lt;200000,"Medium","High"))</f>
        <v>High</v>
      </c>
      <c r="M104" s="2" t="str">
        <f>IF(Sheet1[[#This Row],[days_to_process]]&lt;=30,"Fast","Slow")</f>
        <v>Fast</v>
      </c>
    </row>
    <row r="105" spans="1:13" x14ac:dyDescent="0.3">
      <c r="A105" t="s">
        <v>224</v>
      </c>
      <c r="B105" s="2" t="s">
        <v>225</v>
      </c>
      <c r="C105" s="1">
        <v>45485</v>
      </c>
      <c r="D105" s="35">
        <v>92787.13</v>
      </c>
      <c r="E105" s="2" t="s">
        <v>10</v>
      </c>
      <c r="F105" s="2" t="s">
        <v>34</v>
      </c>
      <c r="G105" s="2" t="s">
        <v>12</v>
      </c>
      <c r="H105">
        <v>28</v>
      </c>
      <c r="I105" s="2" t="str">
        <f>TEXT(Sheet1[[#This Row],[claim_date]],"mmmm")</f>
        <v>July</v>
      </c>
      <c r="J105" s="2">
        <f>YEAR(Sheet1[[#This Row],[claim_date]])</f>
        <v>2024</v>
      </c>
      <c r="K105" s="2" t="str">
        <f>"Q"&amp;ROUNDUP(MONTH(Sheet1[[#This Row],[claim_date]])/3,0)</f>
        <v>Q3</v>
      </c>
      <c r="L105" s="2" t="str">
        <f>IF(Sheet1[[#This Row],[claim_amount]]&lt;100000,"Low",IF(Sheet1[[#This Row],[claim_amount]]&lt;200000,"Medium","High"))</f>
        <v>Low</v>
      </c>
      <c r="M105" s="2" t="str">
        <f>IF(Sheet1[[#This Row],[days_to_process]]&lt;=30,"Fast","Slow")</f>
        <v>Fast</v>
      </c>
    </row>
    <row r="106" spans="1:13" x14ac:dyDescent="0.3">
      <c r="A106" t="s">
        <v>226</v>
      </c>
      <c r="B106" s="2" t="s">
        <v>227</v>
      </c>
      <c r="C106" s="1">
        <v>45369</v>
      </c>
      <c r="D106" s="35">
        <v>295545.45</v>
      </c>
      <c r="E106" s="2" t="s">
        <v>19</v>
      </c>
      <c r="F106" s="2" t="s">
        <v>20</v>
      </c>
      <c r="G106" s="2" t="s">
        <v>12</v>
      </c>
      <c r="H106">
        <v>12</v>
      </c>
      <c r="I106" s="2" t="str">
        <f>TEXT(Sheet1[[#This Row],[claim_date]],"mmmm")</f>
        <v>March</v>
      </c>
      <c r="J106" s="2">
        <f>YEAR(Sheet1[[#This Row],[claim_date]])</f>
        <v>2024</v>
      </c>
      <c r="K106" s="2" t="str">
        <f>"Q"&amp;ROUNDUP(MONTH(Sheet1[[#This Row],[claim_date]])/3,0)</f>
        <v>Q1</v>
      </c>
      <c r="L106" s="2" t="str">
        <f>IF(Sheet1[[#This Row],[claim_amount]]&lt;100000,"Low",IF(Sheet1[[#This Row],[claim_amount]]&lt;200000,"Medium","High"))</f>
        <v>High</v>
      </c>
      <c r="M106" s="2" t="str">
        <f>IF(Sheet1[[#This Row],[days_to_process]]&lt;=30,"Fast","Slow")</f>
        <v>Fast</v>
      </c>
    </row>
    <row r="107" spans="1:13" x14ac:dyDescent="0.3">
      <c r="A107" t="s">
        <v>228</v>
      </c>
      <c r="B107" s="2" t="s">
        <v>229</v>
      </c>
      <c r="C107" s="1">
        <v>45541</v>
      </c>
      <c r="D107" s="35">
        <v>306260.24</v>
      </c>
      <c r="E107" s="2" t="s">
        <v>15</v>
      </c>
      <c r="F107" s="2" t="s">
        <v>23</v>
      </c>
      <c r="G107" s="2" t="s">
        <v>12</v>
      </c>
      <c r="H107">
        <v>3</v>
      </c>
      <c r="I107" s="2" t="str">
        <f>TEXT(Sheet1[[#This Row],[claim_date]],"mmmm")</f>
        <v>September</v>
      </c>
      <c r="J107" s="2">
        <f>YEAR(Sheet1[[#This Row],[claim_date]])</f>
        <v>2024</v>
      </c>
      <c r="K107" s="2" t="str">
        <f>"Q"&amp;ROUNDUP(MONTH(Sheet1[[#This Row],[claim_date]])/3,0)</f>
        <v>Q3</v>
      </c>
      <c r="L107" s="2" t="str">
        <f>IF(Sheet1[[#This Row],[claim_amount]]&lt;100000,"Low",IF(Sheet1[[#This Row],[claim_amount]]&lt;200000,"Medium","High"))</f>
        <v>High</v>
      </c>
      <c r="M107" s="2" t="str">
        <f>IF(Sheet1[[#This Row],[days_to_process]]&lt;=30,"Fast","Slow")</f>
        <v>Fast</v>
      </c>
    </row>
    <row r="108" spans="1:13" x14ac:dyDescent="0.3">
      <c r="A108" t="s">
        <v>230</v>
      </c>
      <c r="B108" s="2" t="s">
        <v>231</v>
      </c>
      <c r="C108" s="1">
        <v>44967</v>
      </c>
      <c r="D108" s="35">
        <v>364034.51</v>
      </c>
      <c r="E108" s="2" t="s">
        <v>19</v>
      </c>
      <c r="F108" s="2" t="s">
        <v>20</v>
      </c>
      <c r="G108" s="2" t="s">
        <v>12</v>
      </c>
      <c r="H108">
        <v>28</v>
      </c>
      <c r="I108" s="2" t="str">
        <f>TEXT(Sheet1[[#This Row],[claim_date]],"mmmm")</f>
        <v>February</v>
      </c>
      <c r="J108" s="2">
        <f>YEAR(Sheet1[[#This Row],[claim_date]])</f>
        <v>2023</v>
      </c>
      <c r="K108" s="2" t="str">
        <f>"Q"&amp;ROUNDUP(MONTH(Sheet1[[#This Row],[claim_date]])/3,0)</f>
        <v>Q1</v>
      </c>
      <c r="L108" s="2" t="str">
        <f>IF(Sheet1[[#This Row],[claim_amount]]&lt;100000,"Low",IF(Sheet1[[#This Row],[claim_amount]]&lt;200000,"Medium","High"))</f>
        <v>High</v>
      </c>
      <c r="M108" s="2" t="str">
        <f>IF(Sheet1[[#This Row],[days_to_process]]&lt;=30,"Fast","Slow")</f>
        <v>Fast</v>
      </c>
    </row>
    <row r="109" spans="1:13" x14ac:dyDescent="0.3">
      <c r="A109" t="s">
        <v>232</v>
      </c>
      <c r="B109" s="2" t="s">
        <v>233</v>
      </c>
      <c r="C109" s="1">
        <v>45774</v>
      </c>
      <c r="D109" s="35">
        <v>184869.23</v>
      </c>
      <c r="E109" s="2" t="s">
        <v>10</v>
      </c>
      <c r="F109" s="2" t="s">
        <v>11</v>
      </c>
      <c r="G109" s="2" t="s">
        <v>12</v>
      </c>
      <c r="H109">
        <v>8</v>
      </c>
      <c r="I109" s="2" t="str">
        <f>TEXT(Sheet1[[#This Row],[claim_date]],"mmmm")</f>
        <v>April</v>
      </c>
      <c r="J109" s="2">
        <f>YEAR(Sheet1[[#This Row],[claim_date]])</f>
        <v>2025</v>
      </c>
      <c r="K109" s="2" t="str">
        <f>"Q"&amp;ROUNDUP(MONTH(Sheet1[[#This Row],[claim_date]])/3,0)</f>
        <v>Q2</v>
      </c>
      <c r="L109" s="2" t="str">
        <f>IF(Sheet1[[#This Row],[claim_amount]]&lt;100000,"Low",IF(Sheet1[[#This Row],[claim_amount]]&lt;200000,"Medium","High"))</f>
        <v>Medium</v>
      </c>
      <c r="M109" s="2" t="str">
        <f>IF(Sheet1[[#This Row],[days_to_process]]&lt;=30,"Fast","Slow")</f>
        <v>Fast</v>
      </c>
    </row>
    <row r="110" spans="1:13" x14ac:dyDescent="0.3">
      <c r="A110" t="s">
        <v>234</v>
      </c>
      <c r="B110" s="2" t="s">
        <v>235</v>
      </c>
      <c r="C110" s="1">
        <v>44787</v>
      </c>
      <c r="D110" s="35">
        <v>221156.11</v>
      </c>
      <c r="E110" s="2" t="s">
        <v>19</v>
      </c>
      <c r="F110" s="2" t="s">
        <v>23</v>
      </c>
      <c r="G110" s="2" t="s">
        <v>24</v>
      </c>
      <c r="H110">
        <v>23</v>
      </c>
      <c r="I110" s="2" t="str">
        <f>TEXT(Sheet1[[#This Row],[claim_date]],"mmmm")</f>
        <v>August</v>
      </c>
      <c r="J110" s="2">
        <f>YEAR(Sheet1[[#This Row],[claim_date]])</f>
        <v>2022</v>
      </c>
      <c r="K110" s="2" t="str">
        <f>"Q"&amp;ROUNDUP(MONTH(Sheet1[[#This Row],[claim_date]])/3,0)</f>
        <v>Q3</v>
      </c>
      <c r="L110" s="2" t="str">
        <f>IF(Sheet1[[#This Row],[claim_amount]]&lt;100000,"Low",IF(Sheet1[[#This Row],[claim_amount]]&lt;200000,"Medium","High"))</f>
        <v>High</v>
      </c>
      <c r="M110" s="2" t="str">
        <f>IF(Sheet1[[#This Row],[days_to_process]]&lt;=30,"Fast","Slow")</f>
        <v>Fast</v>
      </c>
    </row>
    <row r="111" spans="1:13" x14ac:dyDescent="0.3">
      <c r="A111" t="s">
        <v>236</v>
      </c>
      <c r="B111" s="2" t="s">
        <v>237</v>
      </c>
      <c r="C111" s="1">
        <v>45403</v>
      </c>
      <c r="D111" s="35">
        <v>258943.83</v>
      </c>
      <c r="E111" s="2" t="s">
        <v>15</v>
      </c>
      <c r="F111" s="2" t="s">
        <v>16</v>
      </c>
      <c r="G111" s="2" t="s">
        <v>24</v>
      </c>
      <c r="H111">
        <v>52</v>
      </c>
      <c r="I111" s="2" t="str">
        <f>TEXT(Sheet1[[#This Row],[claim_date]],"mmmm")</f>
        <v>April</v>
      </c>
      <c r="J111" s="2">
        <f>YEAR(Sheet1[[#This Row],[claim_date]])</f>
        <v>2024</v>
      </c>
      <c r="K111" s="2" t="str">
        <f>"Q"&amp;ROUNDUP(MONTH(Sheet1[[#This Row],[claim_date]])/3,0)</f>
        <v>Q2</v>
      </c>
      <c r="L111" s="2" t="str">
        <f>IF(Sheet1[[#This Row],[claim_amount]]&lt;100000,"Low",IF(Sheet1[[#This Row],[claim_amount]]&lt;200000,"Medium","High"))</f>
        <v>High</v>
      </c>
      <c r="M111" s="2" t="str">
        <f>IF(Sheet1[[#This Row],[days_to_process]]&lt;=30,"Fast","Slow")</f>
        <v>Slow</v>
      </c>
    </row>
    <row r="112" spans="1:13" x14ac:dyDescent="0.3">
      <c r="A112" t="s">
        <v>238</v>
      </c>
      <c r="B112" s="2" t="s">
        <v>239</v>
      </c>
      <c r="C112" s="1">
        <v>44115</v>
      </c>
      <c r="D112" s="35">
        <v>213356.52</v>
      </c>
      <c r="E112" s="2" t="s">
        <v>15</v>
      </c>
      <c r="F112" s="2" t="s">
        <v>20</v>
      </c>
      <c r="G112" s="2" t="s">
        <v>24</v>
      </c>
      <c r="H112">
        <v>50</v>
      </c>
      <c r="I112" s="2" t="str">
        <f>TEXT(Sheet1[[#This Row],[claim_date]],"mmmm")</f>
        <v>October</v>
      </c>
      <c r="J112" s="2">
        <f>YEAR(Sheet1[[#This Row],[claim_date]])</f>
        <v>2020</v>
      </c>
      <c r="K112" s="2" t="str">
        <f>"Q"&amp;ROUNDUP(MONTH(Sheet1[[#This Row],[claim_date]])/3,0)</f>
        <v>Q4</v>
      </c>
      <c r="L112" s="2" t="str">
        <f>IF(Sheet1[[#This Row],[claim_amount]]&lt;100000,"Low",IF(Sheet1[[#This Row],[claim_amount]]&lt;200000,"Medium","High"))</f>
        <v>High</v>
      </c>
      <c r="M112" s="2" t="str">
        <f>IF(Sheet1[[#This Row],[days_to_process]]&lt;=30,"Fast","Slow")</f>
        <v>Slow</v>
      </c>
    </row>
    <row r="113" spans="1:13" x14ac:dyDescent="0.3">
      <c r="A113" t="s">
        <v>240</v>
      </c>
      <c r="B113" s="2" t="s">
        <v>241</v>
      </c>
      <c r="C113" s="1">
        <v>45444</v>
      </c>
      <c r="D113" s="35">
        <v>112452.52</v>
      </c>
      <c r="E113" s="2" t="s">
        <v>19</v>
      </c>
      <c r="F113" s="2" t="s">
        <v>34</v>
      </c>
      <c r="G113" s="2" t="s">
        <v>12</v>
      </c>
      <c r="H113">
        <v>14</v>
      </c>
      <c r="I113" s="2" t="str">
        <f>TEXT(Sheet1[[#This Row],[claim_date]],"mmmm")</f>
        <v>June</v>
      </c>
      <c r="J113" s="2">
        <f>YEAR(Sheet1[[#This Row],[claim_date]])</f>
        <v>2024</v>
      </c>
      <c r="K113" s="2" t="str">
        <f>"Q"&amp;ROUNDUP(MONTH(Sheet1[[#This Row],[claim_date]])/3,0)</f>
        <v>Q2</v>
      </c>
      <c r="L113" s="2" t="str">
        <f>IF(Sheet1[[#This Row],[claim_amount]]&lt;100000,"Low",IF(Sheet1[[#This Row],[claim_amount]]&lt;200000,"Medium","High"))</f>
        <v>Medium</v>
      </c>
      <c r="M113" s="2" t="str">
        <f>IF(Sheet1[[#This Row],[days_to_process]]&lt;=30,"Fast","Slow")</f>
        <v>Fast</v>
      </c>
    </row>
    <row r="114" spans="1:13" x14ac:dyDescent="0.3">
      <c r="A114" t="s">
        <v>242</v>
      </c>
      <c r="B114" s="2" t="s">
        <v>243</v>
      </c>
      <c r="C114" s="1">
        <v>44186</v>
      </c>
      <c r="D114" s="35">
        <v>488577.23</v>
      </c>
      <c r="E114" s="2" t="s">
        <v>15</v>
      </c>
      <c r="F114" s="2" t="s">
        <v>11</v>
      </c>
      <c r="G114" s="2" t="s">
        <v>12</v>
      </c>
      <c r="H114">
        <v>12</v>
      </c>
      <c r="I114" s="2" t="str">
        <f>TEXT(Sheet1[[#This Row],[claim_date]],"mmmm")</f>
        <v>December</v>
      </c>
      <c r="J114" s="2">
        <f>YEAR(Sheet1[[#This Row],[claim_date]])</f>
        <v>2020</v>
      </c>
      <c r="K114" s="2" t="str">
        <f>"Q"&amp;ROUNDUP(MONTH(Sheet1[[#This Row],[claim_date]])/3,0)</f>
        <v>Q4</v>
      </c>
      <c r="L114" s="2" t="str">
        <f>IF(Sheet1[[#This Row],[claim_amount]]&lt;100000,"Low",IF(Sheet1[[#This Row],[claim_amount]]&lt;200000,"Medium","High"))</f>
        <v>High</v>
      </c>
      <c r="M114" s="2" t="str">
        <f>IF(Sheet1[[#This Row],[days_to_process]]&lt;=30,"Fast","Slow")</f>
        <v>Fast</v>
      </c>
    </row>
    <row r="115" spans="1:13" x14ac:dyDescent="0.3">
      <c r="A115" t="s">
        <v>244</v>
      </c>
      <c r="B115" s="2" t="s">
        <v>245</v>
      </c>
      <c r="C115" s="1">
        <v>44907</v>
      </c>
      <c r="D115" s="35">
        <v>327390.71000000002</v>
      </c>
      <c r="E115" s="2" t="s">
        <v>15</v>
      </c>
      <c r="F115" s="2" t="s">
        <v>23</v>
      </c>
      <c r="G115" s="2" t="s">
        <v>24</v>
      </c>
      <c r="H115">
        <v>24</v>
      </c>
      <c r="I115" s="2" t="str">
        <f>TEXT(Sheet1[[#This Row],[claim_date]],"mmmm")</f>
        <v>December</v>
      </c>
      <c r="J115" s="2">
        <f>YEAR(Sheet1[[#This Row],[claim_date]])</f>
        <v>2022</v>
      </c>
      <c r="K115" s="2" t="str">
        <f>"Q"&amp;ROUNDUP(MONTH(Sheet1[[#This Row],[claim_date]])/3,0)</f>
        <v>Q4</v>
      </c>
      <c r="L115" s="2" t="str">
        <f>IF(Sheet1[[#This Row],[claim_amount]]&lt;100000,"Low",IF(Sheet1[[#This Row],[claim_amount]]&lt;200000,"Medium","High"))</f>
        <v>High</v>
      </c>
      <c r="M115" s="2" t="str">
        <f>IF(Sheet1[[#This Row],[days_to_process]]&lt;=30,"Fast","Slow")</f>
        <v>Fast</v>
      </c>
    </row>
    <row r="116" spans="1:13" x14ac:dyDescent="0.3">
      <c r="A116" t="s">
        <v>246</v>
      </c>
      <c r="B116" s="2" t="s">
        <v>70</v>
      </c>
      <c r="C116" s="1">
        <v>45496</v>
      </c>
      <c r="D116" s="35">
        <v>135977.79999999999</v>
      </c>
      <c r="E116" s="2" t="s">
        <v>19</v>
      </c>
      <c r="F116" s="2" t="s">
        <v>34</v>
      </c>
      <c r="G116" s="2" t="s">
        <v>12</v>
      </c>
      <c r="H116">
        <v>40</v>
      </c>
      <c r="I116" s="2" t="str">
        <f>TEXT(Sheet1[[#This Row],[claim_date]],"mmmm")</f>
        <v>July</v>
      </c>
      <c r="J116" s="2">
        <f>YEAR(Sheet1[[#This Row],[claim_date]])</f>
        <v>2024</v>
      </c>
      <c r="K116" s="2" t="str">
        <f>"Q"&amp;ROUNDUP(MONTH(Sheet1[[#This Row],[claim_date]])/3,0)</f>
        <v>Q3</v>
      </c>
      <c r="L116" s="2" t="str">
        <f>IF(Sheet1[[#This Row],[claim_amount]]&lt;100000,"Low",IF(Sheet1[[#This Row],[claim_amount]]&lt;200000,"Medium","High"))</f>
        <v>Medium</v>
      </c>
      <c r="M116" s="2" t="str">
        <f>IF(Sheet1[[#This Row],[days_to_process]]&lt;=30,"Fast","Slow")</f>
        <v>Slow</v>
      </c>
    </row>
    <row r="117" spans="1:13" x14ac:dyDescent="0.3">
      <c r="A117" t="s">
        <v>247</v>
      </c>
      <c r="B117" s="2" t="s">
        <v>248</v>
      </c>
      <c r="C117" s="1">
        <v>45361</v>
      </c>
      <c r="D117" s="35">
        <v>394219.55</v>
      </c>
      <c r="E117" s="2" t="s">
        <v>15</v>
      </c>
      <c r="F117" s="2" t="s">
        <v>20</v>
      </c>
      <c r="G117" s="2" t="s">
        <v>24</v>
      </c>
      <c r="H117">
        <v>42</v>
      </c>
      <c r="I117" s="2" t="str">
        <f>TEXT(Sheet1[[#This Row],[claim_date]],"mmmm")</f>
        <v>March</v>
      </c>
      <c r="J117" s="2">
        <f>YEAR(Sheet1[[#This Row],[claim_date]])</f>
        <v>2024</v>
      </c>
      <c r="K117" s="2" t="str">
        <f>"Q"&amp;ROUNDUP(MONTH(Sheet1[[#This Row],[claim_date]])/3,0)</f>
        <v>Q1</v>
      </c>
      <c r="L117" s="2" t="str">
        <f>IF(Sheet1[[#This Row],[claim_amount]]&lt;100000,"Low",IF(Sheet1[[#This Row],[claim_amount]]&lt;200000,"Medium","High"))</f>
        <v>High</v>
      </c>
      <c r="M117" s="2" t="str">
        <f>IF(Sheet1[[#This Row],[days_to_process]]&lt;=30,"Fast","Slow")</f>
        <v>Slow</v>
      </c>
    </row>
    <row r="118" spans="1:13" x14ac:dyDescent="0.3">
      <c r="A118" t="s">
        <v>249</v>
      </c>
      <c r="B118" s="2" t="s">
        <v>250</v>
      </c>
      <c r="C118" s="1">
        <v>45372</v>
      </c>
      <c r="D118" s="35">
        <v>336857.47</v>
      </c>
      <c r="E118" s="2" t="s">
        <v>10</v>
      </c>
      <c r="F118" s="2" t="s">
        <v>20</v>
      </c>
      <c r="G118" s="2" t="s">
        <v>12</v>
      </c>
      <c r="H118">
        <v>22</v>
      </c>
      <c r="I118" s="2" t="str">
        <f>TEXT(Sheet1[[#This Row],[claim_date]],"mmmm")</f>
        <v>March</v>
      </c>
      <c r="J118" s="2">
        <f>YEAR(Sheet1[[#This Row],[claim_date]])</f>
        <v>2024</v>
      </c>
      <c r="K118" s="2" t="str">
        <f>"Q"&amp;ROUNDUP(MONTH(Sheet1[[#This Row],[claim_date]])/3,0)</f>
        <v>Q1</v>
      </c>
      <c r="L118" s="2" t="str">
        <f>IF(Sheet1[[#This Row],[claim_amount]]&lt;100000,"Low",IF(Sheet1[[#This Row],[claim_amount]]&lt;200000,"Medium","High"))</f>
        <v>High</v>
      </c>
      <c r="M118" s="2" t="str">
        <f>IF(Sheet1[[#This Row],[days_to_process]]&lt;=30,"Fast","Slow")</f>
        <v>Fast</v>
      </c>
    </row>
    <row r="119" spans="1:13" x14ac:dyDescent="0.3">
      <c r="A119" t="s">
        <v>251</v>
      </c>
      <c r="B119" s="2" t="s">
        <v>252</v>
      </c>
      <c r="C119" s="1">
        <v>45599</v>
      </c>
      <c r="D119" s="35">
        <v>247989.67</v>
      </c>
      <c r="E119" s="2" t="s">
        <v>19</v>
      </c>
      <c r="F119" s="2" t="s">
        <v>11</v>
      </c>
      <c r="G119" s="2" t="s">
        <v>24</v>
      </c>
      <c r="H119">
        <v>28</v>
      </c>
      <c r="I119" s="2" t="str">
        <f>TEXT(Sheet1[[#This Row],[claim_date]],"mmmm")</f>
        <v>November</v>
      </c>
      <c r="J119" s="2">
        <f>YEAR(Sheet1[[#This Row],[claim_date]])</f>
        <v>2024</v>
      </c>
      <c r="K119" s="2" t="str">
        <f>"Q"&amp;ROUNDUP(MONTH(Sheet1[[#This Row],[claim_date]])/3,0)</f>
        <v>Q4</v>
      </c>
      <c r="L119" s="2" t="str">
        <f>IF(Sheet1[[#This Row],[claim_amount]]&lt;100000,"Low",IF(Sheet1[[#This Row],[claim_amount]]&lt;200000,"Medium","High"))</f>
        <v>High</v>
      </c>
      <c r="M119" s="2" t="str">
        <f>IF(Sheet1[[#This Row],[days_to_process]]&lt;=30,"Fast","Slow")</f>
        <v>Fast</v>
      </c>
    </row>
    <row r="120" spans="1:13" x14ac:dyDescent="0.3">
      <c r="A120" t="s">
        <v>253</v>
      </c>
      <c r="B120" s="2" t="s">
        <v>254</v>
      </c>
      <c r="C120" s="1">
        <v>44508</v>
      </c>
      <c r="D120" s="35">
        <v>273144.38</v>
      </c>
      <c r="E120" s="2" t="s">
        <v>15</v>
      </c>
      <c r="F120" s="2" t="s">
        <v>23</v>
      </c>
      <c r="G120" s="2" t="s">
        <v>12</v>
      </c>
      <c r="H120">
        <v>46</v>
      </c>
      <c r="I120" s="2" t="str">
        <f>TEXT(Sheet1[[#This Row],[claim_date]],"mmmm")</f>
        <v>November</v>
      </c>
      <c r="J120" s="2">
        <f>YEAR(Sheet1[[#This Row],[claim_date]])</f>
        <v>2021</v>
      </c>
      <c r="K120" s="2" t="str">
        <f>"Q"&amp;ROUNDUP(MONTH(Sheet1[[#This Row],[claim_date]])/3,0)</f>
        <v>Q4</v>
      </c>
      <c r="L120" s="2" t="str">
        <f>IF(Sheet1[[#This Row],[claim_amount]]&lt;100000,"Low",IF(Sheet1[[#This Row],[claim_amount]]&lt;200000,"Medium","High"))</f>
        <v>High</v>
      </c>
      <c r="M120" s="2" t="str">
        <f>IF(Sheet1[[#This Row],[days_to_process]]&lt;=30,"Fast","Slow")</f>
        <v>Slow</v>
      </c>
    </row>
    <row r="121" spans="1:13" x14ac:dyDescent="0.3">
      <c r="A121" t="s">
        <v>255</v>
      </c>
      <c r="B121" s="2" t="s">
        <v>256</v>
      </c>
      <c r="C121" s="1">
        <v>45395</v>
      </c>
      <c r="D121" s="35">
        <v>154687.21</v>
      </c>
      <c r="E121" s="2" t="s">
        <v>19</v>
      </c>
      <c r="F121" s="2" t="s">
        <v>23</v>
      </c>
      <c r="G121" s="2" t="s">
        <v>24</v>
      </c>
      <c r="H121">
        <v>56</v>
      </c>
      <c r="I121" s="2" t="str">
        <f>TEXT(Sheet1[[#This Row],[claim_date]],"mmmm")</f>
        <v>April</v>
      </c>
      <c r="J121" s="2">
        <f>YEAR(Sheet1[[#This Row],[claim_date]])</f>
        <v>2024</v>
      </c>
      <c r="K121" s="2" t="str">
        <f>"Q"&amp;ROUNDUP(MONTH(Sheet1[[#This Row],[claim_date]])/3,0)</f>
        <v>Q2</v>
      </c>
      <c r="L121" s="2" t="str">
        <f>IF(Sheet1[[#This Row],[claim_amount]]&lt;100000,"Low",IF(Sheet1[[#This Row],[claim_amount]]&lt;200000,"Medium","High"))</f>
        <v>Medium</v>
      </c>
      <c r="M121" s="2" t="str">
        <f>IF(Sheet1[[#This Row],[days_to_process]]&lt;=30,"Fast","Slow")</f>
        <v>Slow</v>
      </c>
    </row>
    <row r="122" spans="1:13" x14ac:dyDescent="0.3">
      <c r="A122" t="s">
        <v>257</v>
      </c>
      <c r="B122" s="2" t="s">
        <v>258</v>
      </c>
      <c r="C122" s="1">
        <v>45339</v>
      </c>
      <c r="D122" s="35">
        <v>457612.09</v>
      </c>
      <c r="E122" s="2" t="s">
        <v>15</v>
      </c>
      <c r="F122" s="2" t="s">
        <v>11</v>
      </c>
      <c r="G122" s="2" t="s">
        <v>12</v>
      </c>
      <c r="H122">
        <v>42</v>
      </c>
      <c r="I122" s="2" t="str">
        <f>TEXT(Sheet1[[#This Row],[claim_date]],"mmmm")</f>
        <v>February</v>
      </c>
      <c r="J122" s="2">
        <f>YEAR(Sheet1[[#This Row],[claim_date]])</f>
        <v>2024</v>
      </c>
      <c r="K122" s="2" t="str">
        <f>"Q"&amp;ROUNDUP(MONTH(Sheet1[[#This Row],[claim_date]])/3,0)</f>
        <v>Q1</v>
      </c>
      <c r="L122" s="2" t="str">
        <f>IF(Sheet1[[#This Row],[claim_amount]]&lt;100000,"Low",IF(Sheet1[[#This Row],[claim_amount]]&lt;200000,"Medium","High"))</f>
        <v>High</v>
      </c>
      <c r="M122" s="2" t="str">
        <f>IF(Sheet1[[#This Row],[days_to_process]]&lt;=30,"Fast","Slow")</f>
        <v>Slow</v>
      </c>
    </row>
    <row r="123" spans="1:13" x14ac:dyDescent="0.3">
      <c r="A123" t="s">
        <v>259</v>
      </c>
      <c r="B123" s="2" t="s">
        <v>260</v>
      </c>
      <c r="C123" s="1">
        <v>44882</v>
      </c>
      <c r="D123" s="35">
        <v>488187.59</v>
      </c>
      <c r="E123" s="2" t="s">
        <v>10</v>
      </c>
      <c r="F123" s="2" t="s">
        <v>20</v>
      </c>
      <c r="G123" s="2" t="s">
        <v>24</v>
      </c>
      <c r="H123">
        <v>34</v>
      </c>
      <c r="I123" s="2" t="str">
        <f>TEXT(Sheet1[[#This Row],[claim_date]],"mmmm")</f>
        <v>November</v>
      </c>
      <c r="J123" s="2">
        <f>YEAR(Sheet1[[#This Row],[claim_date]])</f>
        <v>2022</v>
      </c>
      <c r="K123" s="2" t="str">
        <f>"Q"&amp;ROUNDUP(MONTH(Sheet1[[#This Row],[claim_date]])/3,0)</f>
        <v>Q4</v>
      </c>
      <c r="L123" s="2" t="str">
        <f>IF(Sheet1[[#This Row],[claim_amount]]&lt;100000,"Low",IF(Sheet1[[#This Row],[claim_amount]]&lt;200000,"Medium","High"))</f>
        <v>High</v>
      </c>
      <c r="M123" s="2" t="str">
        <f>IF(Sheet1[[#This Row],[days_to_process]]&lt;=30,"Fast","Slow")</f>
        <v>Slow</v>
      </c>
    </row>
    <row r="124" spans="1:13" x14ac:dyDescent="0.3">
      <c r="A124" t="s">
        <v>261</v>
      </c>
      <c r="B124" s="2" t="s">
        <v>262</v>
      </c>
      <c r="C124" s="1">
        <v>45582</v>
      </c>
      <c r="D124" s="35">
        <v>29479.3</v>
      </c>
      <c r="E124" s="2" t="s">
        <v>15</v>
      </c>
      <c r="F124" s="2" t="s">
        <v>11</v>
      </c>
      <c r="G124" s="2" t="s">
        <v>24</v>
      </c>
      <c r="H124">
        <v>24</v>
      </c>
      <c r="I124" s="2" t="str">
        <f>TEXT(Sheet1[[#This Row],[claim_date]],"mmmm")</f>
        <v>October</v>
      </c>
      <c r="J124" s="2">
        <f>YEAR(Sheet1[[#This Row],[claim_date]])</f>
        <v>2024</v>
      </c>
      <c r="K124" s="2" t="str">
        <f>"Q"&amp;ROUNDUP(MONTH(Sheet1[[#This Row],[claim_date]])/3,0)</f>
        <v>Q4</v>
      </c>
      <c r="L124" s="2" t="str">
        <f>IF(Sheet1[[#This Row],[claim_amount]]&lt;100000,"Low",IF(Sheet1[[#This Row],[claim_amount]]&lt;200000,"Medium","High"))</f>
        <v>Low</v>
      </c>
      <c r="M124" s="2" t="str">
        <f>IF(Sheet1[[#This Row],[days_to_process]]&lt;=30,"Fast","Slow")</f>
        <v>Fast</v>
      </c>
    </row>
    <row r="125" spans="1:13" x14ac:dyDescent="0.3">
      <c r="A125" t="s">
        <v>263</v>
      </c>
      <c r="B125" s="2" t="s">
        <v>264</v>
      </c>
      <c r="C125" s="1">
        <v>45138</v>
      </c>
      <c r="D125" s="35">
        <v>163193.93</v>
      </c>
      <c r="E125" s="2" t="s">
        <v>10</v>
      </c>
      <c r="F125" s="2" t="s">
        <v>20</v>
      </c>
      <c r="G125" s="2" t="s">
        <v>12</v>
      </c>
      <c r="H125">
        <v>24</v>
      </c>
      <c r="I125" s="2" t="str">
        <f>TEXT(Sheet1[[#This Row],[claim_date]],"mmmm")</f>
        <v>July</v>
      </c>
      <c r="J125" s="2">
        <f>YEAR(Sheet1[[#This Row],[claim_date]])</f>
        <v>2023</v>
      </c>
      <c r="K125" s="2" t="str">
        <f>"Q"&amp;ROUNDUP(MONTH(Sheet1[[#This Row],[claim_date]])/3,0)</f>
        <v>Q3</v>
      </c>
      <c r="L125" s="2" t="str">
        <f>IF(Sheet1[[#This Row],[claim_amount]]&lt;100000,"Low",IF(Sheet1[[#This Row],[claim_amount]]&lt;200000,"Medium","High"))</f>
        <v>Medium</v>
      </c>
      <c r="M125" s="2" t="str">
        <f>IF(Sheet1[[#This Row],[days_to_process]]&lt;=30,"Fast","Slow")</f>
        <v>Fast</v>
      </c>
    </row>
    <row r="126" spans="1:13" x14ac:dyDescent="0.3">
      <c r="A126" t="s">
        <v>265</v>
      </c>
      <c r="B126" s="2" t="s">
        <v>266</v>
      </c>
      <c r="C126" s="1">
        <v>45440</v>
      </c>
      <c r="D126" s="35">
        <v>189978.06</v>
      </c>
      <c r="E126" s="2" t="s">
        <v>19</v>
      </c>
      <c r="F126" s="2" t="s">
        <v>11</v>
      </c>
      <c r="G126" s="2" t="s">
        <v>24</v>
      </c>
      <c r="H126">
        <v>7</v>
      </c>
      <c r="I126" s="2" t="str">
        <f>TEXT(Sheet1[[#This Row],[claim_date]],"mmmm")</f>
        <v>May</v>
      </c>
      <c r="J126" s="2">
        <f>YEAR(Sheet1[[#This Row],[claim_date]])</f>
        <v>2024</v>
      </c>
      <c r="K126" s="2" t="str">
        <f>"Q"&amp;ROUNDUP(MONTH(Sheet1[[#This Row],[claim_date]])/3,0)</f>
        <v>Q2</v>
      </c>
      <c r="L126" s="2" t="str">
        <f>IF(Sheet1[[#This Row],[claim_amount]]&lt;100000,"Low",IF(Sheet1[[#This Row],[claim_amount]]&lt;200000,"Medium","High"))</f>
        <v>Medium</v>
      </c>
      <c r="M126" s="2" t="str">
        <f>IF(Sheet1[[#This Row],[days_to_process]]&lt;=30,"Fast","Slow")</f>
        <v>Fast</v>
      </c>
    </row>
    <row r="127" spans="1:13" x14ac:dyDescent="0.3">
      <c r="A127" t="s">
        <v>267</v>
      </c>
      <c r="B127" s="2" t="s">
        <v>268</v>
      </c>
      <c r="C127" s="1">
        <v>45477</v>
      </c>
      <c r="D127" s="35">
        <v>328753.52</v>
      </c>
      <c r="E127" s="2" t="s">
        <v>15</v>
      </c>
      <c r="F127" s="2" t="s">
        <v>11</v>
      </c>
      <c r="G127" s="2" t="s">
        <v>12</v>
      </c>
      <c r="H127">
        <v>3</v>
      </c>
      <c r="I127" s="2" t="str">
        <f>TEXT(Sheet1[[#This Row],[claim_date]],"mmmm")</f>
        <v>July</v>
      </c>
      <c r="J127" s="2">
        <f>YEAR(Sheet1[[#This Row],[claim_date]])</f>
        <v>2024</v>
      </c>
      <c r="K127" s="2" t="str">
        <f>"Q"&amp;ROUNDUP(MONTH(Sheet1[[#This Row],[claim_date]])/3,0)</f>
        <v>Q3</v>
      </c>
      <c r="L127" s="2" t="str">
        <f>IF(Sheet1[[#This Row],[claim_amount]]&lt;100000,"Low",IF(Sheet1[[#This Row],[claim_amount]]&lt;200000,"Medium","High"))</f>
        <v>High</v>
      </c>
      <c r="M127" s="2" t="str">
        <f>IF(Sheet1[[#This Row],[days_to_process]]&lt;=30,"Fast","Slow")</f>
        <v>Fast</v>
      </c>
    </row>
    <row r="128" spans="1:13" x14ac:dyDescent="0.3">
      <c r="A128" t="s">
        <v>269</v>
      </c>
      <c r="B128" s="2" t="s">
        <v>270</v>
      </c>
      <c r="C128" s="1">
        <v>45435</v>
      </c>
      <c r="D128" s="35">
        <v>321517.03999999998</v>
      </c>
      <c r="E128" s="2" t="s">
        <v>10</v>
      </c>
      <c r="F128" s="2" t="s">
        <v>20</v>
      </c>
      <c r="G128" s="2" t="s">
        <v>24</v>
      </c>
      <c r="H128">
        <v>58</v>
      </c>
      <c r="I128" s="2" t="str">
        <f>TEXT(Sheet1[[#This Row],[claim_date]],"mmmm")</f>
        <v>May</v>
      </c>
      <c r="J128" s="2">
        <f>YEAR(Sheet1[[#This Row],[claim_date]])</f>
        <v>2024</v>
      </c>
      <c r="K128" s="2" t="str">
        <f>"Q"&amp;ROUNDUP(MONTH(Sheet1[[#This Row],[claim_date]])/3,0)</f>
        <v>Q2</v>
      </c>
      <c r="L128" s="2" t="str">
        <f>IF(Sheet1[[#This Row],[claim_amount]]&lt;100000,"Low",IF(Sheet1[[#This Row],[claim_amount]]&lt;200000,"Medium","High"))</f>
        <v>High</v>
      </c>
      <c r="M128" s="2" t="str">
        <f>IF(Sheet1[[#This Row],[days_to_process]]&lt;=30,"Fast","Slow")</f>
        <v>Slow</v>
      </c>
    </row>
    <row r="129" spans="1:13" x14ac:dyDescent="0.3">
      <c r="A129" t="s">
        <v>271</v>
      </c>
      <c r="B129" s="2" t="s">
        <v>272</v>
      </c>
      <c r="C129" s="1">
        <v>45587</v>
      </c>
      <c r="D129" s="35">
        <v>262646.40999999997</v>
      </c>
      <c r="E129" s="2" t="s">
        <v>19</v>
      </c>
      <c r="F129" s="2" t="s">
        <v>11</v>
      </c>
      <c r="G129" s="2" t="s">
        <v>12</v>
      </c>
      <c r="H129">
        <v>59</v>
      </c>
      <c r="I129" s="2" t="str">
        <f>TEXT(Sheet1[[#This Row],[claim_date]],"mmmm")</f>
        <v>October</v>
      </c>
      <c r="J129" s="2">
        <f>YEAR(Sheet1[[#This Row],[claim_date]])</f>
        <v>2024</v>
      </c>
      <c r="K129" s="2" t="str">
        <f>"Q"&amp;ROUNDUP(MONTH(Sheet1[[#This Row],[claim_date]])/3,0)</f>
        <v>Q4</v>
      </c>
      <c r="L129" s="2" t="str">
        <f>IF(Sheet1[[#This Row],[claim_amount]]&lt;100000,"Low",IF(Sheet1[[#This Row],[claim_amount]]&lt;200000,"Medium","High"))</f>
        <v>High</v>
      </c>
      <c r="M129" s="2" t="str">
        <f>IF(Sheet1[[#This Row],[days_to_process]]&lt;=30,"Fast","Slow")</f>
        <v>Slow</v>
      </c>
    </row>
    <row r="130" spans="1:13" x14ac:dyDescent="0.3">
      <c r="A130" t="s">
        <v>273</v>
      </c>
      <c r="B130" s="2" t="s">
        <v>274</v>
      </c>
      <c r="C130" s="1">
        <v>45184</v>
      </c>
      <c r="D130" s="35">
        <v>33763.5</v>
      </c>
      <c r="E130" s="2" t="s">
        <v>19</v>
      </c>
      <c r="F130" s="2" t="s">
        <v>11</v>
      </c>
      <c r="G130" s="2" t="s">
        <v>24</v>
      </c>
      <c r="H130">
        <v>43</v>
      </c>
      <c r="I130" s="2" t="str">
        <f>TEXT(Sheet1[[#This Row],[claim_date]],"mmmm")</f>
        <v>September</v>
      </c>
      <c r="J130" s="2">
        <f>YEAR(Sheet1[[#This Row],[claim_date]])</f>
        <v>2023</v>
      </c>
      <c r="K130" s="2" t="str">
        <f>"Q"&amp;ROUNDUP(MONTH(Sheet1[[#This Row],[claim_date]])/3,0)</f>
        <v>Q3</v>
      </c>
      <c r="L130" s="2" t="str">
        <f>IF(Sheet1[[#This Row],[claim_amount]]&lt;100000,"Low",IF(Sheet1[[#This Row],[claim_amount]]&lt;200000,"Medium","High"))</f>
        <v>Low</v>
      </c>
      <c r="M130" s="2" t="str">
        <f>IF(Sheet1[[#This Row],[days_to_process]]&lt;=30,"Fast","Slow")</f>
        <v>Slow</v>
      </c>
    </row>
    <row r="131" spans="1:13" x14ac:dyDescent="0.3">
      <c r="A131" t="s">
        <v>275</v>
      </c>
      <c r="B131" s="2" t="s">
        <v>276</v>
      </c>
      <c r="C131" s="1">
        <v>45120</v>
      </c>
      <c r="D131" s="35">
        <v>77044.320000000007</v>
      </c>
      <c r="E131" s="2" t="s">
        <v>15</v>
      </c>
      <c r="F131" s="2" t="s">
        <v>16</v>
      </c>
      <c r="G131" s="2" t="s">
        <v>24</v>
      </c>
      <c r="H131">
        <v>53</v>
      </c>
      <c r="I131" s="2" t="str">
        <f>TEXT(Sheet1[[#This Row],[claim_date]],"mmmm")</f>
        <v>July</v>
      </c>
      <c r="J131" s="2">
        <f>YEAR(Sheet1[[#This Row],[claim_date]])</f>
        <v>2023</v>
      </c>
      <c r="K131" s="2" t="str">
        <f>"Q"&amp;ROUNDUP(MONTH(Sheet1[[#This Row],[claim_date]])/3,0)</f>
        <v>Q3</v>
      </c>
      <c r="L131" s="2" t="str">
        <f>IF(Sheet1[[#This Row],[claim_amount]]&lt;100000,"Low",IF(Sheet1[[#This Row],[claim_amount]]&lt;200000,"Medium","High"))</f>
        <v>Low</v>
      </c>
      <c r="M131" s="2" t="str">
        <f>IF(Sheet1[[#This Row],[days_to_process]]&lt;=30,"Fast","Slow")</f>
        <v>Slow</v>
      </c>
    </row>
    <row r="132" spans="1:13" x14ac:dyDescent="0.3">
      <c r="A132" t="s">
        <v>277</v>
      </c>
      <c r="B132" s="2" t="s">
        <v>278</v>
      </c>
      <c r="C132" s="1">
        <v>45703</v>
      </c>
      <c r="D132" s="35">
        <v>339920.91</v>
      </c>
      <c r="E132" s="2" t="s">
        <v>10</v>
      </c>
      <c r="F132" s="2" t="s">
        <v>11</v>
      </c>
      <c r="G132" s="2" t="s">
        <v>12</v>
      </c>
      <c r="H132">
        <v>4</v>
      </c>
      <c r="I132" s="2" t="str">
        <f>TEXT(Sheet1[[#This Row],[claim_date]],"mmmm")</f>
        <v>February</v>
      </c>
      <c r="J132" s="2">
        <f>YEAR(Sheet1[[#This Row],[claim_date]])</f>
        <v>2025</v>
      </c>
      <c r="K132" s="2" t="str">
        <f>"Q"&amp;ROUNDUP(MONTH(Sheet1[[#This Row],[claim_date]])/3,0)</f>
        <v>Q1</v>
      </c>
      <c r="L132" s="2" t="str">
        <f>IF(Sheet1[[#This Row],[claim_amount]]&lt;100000,"Low",IF(Sheet1[[#This Row],[claim_amount]]&lt;200000,"Medium","High"))</f>
        <v>High</v>
      </c>
      <c r="M132" s="2" t="str">
        <f>IF(Sheet1[[#This Row],[days_to_process]]&lt;=30,"Fast","Slow")</f>
        <v>Fast</v>
      </c>
    </row>
    <row r="133" spans="1:13" x14ac:dyDescent="0.3">
      <c r="A133" t="s">
        <v>279</v>
      </c>
      <c r="B133" s="2" t="s">
        <v>280</v>
      </c>
      <c r="C133" s="1">
        <v>44643</v>
      </c>
      <c r="D133" s="35">
        <v>372678.92</v>
      </c>
      <c r="E133" s="2" t="s">
        <v>10</v>
      </c>
      <c r="F133" s="2" t="s">
        <v>16</v>
      </c>
      <c r="G133" s="2" t="s">
        <v>12</v>
      </c>
      <c r="H133">
        <v>33</v>
      </c>
      <c r="I133" s="2" t="str">
        <f>TEXT(Sheet1[[#This Row],[claim_date]],"mmmm")</f>
        <v>March</v>
      </c>
      <c r="J133" s="2">
        <f>YEAR(Sheet1[[#This Row],[claim_date]])</f>
        <v>2022</v>
      </c>
      <c r="K133" s="2" t="str">
        <f>"Q"&amp;ROUNDUP(MONTH(Sheet1[[#This Row],[claim_date]])/3,0)</f>
        <v>Q1</v>
      </c>
      <c r="L133" s="2" t="str">
        <f>IF(Sheet1[[#This Row],[claim_amount]]&lt;100000,"Low",IF(Sheet1[[#This Row],[claim_amount]]&lt;200000,"Medium","High"))</f>
        <v>High</v>
      </c>
      <c r="M133" s="2" t="str">
        <f>IF(Sheet1[[#This Row],[days_to_process]]&lt;=30,"Fast","Slow")</f>
        <v>Slow</v>
      </c>
    </row>
    <row r="134" spans="1:13" x14ac:dyDescent="0.3">
      <c r="A134" t="s">
        <v>281</v>
      </c>
      <c r="B134" s="2" t="s">
        <v>282</v>
      </c>
      <c r="C134" s="1">
        <v>44798</v>
      </c>
      <c r="D134" s="35">
        <v>31637.5</v>
      </c>
      <c r="E134" s="2" t="s">
        <v>10</v>
      </c>
      <c r="F134" s="2" t="s">
        <v>20</v>
      </c>
      <c r="G134" s="2" t="s">
        <v>24</v>
      </c>
      <c r="H134">
        <v>26</v>
      </c>
      <c r="I134" s="2" t="str">
        <f>TEXT(Sheet1[[#This Row],[claim_date]],"mmmm")</f>
        <v>August</v>
      </c>
      <c r="J134" s="2">
        <f>YEAR(Sheet1[[#This Row],[claim_date]])</f>
        <v>2022</v>
      </c>
      <c r="K134" s="2" t="str">
        <f>"Q"&amp;ROUNDUP(MONTH(Sheet1[[#This Row],[claim_date]])/3,0)</f>
        <v>Q3</v>
      </c>
      <c r="L134" s="2" t="str">
        <f>IF(Sheet1[[#This Row],[claim_amount]]&lt;100000,"Low",IF(Sheet1[[#This Row],[claim_amount]]&lt;200000,"Medium","High"))</f>
        <v>Low</v>
      </c>
      <c r="M134" s="2" t="str">
        <f>IF(Sheet1[[#This Row],[days_to_process]]&lt;=30,"Fast","Slow")</f>
        <v>Fast</v>
      </c>
    </row>
    <row r="135" spans="1:13" x14ac:dyDescent="0.3">
      <c r="A135" t="s">
        <v>283</v>
      </c>
      <c r="B135" s="2" t="s">
        <v>284</v>
      </c>
      <c r="C135" s="1">
        <v>45020</v>
      </c>
      <c r="D135" s="35">
        <v>149235.4</v>
      </c>
      <c r="E135" s="2" t="s">
        <v>10</v>
      </c>
      <c r="F135" s="2" t="s">
        <v>34</v>
      </c>
      <c r="G135" s="2" t="s">
        <v>24</v>
      </c>
      <c r="H135">
        <v>20</v>
      </c>
      <c r="I135" s="2" t="str">
        <f>TEXT(Sheet1[[#This Row],[claim_date]],"mmmm")</f>
        <v>April</v>
      </c>
      <c r="J135" s="2">
        <f>YEAR(Sheet1[[#This Row],[claim_date]])</f>
        <v>2023</v>
      </c>
      <c r="K135" s="2" t="str">
        <f>"Q"&amp;ROUNDUP(MONTH(Sheet1[[#This Row],[claim_date]])/3,0)</f>
        <v>Q2</v>
      </c>
      <c r="L135" s="2" t="str">
        <f>IF(Sheet1[[#This Row],[claim_amount]]&lt;100000,"Low",IF(Sheet1[[#This Row],[claim_amount]]&lt;200000,"Medium","High"))</f>
        <v>Medium</v>
      </c>
      <c r="M135" s="2" t="str">
        <f>IF(Sheet1[[#This Row],[days_to_process]]&lt;=30,"Fast","Slow")</f>
        <v>Fast</v>
      </c>
    </row>
    <row r="136" spans="1:13" x14ac:dyDescent="0.3">
      <c r="A136" t="s">
        <v>285</v>
      </c>
      <c r="B136" s="2" t="s">
        <v>286</v>
      </c>
      <c r="C136" s="1">
        <v>44813</v>
      </c>
      <c r="D136" s="35">
        <v>48669.74</v>
      </c>
      <c r="E136" s="2" t="s">
        <v>19</v>
      </c>
      <c r="F136" s="2" t="s">
        <v>16</v>
      </c>
      <c r="G136" s="2" t="s">
        <v>24</v>
      </c>
      <c r="H136">
        <v>48</v>
      </c>
      <c r="I136" s="2" t="str">
        <f>TEXT(Sheet1[[#This Row],[claim_date]],"mmmm")</f>
        <v>September</v>
      </c>
      <c r="J136" s="2">
        <f>YEAR(Sheet1[[#This Row],[claim_date]])</f>
        <v>2022</v>
      </c>
      <c r="K136" s="2" t="str">
        <f>"Q"&amp;ROUNDUP(MONTH(Sheet1[[#This Row],[claim_date]])/3,0)</f>
        <v>Q3</v>
      </c>
      <c r="L136" s="2" t="str">
        <f>IF(Sheet1[[#This Row],[claim_amount]]&lt;100000,"Low",IF(Sheet1[[#This Row],[claim_amount]]&lt;200000,"Medium","High"))</f>
        <v>Low</v>
      </c>
      <c r="M136" s="2" t="str">
        <f>IF(Sheet1[[#This Row],[days_to_process]]&lt;=30,"Fast","Slow")</f>
        <v>Slow</v>
      </c>
    </row>
    <row r="137" spans="1:13" x14ac:dyDescent="0.3">
      <c r="A137" t="s">
        <v>287</v>
      </c>
      <c r="B137" s="2" t="s">
        <v>288</v>
      </c>
      <c r="C137" s="1">
        <v>44562</v>
      </c>
      <c r="D137" s="35">
        <v>482295.33</v>
      </c>
      <c r="E137" s="2" t="s">
        <v>19</v>
      </c>
      <c r="F137" s="2" t="s">
        <v>11</v>
      </c>
      <c r="G137" s="2" t="s">
        <v>24</v>
      </c>
      <c r="H137">
        <v>52</v>
      </c>
      <c r="I137" s="2" t="str">
        <f>TEXT(Sheet1[[#This Row],[claim_date]],"mmmm")</f>
        <v>January</v>
      </c>
      <c r="J137" s="2">
        <f>YEAR(Sheet1[[#This Row],[claim_date]])</f>
        <v>2022</v>
      </c>
      <c r="K137" s="2" t="str">
        <f>"Q"&amp;ROUNDUP(MONTH(Sheet1[[#This Row],[claim_date]])/3,0)</f>
        <v>Q1</v>
      </c>
      <c r="L137" s="2" t="str">
        <f>IF(Sheet1[[#This Row],[claim_amount]]&lt;100000,"Low",IF(Sheet1[[#This Row],[claim_amount]]&lt;200000,"Medium","High"))</f>
        <v>High</v>
      </c>
      <c r="M137" s="2" t="str">
        <f>IF(Sheet1[[#This Row],[days_to_process]]&lt;=30,"Fast","Slow")</f>
        <v>Slow</v>
      </c>
    </row>
    <row r="138" spans="1:13" x14ac:dyDescent="0.3">
      <c r="A138" t="s">
        <v>289</v>
      </c>
      <c r="B138" s="2" t="s">
        <v>290</v>
      </c>
      <c r="C138" s="1">
        <v>44789</v>
      </c>
      <c r="D138" s="35">
        <v>67178.490000000005</v>
      </c>
      <c r="E138" s="2" t="s">
        <v>19</v>
      </c>
      <c r="F138" s="2" t="s">
        <v>16</v>
      </c>
      <c r="G138" s="2" t="s">
        <v>24</v>
      </c>
      <c r="H138">
        <v>9</v>
      </c>
      <c r="I138" s="2" t="str">
        <f>TEXT(Sheet1[[#This Row],[claim_date]],"mmmm")</f>
        <v>August</v>
      </c>
      <c r="J138" s="2">
        <f>YEAR(Sheet1[[#This Row],[claim_date]])</f>
        <v>2022</v>
      </c>
      <c r="K138" s="2" t="str">
        <f>"Q"&amp;ROUNDUP(MONTH(Sheet1[[#This Row],[claim_date]])/3,0)</f>
        <v>Q3</v>
      </c>
      <c r="L138" s="2" t="str">
        <f>IF(Sheet1[[#This Row],[claim_amount]]&lt;100000,"Low",IF(Sheet1[[#This Row],[claim_amount]]&lt;200000,"Medium","High"))</f>
        <v>Low</v>
      </c>
      <c r="M138" s="2" t="str">
        <f>IF(Sheet1[[#This Row],[days_to_process]]&lt;=30,"Fast","Slow")</f>
        <v>Fast</v>
      </c>
    </row>
    <row r="139" spans="1:13" x14ac:dyDescent="0.3">
      <c r="A139" t="s">
        <v>291</v>
      </c>
      <c r="B139" s="2" t="s">
        <v>292</v>
      </c>
      <c r="C139" s="1">
        <v>45322</v>
      </c>
      <c r="D139" s="35">
        <v>440231.31</v>
      </c>
      <c r="E139" s="2" t="s">
        <v>19</v>
      </c>
      <c r="F139" s="2" t="s">
        <v>20</v>
      </c>
      <c r="G139" s="2" t="s">
        <v>24</v>
      </c>
      <c r="H139">
        <v>34</v>
      </c>
      <c r="I139" s="2" t="str">
        <f>TEXT(Sheet1[[#This Row],[claim_date]],"mmmm")</f>
        <v>January</v>
      </c>
      <c r="J139" s="2">
        <f>YEAR(Sheet1[[#This Row],[claim_date]])</f>
        <v>2024</v>
      </c>
      <c r="K139" s="2" t="str">
        <f>"Q"&amp;ROUNDUP(MONTH(Sheet1[[#This Row],[claim_date]])/3,0)</f>
        <v>Q1</v>
      </c>
      <c r="L139" s="2" t="str">
        <f>IF(Sheet1[[#This Row],[claim_amount]]&lt;100000,"Low",IF(Sheet1[[#This Row],[claim_amount]]&lt;200000,"Medium","High"))</f>
        <v>High</v>
      </c>
      <c r="M139" s="2" t="str">
        <f>IF(Sheet1[[#This Row],[days_to_process]]&lt;=30,"Fast","Slow")</f>
        <v>Slow</v>
      </c>
    </row>
    <row r="140" spans="1:13" x14ac:dyDescent="0.3">
      <c r="A140" t="s">
        <v>293</v>
      </c>
      <c r="B140" s="2" t="s">
        <v>294</v>
      </c>
      <c r="C140" s="1">
        <v>44677</v>
      </c>
      <c r="D140" s="35">
        <v>194724.57</v>
      </c>
      <c r="E140" s="2" t="s">
        <v>10</v>
      </c>
      <c r="F140" s="2" t="s">
        <v>34</v>
      </c>
      <c r="G140" s="2" t="s">
        <v>12</v>
      </c>
      <c r="H140">
        <v>19</v>
      </c>
      <c r="I140" s="2" t="str">
        <f>TEXT(Sheet1[[#This Row],[claim_date]],"mmmm")</f>
        <v>April</v>
      </c>
      <c r="J140" s="2">
        <f>YEAR(Sheet1[[#This Row],[claim_date]])</f>
        <v>2022</v>
      </c>
      <c r="K140" s="2" t="str">
        <f>"Q"&amp;ROUNDUP(MONTH(Sheet1[[#This Row],[claim_date]])/3,0)</f>
        <v>Q2</v>
      </c>
      <c r="L140" s="2" t="str">
        <f>IF(Sheet1[[#This Row],[claim_amount]]&lt;100000,"Low",IF(Sheet1[[#This Row],[claim_amount]]&lt;200000,"Medium","High"))</f>
        <v>Medium</v>
      </c>
      <c r="M140" s="2" t="str">
        <f>IF(Sheet1[[#This Row],[days_to_process]]&lt;=30,"Fast","Slow")</f>
        <v>Fast</v>
      </c>
    </row>
    <row r="141" spans="1:13" x14ac:dyDescent="0.3">
      <c r="A141" t="s">
        <v>295</v>
      </c>
      <c r="B141" s="2" t="s">
        <v>155</v>
      </c>
      <c r="C141" s="1">
        <v>45209</v>
      </c>
      <c r="D141" s="35">
        <v>152037.89000000001</v>
      </c>
      <c r="E141" s="2" t="s">
        <v>15</v>
      </c>
      <c r="F141" s="2" t="s">
        <v>20</v>
      </c>
      <c r="G141" s="2" t="s">
        <v>24</v>
      </c>
      <c r="H141">
        <v>16</v>
      </c>
      <c r="I141" s="2" t="str">
        <f>TEXT(Sheet1[[#This Row],[claim_date]],"mmmm")</f>
        <v>October</v>
      </c>
      <c r="J141" s="2">
        <f>YEAR(Sheet1[[#This Row],[claim_date]])</f>
        <v>2023</v>
      </c>
      <c r="K141" s="2" t="str">
        <f>"Q"&amp;ROUNDUP(MONTH(Sheet1[[#This Row],[claim_date]])/3,0)</f>
        <v>Q4</v>
      </c>
      <c r="L141" s="2" t="str">
        <f>IF(Sheet1[[#This Row],[claim_amount]]&lt;100000,"Low",IF(Sheet1[[#This Row],[claim_amount]]&lt;200000,"Medium","High"))</f>
        <v>Medium</v>
      </c>
      <c r="M141" s="2" t="str">
        <f>IF(Sheet1[[#This Row],[days_to_process]]&lt;=30,"Fast","Slow")</f>
        <v>Fast</v>
      </c>
    </row>
    <row r="142" spans="1:13" x14ac:dyDescent="0.3">
      <c r="A142" t="s">
        <v>296</v>
      </c>
      <c r="B142" s="2" t="s">
        <v>297</v>
      </c>
      <c r="C142" s="1">
        <v>45273</v>
      </c>
      <c r="D142" s="35">
        <v>330986.68</v>
      </c>
      <c r="E142" s="2" t="s">
        <v>10</v>
      </c>
      <c r="F142" s="2" t="s">
        <v>34</v>
      </c>
      <c r="G142" s="2" t="s">
        <v>12</v>
      </c>
      <c r="H142">
        <v>54</v>
      </c>
      <c r="I142" s="2" t="str">
        <f>TEXT(Sheet1[[#This Row],[claim_date]],"mmmm")</f>
        <v>December</v>
      </c>
      <c r="J142" s="2">
        <f>YEAR(Sheet1[[#This Row],[claim_date]])</f>
        <v>2023</v>
      </c>
      <c r="K142" s="2" t="str">
        <f>"Q"&amp;ROUNDUP(MONTH(Sheet1[[#This Row],[claim_date]])/3,0)</f>
        <v>Q4</v>
      </c>
      <c r="L142" s="2" t="str">
        <f>IF(Sheet1[[#This Row],[claim_amount]]&lt;100000,"Low",IF(Sheet1[[#This Row],[claim_amount]]&lt;200000,"Medium","High"))</f>
        <v>High</v>
      </c>
      <c r="M142" s="2" t="str">
        <f>IF(Sheet1[[#This Row],[days_to_process]]&lt;=30,"Fast","Slow")</f>
        <v>Slow</v>
      </c>
    </row>
    <row r="143" spans="1:13" x14ac:dyDescent="0.3">
      <c r="A143" t="s">
        <v>298</v>
      </c>
      <c r="B143" s="2" t="s">
        <v>299</v>
      </c>
      <c r="C143" s="1">
        <v>44972</v>
      </c>
      <c r="D143" s="35">
        <v>56257.37</v>
      </c>
      <c r="E143" s="2" t="s">
        <v>15</v>
      </c>
      <c r="F143" s="2" t="s">
        <v>34</v>
      </c>
      <c r="G143" s="2" t="s">
        <v>12</v>
      </c>
      <c r="H143">
        <v>3</v>
      </c>
      <c r="I143" s="2" t="str">
        <f>TEXT(Sheet1[[#This Row],[claim_date]],"mmmm")</f>
        <v>February</v>
      </c>
      <c r="J143" s="2">
        <f>YEAR(Sheet1[[#This Row],[claim_date]])</f>
        <v>2023</v>
      </c>
      <c r="K143" s="2" t="str">
        <f>"Q"&amp;ROUNDUP(MONTH(Sheet1[[#This Row],[claim_date]])/3,0)</f>
        <v>Q1</v>
      </c>
      <c r="L143" s="2" t="str">
        <f>IF(Sheet1[[#This Row],[claim_amount]]&lt;100000,"Low",IF(Sheet1[[#This Row],[claim_amount]]&lt;200000,"Medium","High"))</f>
        <v>Low</v>
      </c>
      <c r="M143" s="2" t="str">
        <f>IF(Sheet1[[#This Row],[days_to_process]]&lt;=30,"Fast","Slow")</f>
        <v>Fast</v>
      </c>
    </row>
    <row r="144" spans="1:13" x14ac:dyDescent="0.3">
      <c r="A144" t="s">
        <v>300</v>
      </c>
      <c r="B144" s="2" t="s">
        <v>301</v>
      </c>
      <c r="C144" s="1">
        <v>45240</v>
      </c>
      <c r="D144" s="35">
        <v>261627.82</v>
      </c>
      <c r="E144" s="2" t="s">
        <v>15</v>
      </c>
      <c r="F144" s="2" t="s">
        <v>16</v>
      </c>
      <c r="G144" s="2" t="s">
        <v>24</v>
      </c>
      <c r="H144">
        <v>17</v>
      </c>
      <c r="I144" s="2" t="str">
        <f>TEXT(Sheet1[[#This Row],[claim_date]],"mmmm")</f>
        <v>November</v>
      </c>
      <c r="J144" s="2">
        <f>YEAR(Sheet1[[#This Row],[claim_date]])</f>
        <v>2023</v>
      </c>
      <c r="K144" s="2" t="str">
        <f>"Q"&amp;ROUNDUP(MONTH(Sheet1[[#This Row],[claim_date]])/3,0)</f>
        <v>Q4</v>
      </c>
      <c r="L144" s="2" t="str">
        <f>IF(Sheet1[[#This Row],[claim_amount]]&lt;100000,"Low",IF(Sheet1[[#This Row],[claim_amount]]&lt;200000,"Medium","High"))</f>
        <v>High</v>
      </c>
      <c r="M144" s="2" t="str">
        <f>IF(Sheet1[[#This Row],[days_to_process]]&lt;=30,"Fast","Slow")</f>
        <v>Fast</v>
      </c>
    </row>
    <row r="145" spans="1:13" x14ac:dyDescent="0.3">
      <c r="A145" t="s">
        <v>302</v>
      </c>
      <c r="B145" s="2" t="s">
        <v>303</v>
      </c>
      <c r="C145" s="1">
        <v>45466</v>
      </c>
      <c r="D145" s="35">
        <v>101663.74</v>
      </c>
      <c r="E145" s="2" t="s">
        <v>10</v>
      </c>
      <c r="F145" s="2" t="s">
        <v>16</v>
      </c>
      <c r="G145" s="2" t="s">
        <v>12</v>
      </c>
      <c r="H145">
        <v>17</v>
      </c>
      <c r="I145" s="2" t="str">
        <f>TEXT(Sheet1[[#This Row],[claim_date]],"mmmm")</f>
        <v>June</v>
      </c>
      <c r="J145" s="2">
        <f>YEAR(Sheet1[[#This Row],[claim_date]])</f>
        <v>2024</v>
      </c>
      <c r="K145" s="2" t="str">
        <f>"Q"&amp;ROUNDUP(MONTH(Sheet1[[#This Row],[claim_date]])/3,0)</f>
        <v>Q2</v>
      </c>
      <c r="L145" s="2" t="str">
        <f>IF(Sheet1[[#This Row],[claim_amount]]&lt;100000,"Low",IF(Sheet1[[#This Row],[claim_amount]]&lt;200000,"Medium","High"))</f>
        <v>Medium</v>
      </c>
      <c r="M145" s="2" t="str">
        <f>IF(Sheet1[[#This Row],[days_to_process]]&lt;=30,"Fast","Slow")</f>
        <v>Fast</v>
      </c>
    </row>
    <row r="146" spans="1:13" x14ac:dyDescent="0.3">
      <c r="A146" t="s">
        <v>304</v>
      </c>
      <c r="B146" s="2" t="s">
        <v>305</v>
      </c>
      <c r="C146" s="1">
        <v>45308</v>
      </c>
      <c r="D146" s="35">
        <v>308304.73</v>
      </c>
      <c r="E146" s="2" t="s">
        <v>19</v>
      </c>
      <c r="F146" s="2" t="s">
        <v>23</v>
      </c>
      <c r="G146" s="2" t="s">
        <v>12</v>
      </c>
      <c r="H146">
        <v>18</v>
      </c>
      <c r="I146" s="2" t="str">
        <f>TEXT(Sheet1[[#This Row],[claim_date]],"mmmm")</f>
        <v>January</v>
      </c>
      <c r="J146" s="2">
        <f>YEAR(Sheet1[[#This Row],[claim_date]])</f>
        <v>2024</v>
      </c>
      <c r="K146" s="2" t="str">
        <f>"Q"&amp;ROUNDUP(MONTH(Sheet1[[#This Row],[claim_date]])/3,0)</f>
        <v>Q1</v>
      </c>
      <c r="L146" s="2" t="str">
        <f>IF(Sheet1[[#This Row],[claim_amount]]&lt;100000,"Low",IF(Sheet1[[#This Row],[claim_amount]]&lt;200000,"Medium","High"))</f>
        <v>High</v>
      </c>
      <c r="M146" s="2" t="str">
        <f>IF(Sheet1[[#This Row],[days_to_process]]&lt;=30,"Fast","Slow")</f>
        <v>Fast</v>
      </c>
    </row>
    <row r="147" spans="1:13" x14ac:dyDescent="0.3">
      <c r="A147" t="s">
        <v>306</v>
      </c>
      <c r="B147" s="2" t="s">
        <v>307</v>
      </c>
      <c r="C147" s="1">
        <v>44960</v>
      </c>
      <c r="D147" s="35">
        <v>207683.66</v>
      </c>
      <c r="E147" s="2" t="s">
        <v>15</v>
      </c>
      <c r="F147" s="2" t="s">
        <v>16</v>
      </c>
      <c r="G147" s="2" t="s">
        <v>12</v>
      </c>
      <c r="H147">
        <v>42</v>
      </c>
      <c r="I147" s="2" t="str">
        <f>TEXT(Sheet1[[#This Row],[claim_date]],"mmmm")</f>
        <v>February</v>
      </c>
      <c r="J147" s="2">
        <f>YEAR(Sheet1[[#This Row],[claim_date]])</f>
        <v>2023</v>
      </c>
      <c r="K147" s="2" t="str">
        <f>"Q"&amp;ROUNDUP(MONTH(Sheet1[[#This Row],[claim_date]])/3,0)</f>
        <v>Q1</v>
      </c>
      <c r="L147" s="2" t="str">
        <f>IF(Sheet1[[#This Row],[claim_amount]]&lt;100000,"Low",IF(Sheet1[[#This Row],[claim_amount]]&lt;200000,"Medium","High"))</f>
        <v>High</v>
      </c>
      <c r="M147" s="2" t="str">
        <f>IF(Sheet1[[#This Row],[days_to_process]]&lt;=30,"Fast","Slow")</f>
        <v>Slow</v>
      </c>
    </row>
    <row r="148" spans="1:13" x14ac:dyDescent="0.3">
      <c r="A148" t="s">
        <v>308</v>
      </c>
      <c r="B148" s="2" t="s">
        <v>309</v>
      </c>
      <c r="C148" s="1">
        <v>45104</v>
      </c>
      <c r="D148" s="35">
        <v>356339.89</v>
      </c>
      <c r="E148" s="2" t="s">
        <v>15</v>
      </c>
      <c r="F148" s="2" t="s">
        <v>20</v>
      </c>
      <c r="G148" s="2" t="s">
        <v>24</v>
      </c>
      <c r="H148">
        <v>34</v>
      </c>
      <c r="I148" s="2" t="str">
        <f>TEXT(Sheet1[[#This Row],[claim_date]],"mmmm")</f>
        <v>June</v>
      </c>
      <c r="J148" s="2">
        <f>YEAR(Sheet1[[#This Row],[claim_date]])</f>
        <v>2023</v>
      </c>
      <c r="K148" s="2" t="str">
        <f>"Q"&amp;ROUNDUP(MONTH(Sheet1[[#This Row],[claim_date]])/3,0)</f>
        <v>Q2</v>
      </c>
      <c r="L148" s="2" t="str">
        <f>IF(Sheet1[[#This Row],[claim_amount]]&lt;100000,"Low",IF(Sheet1[[#This Row],[claim_amount]]&lt;200000,"Medium","High"))</f>
        <v>High</v>
      </c>
      <c r="M148" s="2" t="str">
        <f>IF(Sheet1[[#This Row],[days_to_process]]&lt;=30,"Fast","Slow")</f>
        <v>Slow</v>
      </c>
    </row>
    <row r="149" spans="1:13" x14ac:dyDescent="0.3">
      <c r="A149" t="s">
        <v>310</v>
      </c>
      <c r="B149" s="2" t="s">
        <v>311</v>
      </c>
      <c r="C149" s="1">
        <v>44553</v>
      </c>
      <c r="D149" s="35">
        <v>447750.98</v>
      </c>
      <c r="E149" s="2" t="s">
        <v>15</v>
      </c>
      <c r="F149" s="2" t="s">
        <v>11</v>
      </c>
      <c r="G149" s="2" t="s">
        <v>12</v>
      </c>
      <c r="H149">
        <v>44</v>
      </c>
      <c r="I149" s="2" t="str">
        <f>TEXT(Sheet1[[#This Row],[claim_date]],"mmmm")</f>
        <v>December</v>
      </c>
      <c r="J149" s="2">
        <f>YEAR(Sheet1[[#This Row],[claim_date]])</f>
        <v>2021</v>
      </c>
      <c r="K149" s="2" t="str">
        <f>"Q"&amp;ROUNDUP(MONTH(Sheet1[[#This Row],[claim_date]])/3,0)</f>
        <v>Q4</v>
      </c>
      <c r="L149" s="2" t="str">
        <f>IF(Sheet1[[#This Row],[claim_amount]]&lt;100000,"Low",IF(Sheet1[[#This Row],[claim_amount]]&lt;200000,"Medium","High"))</f>
        <v>High</v>
      </c>
      <c r="M149" s="2" t="str">
        <f>IF(Sheet1[[#This Row],[days_to_process]]&lt;=30,"Fast","Slow")</f>
        <v>Slow</v>
      </c>
    </row>
    <row r="150" spans="1:13" x14ac:dyDescent="0.3">
      <c r="A150" t="s">
        <v>312</v>
      </c>
      <c r="B150" s="2" t="s">
        <v>313</v>
      </c>
      <c r="C150" s="1">
        <v>45578</v>
      </c>
      <c r="D150" s="35">
        <v>455651.57</v>
      </c>
      <c r="E150" s="2" t="s">
        <v>19</v>
      </c>
      <c r="F150" s="2" t="s">
        <v>34</v>
      </c>
      <c r="G150" s="2" t="s">
        <v>24</v>
      </c>
      <c r="H150">
        <v>4</v>
      </c>
      <c r="I150" s="2" t="str">
        <f>TEXT(Sheet1[[#This Row],[claim_date]],"mmmm")</f>
        <v>October</v>
      </c>
      <c r="J150" s="2">
        <f>YEAR(Sheet1[[#This Row],[claim_date]])</f>
        <v>2024</v>
      </c>
      <c r="K150" s="2" t="str">
        <f>"Q"&amp;ROUNDUP(MONTH(Sheet1[[#This Row],[claim_date]])/3,0)</f>
        <v>Q4</v>
      </c>
      <c r="L150" s="2" t="str">
        <f>IF(Sheet1[[#This Row],[claim_amount]]&lt;100000,"Low",IF(Sheet1[[#This Row],[claim_amount]]&lt;200000,"Medium","High"))</f>
        <v>High</v>
      </c>
      <c r="M150" s="2" t="str">
        <f>IF(Sheet1[[#This Row],[days_to_process]]&lt;=30,"Fast","Slow")</f>
        <v>Fast</v>
      </c>
    </row>
    <row r="151" spans="1:13" x14ac:dyDescent="0.3">
      <c r="A151" t="s">
        <v>314</v>
      </c>
      <c r="B151" s="2" t="s">
        <v>270</v>
      </c>
      <c r="C151" s="1">
        <v>45083</v>
      </c>
      <c r="D151" s="35">
        <v>450164.55</v>
      </c>
      <c r="E151" s="2" t="s">
        <v>19</v>
      </c>
      <c r="F151" s="2" t="s">
        <v>20</v>
      </c>
      <c r="G151" s="2" t="s">
        <v>24</v>
      </c>
      <c r="H151">
        <v>3</v>
      </c>
      <c r="I151" s="2" t="str">
        <f>TEXT(Sheet1[[#This Row],[claim_date]],"mmmm")</f>
        <v>June</v>
      </c>
      <c r="J151" s="2">
        <f>YEAR(Sheet1[[#This Row],[claim_date]])</f>
        <v>2023</v>
      </c>
      <c r="K151" s="2" t="str">
        <f>"Q"&amp;ROUNDUP(MONTH(Sheet1[[#This Row],[claim_date]])/3,0)</f>
        <v>Q2</v>
      </c>
      <c r="L151" s="2" t="str">
        <f>IF(Sheet1[[#This Row],[claim_amount]]&lt;100000,"Low",IF(Sheet1[[#This Row],[claim_amount]]&lt;200000,"Medium","High"))</f>
        <v>High</v>
      </c>
      <c r="M151" s="2" t="str">
        <f>IF(Sheet1[[#This Row],[days_to_process]]&lt;=30,"Fast","Slow")</f>
        <v>Fast</v>
      </c>
    </row>
    <row r="152" spans="1:13" x14ac:dyDescent="0.3">
      <c r="A152" t="s">
        <v>315</v>
      </c>
      <c r="B152" s="2" t="s">
        <v>316</v>
      </c>
      <c r="C152" s="1">
        <v>45490</v>
      </c>
      <c r="D152" s="35">
        <v>81896.600000000006</v>
      </c>
      <c r="E152" s="2" t="s">
        <v>19</v>
      </c>
      <c r="F152" s="2" t="s">
        <v>23</v>
      </c>
      <c r="G152" s="2" t="s">
        <v>12</v>
      </c>
      <c r="H152">
        <v>2</v>
      </c>
      <c r="I152" s="2" t="str">
        <f>TEXT(Sheet1[[#This Row],[claim_date]],"mmmm")</f>
        <v>July</v>
      </c>
      <c r="J152" s="2">
        <f>YEAR(Sheet1[[#This Row],[claim_date]])</f>
        <v>2024</v>
      </c>
      <c r="K152" s="2" t="str">
        <f>"Q"&amp;ROUNDUP(MONTH(Sheet1[[#This Row],[claim_date]])/3,0)</f>
        <v>Q3</v>
      </c>
      <c r="L152" s="2" t="str">
        <f>IF(Sheet1[[#This Row],[claim_amount]]&lt;100000,"Low",IF(Sheet1[[#This Row],[claim_amount]]&lt;200000,"Medium","High"))</f>
        <v>Low</v>
      </c>
      <c r="M152" s="2" t="str">
        <f>IF(Sheet1[[#This Row],[days_to_process]]&lt;=30,"Fast","Slow")</f>
        <v>Fast</v>
      </c>
    </row>
    <row r="153" spans="1:13" x14ac:dyDescent="0.3">
      <c r="A153" t="s">
        <v>317</v>
      </c>
      <c r="B153" s="2" t="s">
        <v>318</v>
      </c>
      <c r="C153" s="1">
        <v>45142</v>
      </c>
      <c r="D153" s="35">
        <v>353734.5</v>
      </c>
      <c r="E153" s="2" t="s">
        <v>15</v>
      </c>
      <c r="F153" s="2" t="s">
        <v>34</v>
      </c>
      <c r="G153" s="2" t="s">
        <v>24</v>
      </c>
      <c r="H153">
        <v>37</v>
      </c>
      <c r="I153" s="2" t="str">
        <f>TEXT(Sheet1[[#This Row],[claim_date]],"mmmm")</f>
        <v>August</v>
      </c>
      <c r="J153" s="2">
        <f>YEAR(Sheet1[[#This Row],[claim_date]])</f>
        <v>2023</v>
      </c>
      <c r="K153" s="2" t="str">
        <f>"Q"&amp;ROUNDUP(MONTH(Sheet1[[#This Row],[claim_date]])/3,0)</f>
        <v>Q3</v>
      </c>
      <c r="L153" s="2" t="str">
        <f>IF(Sheet1[[#This Row],[claim_amount]]&lt;100000,"Low",IF(Sheet1[[#This Row],[claim_amount]]&lt;200000,"Medium","High"))</f>
        <v>High</v>
      </c>
      <c r="M153" s="2" t="str">
        <f>IF(Sheet1[[#This Row],[days_to_process]]&lt;=30,"Fast","Slow")</f>
        <v>Slow</v>
      </c>
    </row>
    <row r="154" spans="1:13" x14ac:dyDescent="0.3">
      <c r="A154" t="s">
        <v>319</v>
      </c>
      <c r="B154" s="2" t="s">
        <v>320</v>
      </c>
      <c r="C154" s="1">
        <v>45451</v>
      </c>
      <c r="D154" s="35">
        <v>395342.72</v>
      </c>
      <c r="E154" s="2" t="s">
        <v>10</v>
      </c>
      <c r="F154" s="2" t="s">
        <v>23</v>
      </c>
      <c r="G154" s="2" t="s">
        <v>24</v>
      </c>
      <c r="H154">
        <v>47</v>
      </c>
      <c r="I154" s="2" t="str">
        <f>TEXT(Sheet1[[#This Row],[claim_date]],"mmmm")</f>
        <v>June</v>
      </c>
      <c r="J154" s="2">
        <f>YEAR(Sheet1[[#This Row],[claim_date]])</f>
        <v>2024</v>
      </c>
      <c r="K154" s="2" t="str">
        <f>"Q"&amp;ROUNDUP(MONTH(Sheet1[[#This Row],[claim_date]])/3,0)</f>
        <v>Q2</v>
      </c>
      <c r="L154" s="2" t="str">
        <f>IF(Sheet1[[#This Row],[claim_amount]]&lt;100000,"Low",IF(Sheet1[[#This Row],[claim_amount]]&lt;200000,"Medium","High"))</f>
        <v>High</v>
      </c>
      <c r="M154" s="2" t="str">
        <f>IF(Sheet1[[#This Row],[days_to_process]]&lt;=30,"Fast","Slow")</f>
        <v>Slow</v>
      </c>
    </row>
    <row r="155" spans="1:13" x14ac:dyDescent="0.3">
      <c r="A155" t="s">
        <v>321</v>
      </c>
      <c r="B155" s="2" t="s">
        <v>322</v>
      </c>
      <c r="C155" s="1">
        <v>44321</v>
      </c>
      <c r="D155" s="35">
        <v>494578.94</v>
      </c>
      <c r="E155" s="2" t="s">
        <v>15</v>
      </c>
      <c r="F155" s="2" t="s">
        <v>11</v>
      </c>
      <c r="G155" s="2" t="s">
        <v>24</v>
      </c>
      <c r="H155">
        <v>22</v>
      </c>
      <c r="I155" s="2" t="str">
        <f>TEXT(Sheet1[[#This Row],[claim_date]],"mmmm")</f>
        <v>May</v>
      </c>
      <c r="J155" s="2">
        <f>YEAR(Sheet1[[#This Row],[claim_date]])</f>
        <v>2021</v>
      </c>
      <c r="K155" s="2" t="str">
        <f>"Q"&amp;ROUNDUP(MONTH(Sheet1[[#This Row],[claim_date]])/3,0)</f>
        <v>Q2</v>
      </c>
      <c r="L155" s="2" t="str">
        <f>IF(Sheet1[[#This Row],[claim_amount]]&lt;100000,"Low",IF(Sheet1[[#This Row],[claim_amount]]&lt;200000,"Medium","High"))</f>
        <v>High</v>
      </c>
      <c r="M155" s="2" t="str">
        <f>IF(Sheet1[[#This Row],[days_to_process]]&lt;=30,"Fast","Slow")</f>
        <v>Fast</v>
      </c>
    </row>
    <row r="156" spans="1:13" x14ac:dyDescent="0.3">
      <c r="A156" t="s">
        <v>323</v>
      </c>
      <c r="B156" s="2" t="s">
        <v>324</v>
      </c>
      <c r="C156" s="1">
        <v>44756</v>
      </c>
      <c r="D156" s="35">
        <v>245270.42</v>
      </c>
      <c r="E156" s="2" t="s">
        <v>15</v>
      </c>
      <c r="F156" s="2" t="s">
        <v>20</v>
      </c>
      <c r="G156" s="2" t="s">
        <v>12</v>
      </c>
      <c r="H156">
        <v>29</v>
      </c>
      <c r="I156" s="2" t="str">
        <f>TEXT(Sheet1[[#This Row],[claim_date]],"mmmm")</f>
        <v>July</v>
      </c>
      <c r="J156" s="2">
        <f>YEAR(Sheet1[[#This Row],[claim_date]])</f>
        <v>2022</v>
      </c>
      <c r="K156" s="2" t="str">
        <f>"Q"&amp;ROUNDUP(MONTH(Sheet1[[#This Row],[claim_date]])/3,0)</f>
        <v>Q3</v>
      </c>
      <c r="L156" s="2" t="str">
        <f>IF(Sheet1[[#This Row],[claim_amount]]&lt;100000,"Low",IF(Sheet1[[#This Row],[claim_amount]]&lt;200000,"Medium","High"))</f>
        <v>High</v>
      </c>
      <c r="M156" s="2" t="str">
        <f>IF(Sheet1[[#This Row],[days_to_process]]&lt;=30,"Fast","Slow")</f>
        <v>Fast</v>
      </c>
    </row>
    <row r="157" spans="1:13" x14ac:dyDescent="0.3">
      <c r="A157" t="s">
        <v>325</v>
      </c>
      <c r="B157" s="2" t="s">
        <v>243</v>
      </c>
      <c r="C157" s="1">
        <v>45212</v>
      </c>
      <c r="D157" s="35">
        <v>101342.84</v>
      </c>
      <c r="E157" s="2" t="s">
        <v>15</v>
      </c>
      <c r="F157" s="2" t="s">
        <v>23</v>
      </c>
      <c r="G157" s="2" t="s">
        <v>12</v>
      </c>
      <c r="H157">
        <v>28</v>
      </c>
      <c r="I157" s="2" t="str">
        <f>TEXT(Sheet1[[#This Row],[claim_date]],"mmmm")</f>
        <v>October</v>
      </c>
      <c r="J157" s="2">
        <f>YEAR(Sheet1[[#This Row],[claim_date]])</f>
        <v>2023</v>
      </c>
      <c r="K157" s="2" t="str">
        <f>"Q"&amp;ROUNDUP(MONTH(Sheet1[[#This Row],[claim_date]])/3,0)</f>
        <v>Q4</v>
      </c>
      <c r="L157" s="2" t="str">
        <f>IF(Sheet1[[#This Row],[claim_amount]]&lt;100000,"Low",IF(Sheet1[[#This Row],[claim_amount]]&lt;200000,"Medium","High"))</f>
        <v>Medium</v>
      </c>
      <c r="M157" s="2" t="str">
        <f>IF(Sheet1[[#This Row],[days_to_process]]&lt;=30,"Fast","Slow")</f>
        <v>Fast</v>
      </c>
    </row>
    <row r="158" spans="1:13" x14ac:dyDescent="0.3">
      <c r="A158" t="s">
        <v>326</v>
      </c>
      <c r="B158" s="2" t="s">
        <v>327</v>
      </c>
      <c r="C158" s="1">
        <v>45496</v>
      </c>
      <c r="D158" s="35">
        <v>340497.59</v>
      </c>
      <c r="E158" s="2" t="s">
        <v>10</v>
      </c>
      <c r="F158" s="2" t="s">
        <v>34</v>
      </c>
      <c r="G158" s="2" t="s">
        <v>24</v>
      </c>
      <c r="H158">
        <v>52</v>
      </c>
      <c r="I158" s="2" t="str">
        <f>TEXT(Sheet1[[#This Row],[claim_date]],"mmmm")</f>
        <v>July</v>
      </c>
      <c r="J158" s="2">
        <f>YEAR(Sheet1[[#This Row],[claim_date]])</f>
        <v>2024</v>
      </c>
      <c r="K158" s="2" t="str">
        <f>"Q"&amp;ROUNDUP(MONTH(Sheet1[[#This Row],[claim_date]])/3,0)</f>
        <v>Q3</v>
      </c>
      <c r="L158" s="2" t="str">
        <f>IF(Sheet1[[#This Row],[claim_amount]]&lt;100000,"Low",IF(Sheet1[[#This Row],[claim_amount]]&lt;200000,"Medium","High"))</f>
        <v>High</v>
      </c>
      <c r="M158" s="2" t="str">
        <f>IF(Sheet1[[#This Row],[days_to_process]]&lt;=30,"Fast","Slow")</f>
        <v>Slow</v>
      </c>
    </row>
    <row r="159" spans="1:13" x14ac:dyDescent="0.3">
      <c r="A159" t="s">
        <v>328</v>
      </c>
      <c r="B159" s="2" t="s">
        <v>211</v>
      </c>
      <c r="C159" s="1">
        <v>44820</v>
      </c>
      <c r="D159" s="35">
        <v>114187.16</v>
      </c>
      <c r="E159" s="2" t="s">
        <v>15</v>
      </c>
      <c r="F159" s="2" t="s">
        <v>16</v>
      </c>
      <c r="G159" s="2" t="s">
        <v>12</v>
      </c>
      <c r="H159">
        <v>35</v>
      </c>
      <c r="I159" s="2" t="str">
        <f>TEXT(Sheet1[[#This Row],[claim_date]],"mmmm")</f>
        <v>September</v>
      </c>
      <c r="J159" s="2">
        <f>YEAR(Sheet1[[#This Row],[claim_date]])</f>
        <v>2022</v>
      </c>
      <c r="K159" s="2" t="str">
        <f>"Q"&amp;ROUNDUP(MONTH(Sheet1[[#This Row],[claim_date]])/3,0)</f>
        <v>Q3</v>
      </c>
      <c r="L159" s="2" t="str">
        <f>IF(Sheet1[[#This Row],[claim_amount]]&lt;100000,"Low",IF(Sheet1[[#This Row],[claim_amount]]&lt;200000,"Medium","High"))</f>
        <v>Medium</v>
      </c>
      <c r="M159" s="2" t="str">
        <f>IF(Sheet1[[#This Row],[days_to_process]]&lt;=30,"Fast","Slow")</f>
        <v>Slow</v>
      </c>
    </row>
    <row r="160" spans="1:13" x14ac:dyDescent="0.3">
      <c r="A160" t="s">
        <v>329</v>
      </c>
      <c r="B160" s="2" t="s">
        <v>330</v>
      </c>
      <c r="C160" s="1">
        <v>44974</v>
      </c>
      <c r="D160" s="35">
        <v>282092.68</v>
      </c>
      <c r="E160" s="2" t="s">
        <v>10</v>
      </c>
      <c r="F160" s="2" t="s">
        <v>20</v>
      </c>
      <c r="G160" s="2" t="s">
        <v>12</v>
      </c>
      <c r="H160">
        <v>13</v>
      </c>
      <c r="I160" s="2" t="str">
        <f>TEXT(Sheet1[[#This Row],[claim_date]],"mmmm")</f>
        <v>February</v>
      </c>
      <c r="J160" s="2">
        <f>YEAR(Sheet1[[#This Row],[claim_date]])</f>
        <v>2023</v>
      </c>
      <c r="K160" s="2" t="str">
        <f>"Q"&amp;ROUNDUP(MONTH(Sheet1[[#This Row],[claim_date]])/3,0)</f>
        <v>Q1</v>
      </c>
      <c r="L160" s="2" t="str">
        <f>IF(Sheet1[[#This Row],[claim_amount]]&lt;100000,"Low",IF(Sheet1[[#This Row],[claim_amount]]&lt;200000,"Medium","High"))</f>
        <v>High</v>
      </c>
      <c r="M160" s="2" t="str">
        <f>IF(Sheet1[[#This Row],[days_to_process]]&lt;=30,"Fast","Slow")</f>
        <v>Fast</v>
      </c>
    </row>
    <row r="161" spans="1:13" x14ac:dyDescent="0.3">
      <c r="A161" t="s">
        <v>331</v>
      </c>
      <c r="B161" s="2" t="s">
        <v>332</v>
      </c>
      <c r="C161" s="1">
        <v>44751</v>
      </c>
      <c r="D161" s="35">
        <v>336832.73</v>
      </c>
      <c r="E161" s="2" t="s">
        <v>10</v>
      </c>
      <c r="F161" s="2" t="s">
        <v>11</v>
      </c>
      <c r="G161" s="2" t="s">
        <v>12</v>
      </c>
      <c r="H161">
        <v>55</v>
      </c>
      <c r="I161" s="2" t="str">
        <f>TEXT(Sheet1[[#This Row],[claim_date]],"mmmm")</f>
        <v>July</v>
      </c>
      <c r="J161" s="2">
        <f>YEAR(Sheet1[[#This Row],[claim_date]])</f>
        <v>2022</v>
      </c>
      <c r="K161" s="2" t="str">
        <f>"Q"&amp;ROUNDUP(MONTH(Sheet1[[#This Row],[claim_date]])/3,0)</f>
        <v>Q3</v>
      </c>
      <c r="L161" s="2" t="str">
        <f>IF(Sheet1[[#This Row],[claim_amount]]&lt;100000,"Low",IF(Sheet1[[#This Row],[claim_amount]]&lt;200000,"Medium","High"))</f>
        <v>High</v>
      </c>
      <c r="M161" s="2" t="str">
        <f>IF(Sheet1[[#This Row],[days_to_process]]&lt;=30,"Fast","Slow")</f>
        <v>Slow</v>
      </c>
    </row>
    <row r="162" spans="1:13" x14ac:dyDescent="0.3">
      <c r="A162" t="s">
        <v>333</v>
      </c>
      <c r="B162" s="2" t="s">
        <v>334</v>
      </c>
      <c r="C162" s="1">
        <v>44412</v>
      </c>
      <c r="D162" s="35">
        <v>291861</v>
      </c>
      <c r="E162" s="2" t="s">
        <v>15</v>
      </c>
      <c r="F162" s="2" t="s">
        <v>16</v>
      </c>
      <c r="G162" s="2" t="s">
        <v>12</v>
      </c>
      <c r="H162">
        <v>3</v>
      </c>
      <c r="I162" s="2" t="str">
        <f>TEXT(Sheet1[[#This Row],[claim_date]],"mmmm")</f>
        <v>August</v>
      </c>
      <c r="J162" s="2">
        <f>YEAR(Sheet1[[#This Row],[claim_date]])</f>
        <v>2021</v>
      </c>
      <c r="K162" s="2" t="str">
        <f>"Q"&amp;ROUNDUP(MONTH(Sheet1[[#This Row],[claim_date]])/3,0)</f>
        <v>Q3</v>
      </c>
      <c r="L162" s="2" t="str">
        <f>IF(Sheet1[[#This Row],[claim_amount]]&lt;100000,"Low",IF(Sheet1[[#This Row],[claim_amount]]&lt;200000,"Medium","High"))</f>
        <v>High</v>
      </c>
      <c r="M162" s="2" t="str">
        <f>IF(Sheet1[[#This Row],[days_to_process]]&lt;=30,"Fast","Slow")</f>
        <v>Fast</v>
      </c>
    </row>
    <row r="163" spans="1:13" x14ac:dyDescent="0.3">
      <c r="A163" t="s">
        <v>335</v>
      </c>
      <c r="B163" s="2" t="s">
        <v>336</v>
      </c>
      <c r="C163" s="1">
        <v>45513</v>
      </c>
      <c r="D163" s="35">
        <v>427818.99</v>
      </c>
      <c r="E163" s="2" t="s">
        <v>10</v>
      </c>
      <c r="F163" s="2" t="s">
        <v>23</v>
      </c>
      <c r="G163" s="2" t="s">
        <v>12</v>
      </c>
      <c r="H163">
        <v>44</v>
      </c>
      <c r="I163" s="2" t="str">
        <f>TEXT(Sheet1[[#This Row],[claim_date]],"mmmm")</f>
        <v>August</v>
      </c>
      <c r="J163" s="2">
        <f>YEAR(Sheet1[[#This Row],[claim_date]])</f>
        <v>2024</v>
      </c>
      <c r="K163" s="2" t="str">
        <f>"Q"&amp;ROUNDUP(MONTH(Sheet1[[#This Row],[claim_date]])/3,0)</f>
        <v>Q3</v>
      </c>
      <c r="L163" s="2" t="str">
        <f>IF(Sheet1[[#This Row],[claim_amount]]&lt;100000,"Low",IF(Sheet1[[#This Row],[claim_amount]]&lt;200000,"Medium","High"))</f>
        <v>High</v>
      </c>
      <c r="M163" s="2" t="str">
        <f>IF(Sheet1[[#This Row],[days_to_process]]&lt;=30,"Fast","Slow")</f>
        <v>Slow</v>
      </c>
    </row>
    <row r="164" spans="1:13" x14ac:dyDescent="0.3">
      <c r="A164" t="s">
        <v>337</v>
      </c>
      <c r="B164" s="2" t="s">
        <v>338</v>
      </c>
      <c r="C164" s="1">
        <v>45318</v>
      </c>
      <c r="D164" s="35">
        <v>457507.89</v>
      </c>
      <c r="E164" s="2" t="s">
        <v>15</v>
      </c>
      <c r="F164" s="2" t="s">
        <v>20</v>
      </c>
      <c r="G164" s="2" t="s">
        <v>12</v>
      </c>
      <c r="H164">
        <v>35</v>
      </c>
      <c r="I164" s="2" t="str">
        <f>TEXT(Sheet1[[#This Row],[claim_date]],"mmmm")</f>
        <v>January</v>
      </c>
      <c r="J164" s="2">
        <f>YEAR(Sheet1[[#This Row],[claim_date]])</f>
        <v>2024</v>
      </c>
      <c r="K164" s="2" t="str">
        <f>"Q"&amp;ROUNDUP(MONTH(Sheet1[[#This Row],[claim_date]])/3,0)</f>
        <v>Q1</v>
      </c>
      <c r="L164" s="2" t="str">
        <f>IF(Sheet1[[#This Row],[claim_amount]]&lt;100000,"Low",IF(Sheet1[[#This Row],[claim_amount]]&lt;200000,"Medium","High"))</f>
        <v>High</v>
      </c>
      <c r="M164" s="2" t="str">
        <f>IF(Sheet1[[#This Row],[days_to_process]]&lt;=30,"Fast","Slow")</f>
        <v>Slow</v>
      </c>
    </row>
    <row r="165" spans="1:13" x14ac:dyDescent="0.3">
      <c r="A165" t="s">
        <v>339</v>
      </c>
      <c r="B165" s="2" t="s">
        <v>340</v>
      </c>
      <c r="C165" s="1">
        <v>45448</v>
      </c>
      <c r="D165" s="35">
        <v>493129.9</v>
      </c>
      <c r="E165" s="2" t="s">
        <v>15</v>
      </c>
      <c r="F165" s="2" t="s">
        <v>16</v>
      </c>
      <c r="G165" s="2" t="s">
        <v>24</v>
      </c>
      <c r="H165">
        <v>38</v>
      </c>
      <c r="I165" s="2" t="str">
        <f>TEXT(Sheet1[[#This Row],[claim_date]],"mmmm")</f>
        <v>June</v>
      </c>
      <c r="J165" s="2">
        <f>YEAR(Sheet1[[#This Row],[claim_date]])</f>
        <v>2024</v>
      </c>
      <c r="K165" s="2" t="str">
        <f>"Q"&amp;ROUNDUP(MONTH(Sheet1[[#This Row],[claim_date]])/3,0)</f>
        <v>Q2</v>
      </c>
      <c r="L165" s="2" t="str">
        <f>IF(Sheet1[[#This Row],[claim_amount]]&lt;100000,"Low",IF(Sheet1[[#This Row],[claim_amount]]&lt;200000,"Medium","High"))</f>
        <v>High</v>
      </c>
      <c r="M165" s="2" t="str">
        <f>IF(Sheet1[[#This Row],[days_to_process]]&lt;=30,"Fast","Slow")</f>
        <v>Slow</v>
      </c>
    </row>
    <row r="166" spans="1:13" x14ac:dyDescent="0.3">
      <c r="A166" t="s">
        <v>341</v>
      </c>
      <c r="B166" s="2" t="s">
        <v>342</v>
      </c>
      <c r="C166" s="1">
        <v>45405</v>
      </c>
      <c r="D166" s="35">
        <v>185218.51</v>
      </c>
      <c r="E166" s="2" t="s">
        <v>19</v>
      </c>
      <c r="F166" s="2" t="s">
        <v>20</v>
      </c>
      <c r="G166" s="2" t="s">
        <v>12</v>
      </c>
      <c r="H166">
        <v>9</v>
      </c>
      <c r="I166" s="2" t="str">
        <f>TEXT(Sheet1[[#This Row],[claim_date]],"mmmm")</f>
        <v>April</v>
      </c>
      <c r="J166" s="2">
        <f>YEAR(Sheet1[[#This Row],[claim_date]])</f>
        <v>2024</v>
      </c>
      <c r="K166" s="2" t="str">
        <f>"Q"&amp;ROUNDUP(MONTH(Sheet1[[#This Row],[claim_date]])/3,0)</f>
        <v>Q2</v>
      </c>
      <c r="L166" s="2" t="str">
        <f>IF(Sheet1[[#This Row],[claim_amount]]&lt;100000,"Low",IF(Sheet1[[#This Row],[claim_amount]]&lt;200000,"Medium","High"))</f>
        <v>Medium</v>
      </c>
      <c r="M166" s="2" t="str">
        <f>IF(Sheet1[[#This Row],[days_to_process]]&lt;=30,"Fast","Slow")</f>
        <v>Fast</v>
      </c>
    </row>
    <row r="167" spans="1:13" x14ac:dyDescent="0.3">
      <c r="A167" t="s">
        <v>343</v>
      </c>
      <c r="B167" s="2" t="s">
        <v>344</v>
      </c>
      <c r="C167" s="1">
        <v>44741</v>
      </c>
      <c r="D167" s="35">
        <v>115903.76</v>
      </c>
      <c r="E167" s="2" t="s">
        <v>15</v>
      </c>
      <c r="F167" s="2" t="s">
        <v>34</v>
      </c>
      <c r="G167" s="2" t="s">
        <v>12</v>
      </c>
      <c r="H167">
        <v>35</v>
      </c>
      <c r="I167" s="2" t="str">
        <f>TEXT(Sheet1[[#This Row],[claim_date]],"mmmm")</f>
        <v>June</v>
      </c>
      <c r="J167" s="2">
        <f>YEAR(Sheet1[[#This Row],[claim_date]])</f>
        <v>2022</v>
      </c>
      <c r="K167" s="2" t="str">
        <f>"Q"&amp;ROUNDUP(MONTH(Sheet1[[#This Row],[claim_date]])/3,0)</f>
        <v>Q2</v>
      </c>
      <c r="L167" s="2" t="str">
        <f>IF(Sheet1[[#This Row],[claim_amount]]&lt;100000,"Low",IF(Sheet1[[#This Row],[claim_amount]]&lt;200000,"Medium","High"))</f>
        <v>Medium</v>
      </c>
      <c r="M167" s="2" t="str">
        <f>IF(Sheet1[[#This Row],[days_to_process]]&lt;=30,"Fast","Slow")</f>
        <v>Slow</v>
      </c>
    </row>
    <row r="168" spans="1:13" x14ac:dyDescent="0.3">
      <c r="A168" t="s">
        <v>345</v>
      </c>
      <c r="B168" s="2" t="s">
        <v>346</v>
      </c>
      <c r="C168" s="1">
        <v>45413</v>
      </c>
      <c r="D168" s="35">
        <v>393178.33</v>
      </c>
      <c r="E168" s="2" t="s">
        <v>15</v>
      </c>
      <c r="F168" s="2" t="s">
        <v>20</v>
      </c>
      <c r="G168" s="2" t="s">
        <v>24</v>
      </c>
      <c r="H168">
        <v>7</v>
      </c>
      <c r="I168" s="2" t="str">
        <f>TEXT(Sheet1[[#This Row],[claim_date]],"mmmm")</f>
        <v>May</v>
      </c>
      <c r="J168" s="2">
        <f>YEAR(Sheet1[[#This Row],[claim_date]])</f>
        <v>2024</v>
      </c>
      <c r="K168" s="2" t="str">
        <f>"Q"&amp;ROUNDUP(MONTH(Sheet1[[#This Row],[claim_date]])/3,0)</f>
        <v>Q2</v>
      </c>
      <c r="L168" s="2" t="str">
        <f>IF(Sheet1[[#This Row],[claim_amount]]&lt;100000,"Low",IF(Sheet1[[#This Row],[claim_amount]]&lt;200000,"Medium","High"))</f>
        <v>High</v>
      </c>
      <c r="M168" s="2" t="str">
        <f>IF(Sheet1[[#This Row],[days_to_process]]&lt;=30,"Fast","Slow")</f>
        <v>Fast</v>
      </c>
    </row>
    <row r="169" spans="1:13" x14ac:dyDescent="0.3">
      <c r="A169" t="s">
        <v>347</v>
      </c>
      <c r="B169" s="2" t="s">
        <v>348</v>
      </c>
      <c r="C169" s="1">
        <v>45305</v>
      </c>
      <c r="D169" s="35">
        <v>190001.79</v>
      </c>
      <c r="E169" s="2" t="s">
        <v>15</v>
      </c>
      <c r="F169" s="2" t="s">
        <v>20</v>
      </c>
      <c r="G169" s="2" t="s">
        <v>24</v>
      </c>
      <c r="H169">
        <v>51</v>
      </c>
      <c r="I169" s="2" t="str">
        <f>TEXT(Sheet1[[#This Row],[claim_date]],"mmmm")</f>
        <v>January</v>
      </c>
      <c r="J169" s="2">
        <f>YEAR(Sheet1[[#This Row],[claim_date]])</f>
        <v>2024</v>
      </c>
      <c r="K169" s="2" t="str">
        <f>"Q"&amp;ROUNDUP(MONTH(Sheet1[[#This Row],[claim_date]])/3,0)</f>
        <v>Q1</v>
      </c>
      <c r="L169" s="2" t="str">
        <f>IF(Sheet1[[#This Row],[claim_amount]]&lt;100000,"Low",IF(Sheet1[[#This Row],[claim_amount]]&lt;200000,"Medium","High"))</f>
        <v>Medium</v>
      </c>
      <c r="M169" s="2" t="str">
        <f>IF(Sheet1[[#This Row],[days_to_process]]&lt;=30,"Fast","Slow")</f>
        <v>Slow</v>
      </c>
    </row>
    <row r="170" spans="1:13" x14ac:dyDescent="0.3">
      <c r="A170" t="s">
        <v>349</v>
      </c>
      <c r="B170" s="2" t="s">
        <v>350</v>
      </c>
      <c r="C170" s="1">
        <v>45439</v>
      </c>
      <c r="D170" s="35">
        <v>366097.3</v>
      </c>
      <c r="E170" s="2" t="s">
        <v>19</v>
      </c>
      <c r="F170" s="2" t="s">
        <v>20</v>
      </c>
      <c r="G170" s="2" t="s">
        <v>24</v>
      </c>
      <c r="H170">
        <v>49</v>
      </c>
      <c r="I170" s="2" t="str">
        <f>TEXT(Sheet1[[#This Row],[claim_date]],"mmmm")</f>
        <v>May</v>
      </c>
      <c r="J170" s="2">
        <f>YEAR(Sheet1[[#This Row],[claim_date]])</f>
        <v>2024</v>
      </c>
      <c r="K170" s="2" t="str">
        <f>"Q"&amp;ROUNDUP(MONTH(Sheet1[[#This Row],[claim_date]])/3,0)</f>
        <v>Q2</v>
      </c>
      <c r="L170" s="2" t="str">
        <f>IF(Sheet1[[#This Row],[claim_amount]]&lt;100000,"Low",IF(Sheet1[[#This Row],[claim_amount]]&lt;200000,"Medium","High"))</f>
        <v>High</v>
      </c>
      <c r="M170" s="2" t="str">
        <f>IF(Sheet1[[#This Row],[days_to_process]]&lt;=30,"Fast","Slow")</f>
        <v>Slow</v>
      </c>
    </row>
    <row r="171" spans="1:13" x14ac:dyDescent="0.3">
      <c r="A171" t="s">
        <v>351</v>
      </c>
      <c r="B171" s="2" t="s">
        <v>352</v>
      </c>
      <c r="C171" s="1">
        <v>44218</v>
      </c>
      <c r="D171" s="35">
        <v>433352.03</v>
      </c>
      <c r="E171" s="2" t="s">
        <v>19</v>
      </c>
      <c r="F171" s="2" t="s">
        <v>16</v>
      </c>
      <c r="G171" s="2" t="s">
        <v>12</v>
      </c>
      <c r="H171">
        <v>29</v>
      </c>
      <c r="I171" s="2" t="str">
        <f>TEXT(Sheet1[[#This Row],[claim_date]],"mmmm")</f>
        <v>January</v>
      </c>
      <c r="J171" s="2">
        <f>YEAR(Sheet1[[#This Row],[claim_date]])</f>
        <v>2021</v>
      </c>
      <c r="K171" s="2" t="str">
        <f>"Q"&amp;ROUNDUP(MONTH(Sheet1[[#This Row],[claim_date]])/3,0)</f>
        <v>Q1</v>
      </c>
      <c r="L171" s="2" t="str">
        <f>IF(Sheet1[[#This Row],[claim_amount]]&lt;100000,"Low",IF(Sheet1[[#This Row],[claim_amount]]&lt;200000,"Medium","High"))</f>
        <v>High</v>
      </c>
      <c r="M171" s="2" t="str">
        <f>IF(Sheet1[[#This Row],[days_to_process]]&lt;=30,"Fast","Slow")</f>
        <v>Fast</v>
      </c>
    </row>
    <row r="172" spans="1:13" x14ac:dyDescent="0.3">
      <c r="A172" t="s">
        <v>353</v>
      </c>
      <c r="B172" s="2" t="s">
        <v>354</v>
      </c>
      <c r="C172" s="1">
        <v>45279</v>
      </c>
      <c r="D172" s="35">
        <v>412188.8</v>
      </c>
      <c r="E172" s="2" t="s">
        <v>10</v>
      </c>
      <c r="F172" s="2" t="s">
        <v>23</v>
      </c>
      <c r="G172" s="2" t="s">
        <v>12</v>
      </c>
      <c r="H172">
        <v>25</v>
      </c>
      <c r="I172" s="2" t="str">
        <f>TEXT(Sheet1[[#This Row],[claim_date]],"mmmm")</f>
        <v>December</v>
      </c>
      <c r="J172" s="2">
        <f>YEAR(Sheet1[[#This Row],[claim_date]])</f>
        <v>2023</v>
      </c>
      <c r="K172" s="2" t="str">
        <f>"Q"&amp;ROUNDUP(MONTH(Sheet1[[#This Row],[claim_date]])/3,0)</f>
        <v>Q4</v>
      </c>
      <c r="L172" s="2" t="str">
        <f>IF(Sheet1[[#This Row],[claim_amount]]&lt;100000,"Low",IF(Sheet1[[#This Row],[claim_amount]]&lt;200000,"Medium","High"))</f>
        <v>High</v>
      </c>
      <c r="M172" s="2" t="str">
        <f>IF(Sheet1[[#This Row],[days_to_process]]&lt;=30,"Fast","Slow")</f>
        <v>Fast</v>
      </c>
    </row>
    <row r="173" spans="1:13" x14ac:dyDescent="0.3">
      <c r="A173" t="s">
        <v>355</v>
      </c>
      <c r="B173" s="2" t="s">
        <v>356</v>
      </c>
      <c r="C173" s="1">
        <v>45318</v>
      </c>
      <c r="D173" s="35">
        <v>467606.14</v>
      </c>
      <c r="E173" s="2" t="s">
        <v>15</v>
      </c>
      <c r="F173" s="2" t="s">
        <v>11</v>
      </c>
      <c r="G173" s="2" t="s">
        <v>24</v>
      </c>
      <c r="H173">
        <v>15</v>
      </c>
      <c r="I173" s="2" t="str">
        <f>TEXT(Sheet1[[#This Row],[claim_date]],"mmmm")</f>
        <v>January</v>
      </c>
      <c r="J173" s="2">
        <f>YEAR(Sheet1[[#This Row],[claim_date]])</f>
        <v>2024</v>
      </c>
      <c r="K173" s="2" t="str">
        <f>"Q"&amp;ROUNDUP(MONTH(Sheet1[[#This Row],[claim_date]])/3,0)</f>
        <v>Q1</v>
      </c>
      <c r="L173" s="2" t="str">
        <f>IF(Sheet1[[#This Row],[claim_amount]]&lt;100000,"Low",IF(Sheet1[[#This Row],[claim_amount]]&lt;200000,"Medium","High"))</f>
        <v>High</v>
      </c>
      <c r="M173" s="2" t="str">
        <f>IF(Sheet1[[#This Row],[days_to_process]]&lt;=30,"Fast","Slow")</f>
        <v>Fast</v>
      </c>
    </row>
    <row r="174" spans="1:13" x14ac:dyDescent="0.3">
      <c r="A174" t="s">
        <v>357</v>
      </c>
      <c r="B174" s="2" t="s">
        <v>358</v>
      </c>
      <c r="C174" s="1">
        <v>45182</v>
      </c>
      <c r="D174" s="35">
        <v>126099.15</v>
      </c>
      <c r="E174" s="2" t="s">
        <v>19</v>
      </c>
      <c r="F174" s="2" t="s">
        <v>23</v>
      </c>
      <c r="G174" s="2" t="s">
        <v>12</v>
      </c>
      <c r="H174">
        <v>50</v>
      </c>
      <c r="I174" s="2" t="str">
        <f>TEXT(Sheet1[[#This Row],[claim_date]],"mmmm")</f>
        <v>September</v>
      </c>
      <c r="J174" s="2">
        <f>YEAR(Sheet1[[#This Row],[claim_date]])</f>
        <v>2023</v>
      </c>
      <c r="K174" s="2" t="str">
        <f>"Q"&amp;ROUNDUP(MONTH(Sheet1[[#This Row],[claim_date]])/3,0)</f>
        <v>Q3</v>
      </c>
      <c r="L174" s="2" t="str">
        <f>IF(Sheet1[[#This Row],[claim_amount]]&lt;100000,"Low",IF(Sheet1[[#This Row],[claim_amount]]&lt;200000,"Medium","High"))</f>
        <v>Medium</v>
      </c>
      <c r="M174" s="2" t="str">
        <f>IF(Sheet1[[#This Row],[days_to_process]]&lt;=30,"Fast","Slow")</f>
        <v>Slow</v>
      </c>
    </row>
    <row r="175" spans="1:13" x14ac:dyDescent="0.3">
      <c r="A175" t="s">
        <v>359</v>
      </c>
      <c r="B175" s="2" t="s">
        <v>360</v>
      </c>
      <c r="C175" s="1">
        <v>45434</v>
      </c>
      <c r="D175" s="35">
        <v>449234.45</v>
      </c>
      <c r="E175" s="2" t="s">
        <v>15</v>
      </c>
      <c r="F175" s="2" t="s">
        <v>16</v>
      </c>
      <c r="G175" s="2" t="s">
        <v>12</v>
      </c>
      <c r="H175">
        <v>50</v>
      </c>
      <c r="I175" s="2" t="str">
        <f>TEXT(Sheet1[[#This Row],[claim_date]],"mmmm")</f>
        <v>May</v>
      </c>
      <c r="J175" s="2">
        <f>YEAR(Sheet1[[#This Row],[claim_date]])</f>
        <v>2024</v>
      </c>
      <c r="K175" s="2" t="str">
        <f>"Q"&amp;ROUNDUP(MONTH(Sheet1[[#This Row],[claim_date]])/3,0)</f>
        <v>Q2</v>
      </c>
      <c r="L175" s="2" t="str">
        <f>IF(Sheet1[[#This Row],[claim_amount]]&lt;100000,"Low",IF(Sheet1[[#This Row],[claim_amount]]&lt;200000,"Medium","High"))</f>
        <v>High</v>
      </c>
      <c r="M175" s="2" t="str">
        <f>IF(Sheet1[[#This Row],[days_to_process]]&lt;=30,"Fast","Slow")</f>
        <v>Slow</v>
      </c>
    </row>
    <row r="176" spans="1:13" x14ac:dyDescent="0.3">
      <c r="A176" t="s">
        <v>361</v>
      </c>
      <c r="B176" s="2" t="s">
        <v>362</v>
      </c>
      <c r="C176" s="1">
        <v>44691</v>
      </c>
      <c r="D176" s="35">
        <v>405661.21</v>
      </c>
      <c r="E176" s="2" t="s">
        <v>10</v>
      </c>
      <c r="F176" s="2" t="s">
        <v>20</v>
      </c>
      <c r="G176" s="2" t="s">
        <v>12</v>
      </c>
      <c r="H176">
        <v>31</v>
      </c>
      <c r="I176" s="2" t="str">
        <f>TEXT(Sheet1[[#This Row],[claim_date]],"mmmm")</f>
        <v>May</v>
      </c>
      <c r="J176" s="2">
        <f>YEAR(Sheet1[[#This Row],[claim_date]])</f>
        <v>2022</v>
      </c>
      <c r="K176" s="2" t="str">
        <f>"Q"&amp;ROUNDUP(MONTH(Sheet1[[#This Row],[claim_date]])/3,0)</f>
        <v>Q2</v>
      </c>
      <c r="L176" s="2" t="str">
        <f>IF(Sheet1[[#This Row],[claim_amount]]&lt;100000,"Low",IF(Sheet1[[#This Row],[claim_amount]]&lt;200000,"Medium","High"))</f>
        <v>High</v>
      </c>
      <c r="M176" s="2" t="str">
        <f>IF(Sheet1[[#This Row],[days_to_process]]&lt;=30,"Fast","Slow")</f>
        <v>Slow</v>
      </c>
    </row>
    <row r="177" spans="1:13" x14ac:dyDescent="0.3">
      <c r="A177" t="s">
        <v>363</v>
      </c>
      <c r="B177" s="2" t="s">
        <v>364</v>
      </c>
      <c r="C177" s="1">
        <v>45300</v>
      </c>
      <c r="D177" s="35">
        <v>272997.51</v>
      </c>
      <c r="E177" s="2" t="s">
        <v>10</v>
      </c>
      <c r="F177" s="2" t="s">
        <v>34</v>
      </c>
      <c r="G177" s="2" t="s">
        <v>12</v>
      </c>
      <c r="H177">
        <v>43</v>
      </c>
      <c r="I177" s="2" t="str">
        <f>TEXT(Sheet1[[#This Row],[claim_date]],"mmmm")</f>
        <v>January</v>
      </c>
      <c r="J177" s="2">
        <f>YEAR(Sheet1[[#This Row],[claim_date]])</f>
        <v>2024</v>
      </c>
      <c r="K177" s="2" t="str">
        <f>"Q"&amp;ROUNDUP(MONTH(Sheet1[[#This Row],[claim_date]])/3,0)</f>
        <v>Q1</v>
      </c>
      <c r="L177" s="2" t="str">
        <f>IF(Sheet1[[#This Row],[claim_amount]]&lt;100000,"Low",IF(Sheet1[[#This Row],[claim_amount]]&lt;200000,"Medium","High"))</f>
        <v>High</v>
      </c>
      <c r="M177" s="2" t="str">
        <f>IF(Sheet1[[#This Row],[days_to_process]]&lt;=30,"Fast","Slow")</f>
        <v>Slow</v>
      </c>
    </row>
    <row r="178" spans="1:13" x14ac:dyDescent="0.3">
      <c r="A178" t="s">
        <v>365</v>
      </c>
      <c r="B178" s="2" t="s">
        <v>366</v>
      </c>
      <c r="C178" s="1">
        <v>44987</v>
      </c>
      <c r="D178" s="35">
        <v>49245.39</v>
      </c>
      <c r="E178" s="2" t="s">
        <v>19</v>
      </c>
      <c r="F178" s="2" t="s">
        <v>34</v>
      </c>
      <c r="G178" s="2" t="s">
        <v>12</v>
      </c>
      <c r="H178">
        <v>57</v>
      </c>
      <c r="I178" s="2" t="str">
        <f>TEXT(Sheet1[[#This Row],[claim_date]],"mmmm")</f>
        <v>March</v>
      </c>
      <c r="J178" s="2">
        <f>YEAR(Sheet1[[#This Row],[claim_date]])</f>
        <v>2023</v>
      </c>
      <c r="K178" s="2" t="str">
        <f>"Q"&amp;ROUNDUP(MONTH(Sheet1[[#This Row],[claim_date]])/3,0)</f>
        <v>Q1</v>
      </c>
      <c r="L178" s="2" t="str">
        <f>IF(Sheet1[[#This Row],[claim_amount]]&lt;100000,"Low",IF(Sheet1[[#This Row],[claim_amount]]&lt;200000,"Medium","High"))</f>
        <v>Low</v>
      </c>
      <c r="M178" s="2" t="str">
        <f>IF(Sheet1[[#This Row],[days_to_process]]&lt;=30,"Fast","Slow")</f>
        <v>Slow</v>
      </c>
    </row>
    <row r="179" spans="1:13" x14ac:dyDescent="0.3">
      <c r="A179" t="s">
        <v>367</v>
      </c>
      <c r="B179" s="2" t="s">
        <v>368</v>
      </c>
      <c r="C179" s="1">
        <v>45174</v>
      </c>
      <c r="D179" s="35">
        <v>447811.8</v>
      </c>
      <c r="E179" s="2" t="s">
        <v>15</v>
      </c>
      <c r="F179" s="2" t="s">
        <v>23</v>
      </c>
      <c r="G179" s="2" t="s">
        <v>24</v>
      </c>
      <c r="H179">
        <v>57</v>
      </c>
      <c r="I179" s="2" t="str">
        <f>TEXT(Sheet1[[#This Row],[claim_date]],"mmmm")</f>
        <v>September</v>
      </c>
      <c r="J179" s="2">
        <f>YEAR(Sheet1[[#This Row],[claim_date]])</f>
        <v>2023</v>
      </c>
      <c r="K179" s="2" t="str">
        <f>"Q"&amp;ROUNDUP(MONTH(Sheet1[[#This Row],[claim_date]])/3,0)</f>
        <v>Q3</v>
      </c>
      <c r="L179" s="2" t="str">
        <f>IF(Sheet1[[#This Row],[claim_amount]]&lt;100000,"Low",IF(Sheet1[[#This Row],[claim_amount]]&lt;200000,"Medium","High"))</f>
        <v>High</v>
      </c>
      <c r="M179" s="2" t="str">
        <f>IF(Sheet1[[#This Row],[days_to_process]]&lt;=30,"Fast","Slow")</f>
        <v>Slow</v>
      </c>
    </row>
    <row r="180" spans="1:13" x14ac:dyDescent="0.3">
      <c r="A180" t="s">
        <v>369</v>
      </c>
      <c r="B180" s="2" t="s">
        <v>370</v>
      </c>
      <c r="C180" s="1">
        <v>44610</v>
      </c>
      <c r="D180" s="35">
        <v>184987.88</v>
      </c>
      <c r="E180" s="2" t="s">
        <v>15</v>
      </c>
      <c r="F180" s="2" t="s">
        <v>34</v>
      </c>
      <c r="G180" s="2" t="s">
        <v>24</v>
      </c>
      <c r="H180">
        <v>50</v>
      </c>
      <c r="I180" s="2" t="str">
        <f>TEXT(Sheet1[[#This Row],[claim_date]],"mmmm")</f>
        <v>February</v>
      </c>
      <c r="J180" s="2">
        <f>YEAR(Sheet1[[#This Row],[claim_date]])</f>
        <v>2022</v>
      </c>
      <c r="K180" s="2" t="str">
        <f>"Q"&amp;ROUNDUP(MONTH(Sheet1[[#This Row],[claim_date]])/3,0)</f>
        <v>Q1</v>
      </c>
      <c r="L180" s="2" t="str">
        <f>IF(Sheet1[[#This Row],[claim_amount]]&lt;100000,"Low",IF(Sheet1[[#This Row],[claim_amount]]&lt;200000,"Medium","High"))</f>
        <v>Medium</v>
      </c>
      <c r="M180" s="2" t="str">
        <f>IF(Sheet1[[#This Row],[days_to_process]]&lt;=30,"Fast","Slow")</f>
        <v>Slow</v>
      </c>
    </row>
    <row r="181" spans="1:13" x14ac:dyDescent="0.3">
      <c r="A181" t="s">
        <v>371</v>
      </c>
      <c r="B181" s="2" t="s">
        <v>372</v>
      </c>
      <c r="C181" s="1">
        <v>45481</v>
      </c>
      <c r="D181" s="35">
        <v>406639.31</v>
      </c>
      <c r="E181" s="2" t="s">
        <v>19</v>
      </c>
      <c r="F181" s="2" t="s">
        <v>11</v>
      </c>
      <c r="G181" s="2" t="s">
        <v>12</v>
      </c>
      <c r="H181">
        <v>36</v>
      </c>
      <c r="I181" s="2" t="str">
        <f>TEXT(Sheet1[[#This Row],[claim_date]],"mmmm")</f>
        <v>July</v>
      </c>
      <c r="J181" s="2">
        <f>YEAR(Sheet1[[#This Row],[claim_date]])</f>
        <v>2024</v>
      </c>
      <c r="K181" s="2" t="str">
        <f>"Q"&amp;ROUNDUP(MONTH(Sheet1[[#This Row],[claim_date]])/3,0)</f>
        <v>Q3</v>
      </c>
      <c r="L181" s="2" t="str">
        <f>IF(Sheet1[[#This Row],[claim_amount]]&lt;100000,"Low",IF(Sheet1[[#This Row],[claim_amount]]&lt;200000,"Medium","High"))</f>
        <v>High</v>
      </c>
      <c r="M181" s="2" t="str">
        <f>IF(Sheet1[[#This Row],[days_to_process]]&lt;=30,"Fast","Slow")</f>
        <v>Slow</v>
      </c>
    </row>
    <row r="182" spans="1:13" x14ac:dyDescent="0.3">
      <c r="A182" t="s">
        <v>373</v>
      </c>
      <c r="B182" s="2" t="s">
        <v>374</v>
      </c>
      <c r="C182" s="1">
        <v>45530</v>
      </c>
      <c r="D182" s="35">
        <v>457481.83</v>
      </c>
      <c r="E182" s="2" t="s">
        <v>15</v>
      </c>
      <c r="F182" s="2" t="s">
        <v>20</v>
      </c>
      <c r="G182" s="2" t="s">
        <v>24</v>
      </c>
      <c r="H182">
        <v>44</v>
      </c>
      <c r="I182" s="2" t="str">
        <f>TEXT(Sheet1[[#This Row],[claim_date]],"mmmm")</f>
        <v>August</v>
      </c>
      <c r="J182" s="2">
        <f>YEAR(Sheet1[[#This Row],[claim_date]])</f>
        <v>2024</v>
      </c>
      <c r="K182" s="2" t="str">
        <f>"Q"&amp;ROUNDUP(MONTH(Sheet1[[#This Row],[claim_date]])/3,0)</f>
        <v>Q3</v>
      </c>
      <c r="L182" s="2" t="str">
        <f>IF(Sheet1[[#This Row],[claim_amount]]&lt;100000,"Low",IF(Sheet1[[#This Row],[claim_amount]]&lt;200000,"Medium","High"))</f>
        <v>High</v>
      </c>
      <c r="M182" s="2" t="str">
        <f>IF(Sheet1[[#This Row],[days_to_process]]&lt;=30,"Fast","Slow")</f>
        <v>Slow</v>
      </c>
    </row>
    <row r="183" spans="1:13" x14ac:dyDescent="0.3">
      <c r="A183" t="s">
        <v>375</v>
      </c>
      <c r="B183" s="2" t="s">
        <v>376</v>
      </c>
      <c r="C183" s="1">
        <v>45183</v>
      </c>
      <c r="D183" s="35">
        <v>59758.77</v>
      </c>
      <c r="E183" s="2" t="s">
        <v>19</v>
      </c>
      <c r="F183" s="2" t="s">
        <v>34</v>
      </c>
      <c r="G183" s="2" t="s">
        <v>24</v>
      </c>
      <c r="H183">
        <v>50</v>
      </c>
      <c r="I183" s="2" t="str">
        <f>TEXT(Sheet1[[#This Row],[claim_date]],"mmmm")</f>
        <v>September</v>
      </c>
      <c r="J183" s="2">
        <f>YEAR(Sheet1[[#This Row],[claim_date]])</f>
        <v>2023</v>
      </c>
      <c r="K183" s="2" t="str">
        <f>"Q"&amp;ROUNDUP(MONTH(Sheet1[[#This Row],[claim_date]])/3,0)</f>
        <v>Q3</v>
      </c>
      <c r="L183" s="2" t="str">
        <f>IF(Sheet1[[#This Row],[claim_amount]]&lt;100000,"Low",IF(Sheet1[[#This Row],[claim_amount]]&lt;200000,"Medium","High"))</f>
        <v>Low</v>
      </c>
      <c r="M183" s="2" t="str">
        <f>IF(Sheet1[[#This Row],[days_to_process]]&lt;=30,"Fast","Slow")</f>
        <v>Slow</v>
      </c>
    </row>
    <row r="184" spans="1:13" x14ac:dyDescent="0.3">
      <c r="A184" t="s">
        <v>377</v>
      </c>
      <c r="B184" s="2" t="s">
        <v>378</v>
      </c>
      <c r="C184" s="1">
        <v>45466</v>
      </c>
      <c r="D184" s="35">
        <v>78435.73</v>
      </c>
      <c r="E184" s="2" t="s">
        <v>10</v>
      </c>
      <c r="F184" s="2" t="s">
        <v>20</v>
      </c>
      <c r="G184" s="2" t="s">
        <v>12</v>
      </c>
      <c r="H184">
        <v>28</v>
      </c>
      <c r="I184" s="2" t="str">
        <f>TEXT(Sheet1[[#This Row],[claim_date]],"mmmm")</f>
        <v>June</v>
      </c>
      <c r="J184" s="2">
        <f>YEAR(Sheet1[[#This Row],[claim_date]])</f>
        <v>2024</v>
      </c>
      <c r="K184" s="2" t="str">
        <f>"Q"&amp;ROUNDUP(MONTH(Sheet1[[#This Row],[claim_date]])/3,0)</f>
        <v>Q2</v>
      </c>
      <c r="L184" s="2" t="str">
        <f>IF(Sheet1[[#This Row],[claim_amount]]&lt;100000,"Low",IF(Sheet1[[#This Row],[claim_amount]]&lt;200000,"Medium","High"))</f>
        <v>Low</v>
      </c>
      <c r="M184" s="2" t="str">
        <f>IF(Sheet1[[#This Row],[days_to_process]]&lt;=30,"Fast","Slow")</f>
        <v>Fast</v>
      </c>
    </row>
    <row r="185" spans="1:13" x14ac:dyDescent="0.3">
      <c r="A185" t="s">
        <v>379</v>
      </c>
      <c r="B185" s="2" t="s">
        <v>380</v>
      </c>
      <c r="C185" s="1">
        <v>45342</v>
      </c>
      <c r="D185" s="35">
        <v>402854.59</v>
      </c>
      <c r="E185" s="2" t="s">
        <v>19</v>
      </c>
      <c r="F185" s="2" t="s">
        <v>20</v>
      </c>
      <c r="G185" s="2" t="s">
        <v>24</v>
      </c>
      <c r="H185">
        <v>34</v>
      </c>
      <c r="I185" s="2" t="str">
        <f>TEXT(Sheet1[[#This Row],[claim_date]],"mmmm")</f>
        <v>February</v>
      </c>
      <c r="J185" s="2">
        <f>YEAR(Sheet1[[#This Row],[claim_date]])</f>
        <v>2024</v>
      </c>
      <c r="K185" s="2" t="str">
        <f>"Q"&amp;ROUNDUP(MONTH(Sheet1[[#This Row],[claim_date]])/3,0)</f>
        <v>Q1</v>
      </c>
      <c r="L185" s="2" t="str">
        <f>IF(Sheet1[[#This Row],[claim_amount]]&lt;100000,"Low",IF(Sheet1[[#This Row],[claim_amount]]&lt;200000,"Medium","High"))</f>
        <v>High</v>
      </c>
      <c r="M185" s="2" t="str">
        <f>IF(Sheet1[[#This Row],[days_to_process]]&lt;=30,"Fast","Slow")</f>
        <v>Slow</v>
      </c>
    </row>
    <row r="186" spans="1:13" x14ac:dyDescent="0.3">
      <c r="A186" t="s">
        <v>381</v>
      </c>
      <c r="B186" s="2" t="s">
        <v>382</v>
      </c>
      <c r="C186" s="1">
        <v>45732</v>
      </c>
      <c r="D186" s="35">
        <v>318254.95</v>
      </c>
      <c r="E186" s="2" t="s">
        <v>19</v>
      </c>
      <c r="F186" s="2" t="s">
        <v>11</v>
      </c>
      <c r="G186" s="2" t="s">
        <v>12</v>
      </c>
      <c r="H186">
        <v>22</v>
      </c>
      <c r="I186" s="2" t="str">
        <f>TEXT(Sheet1[[#This Row],[claim_date]],"mmmm")</f>
        <v>March</v>
      </c>
      <c r="J186" s="2">
        <f>YEAR(Sheet1[[#This Row],[claim_date]])</f>
        <v>2025</v>
      </c>
      <c r="K186" s="2" t="str">
        <f>"Q"&amp;ROUNDUP(MONTH(Sheet1[[#This Row],[claim_date]])/3,0)</f>
        <v>Q1</v>
      </c>
      <c r="L186" s="2" t="str">
        <f>IF(Sheet1[[#This Row],[claim_amount]]&lt;100000,"Low",IF(Sheet1[[#This Row],[claim_amount]]&lt;200000,"Medium","High"))</f>
        <v>High</v>
      </c>
      <c r="M186" s="2" t="str">
        <f>IF(Sheet1[[#This Row],[days_to_process]]&lt;=30,"Fast","Slow")</f>
        <v>Fast</v>
      </c>
    </row>
    <row r="187" spans="1:13" x14ac:dyDescent="0.3">
      <c r="A187" t="s">
        <v>383</v>
      </c>
      <c r="B187" s="2" t="s">
        <v>384</v>
      </c>
      <c r="C187" s="1">
        <v>45219</v>
      </c>
      <c r="D187" s="35">
        <v>267764.89</v>
      </c>
      <c r="E187" s="2" t="s">
        <v>19</v>
      </c>
      <c r="F187" s="2" t="s">
        <v>23</v>
      </c>
      <c r="G187" s="2" t="s">
        <v>24</v>
      </c>
      <c r="H187">
        <v>35</v>
      </c>
      <c r="I187" s="2" t="str">
        <f>TEXT(Sheet1[[#This Row],[claim_date]],"mmmm")</f>
        <v>October</v>
      </c>
      <c r="J187" s="2">
        <f>YEAR(Sheet1[[#This Row],[claim_date]])</f>
        <v>2023</v>
      </c>
      <c r="K187" s="2" t="str">
        <f>"Q"&amp;ROUNDUP(MONTH(Sheet1[[#This Row],[claim_date]])/3,0)</f>
        <v>Q4</v>
      </c>
      <c r="L187" s="2" t="str">
        <f>IF(Sheet1[[#This Row],[claim_amount]]&lt;100000,"Low",IF(Sheet1[[#This Row],[claim_amount]]&lt;200000,"Medium","High"))</f>
        <v>High</v>
      </c>
      <c r="M187" s="2" t="str">
        <f>IF(Sheet1[[#This Row],[days_to_process]]&lt;=30,"Fast","Slow")</f>
        <v>Slow</v>
      </c>
    </row>
    <row r="188" spans="1:13" x14ac:dyDescent="0.3">
      <c r="A188" t="s">
        <v>385</v>
      </c>
      <c r="B188" s="2" t="s">
        <v>386</v>
      </c>
      <c r="C188" s="1">
        <v>44463</v>
      </c>
      <c r="D188" s="35">
        <v>309627.51</v>
      </c>
      <c r="E188" s="2" t="s">
        <v>10</v>
      </c>
      <c r="F188" s="2" t="s">
        <v>16</v>
      </c>
      <c r="G188" s="2" t="s">
        <v>24</v>
      </c>
      <c r="H188">
        <v>21</v>
      </c>
      <c r="I188" s="2" t="str">
        <f>TEXT(Sheet1[[#This Row],[claim_date]],"mmmm")</f>
        <v>September</v>
      </c>
      <c r="J188" s="2">
        <f>YEAR(Sheet1[[#This Row],[claim_date]])</f>
        <v>2021</v>
      </c>
      <c r="K188" s="2" t="str">
        <f>"Q"&amp;ROUNDUP(MONTH(Sheet1[[#This Row],[claim_date]])/3,0)</f>
        <v>Q3</v>
      </c>
      <c r="L188" s="2" t="str">
        <f>IF(Sheet1[[#This Row],[claim_amount]]&lt;100000,"Low",IF(Sheet1[[#This Row],[claim_amount]]&lt;200000,"Medium","High"))</f>
        <v>High</v>
      </c>
      <c r="M188" s="2" t="str">
        <f>IF(Sheet1[[#This Row],[days_to_process]]&lt;=30,"Fast","Slow")</f>
        <v>Fast</v>
      </c>
    </row>
    <row r="189" spans="1:13" x14ac:dyDescent="0.3">
      <c r="A189" t="s">
        <v>387</v>
      </c>
      <c r="B189" s="2" t="s">
        <v>388</v>
      </c>
      <c r="C189" s="1">
        <v>44790</v>
      </c>
      <c r="D189" s="35">
        <v>133966.5</v>
      </c>
      <c r="E189" s="2" t="s">
        <v>15</v>
      </c>
      <c r="F189" s="2" t="s">
        <v>11</v>
      </c>
      <c r="G189" s="2" t="s">
        <v>24</v>
      </c>
      <c r="H189">
        <v>16</v>
      </c>
      <c r="I189" s="2" t="str">
        <f>TEXT(Sheet1[[#This Row],[claim_date]],"mmmm")</f>
        <v>August</v>
      </c>
      <c r="J189" s="2">
        <f>YEAR(Sheet1[[#This Row],[claim_date]])</f>
        <v>2022</v>
      </c>
      <c r="K189" s="2" t="str">
        <f>"Q"&amp;ROUNDUP(MONTH(Sheet1[[#This Row],[claim_date]])/3,0)</f>
        <v>Q3</v>
      </c>
      <c r="L189" s="2" t="str">
        <f>IF(Sheet1[[#This Row],[claim_amount]]&lt;100000,"Low",IF(Sheet1[[#This Row],[claim_amount]]&lt;200000,"Medium","High"))</f>
        <v>Medium</v>
      </c>
      <c r="M189" s="2" t="str">
        <f>IF(Sheet1[[#This Row],[days_to_process]]&lt;=30,"Fast","Slow")</f>
        <v>Fast</v>
      </c>
    </row>
    <row r="190" spans="1:13" x14ac:dyDescent="0.3">
      <c r="A190" t="s">
        <v>389</v>
      </c>
      <c r="B190" s="2" t="s">
        <v>390</v>
      </c>
      <c r="C190" s="1">
        <v>44749</v>
      </c>
      <c r="D190" s="35">
        <v>304419.8</v>
      </c>
      <c r="E190" s="2" t="s">
        <v>15</v>
      </c>
      <c r="F190" s="2" t="s">
        <v>11</v>
      </c>
      <c r="G190" s="2" t="s">
        <v>24</v>
      </c>
      <c r="H190">
        <v>58</v>
      </c>
      <c r="I190" s="2" t="str">
        <f>TEXT(Sheet1[[#This Row],[claim_date]],"mmmm")</f>
        <v>July</v>
      </c>
      <c r="J190" s="2">
        <f>YEAR(Sheet1[[#This Row],[claim_date]])</f>
        <v>2022</v>
      </c>
      <c r="K190" s="2" t="str">
        <f>"Q"&amp;ROUNDUP(MONTH(Sheet1[[#This Row],[claim_date]])/3,0)</f>
        <v>Q3</v>
      </c>
      <c r="L190" s="2" t="str">
        <f>IF(Sheet1[[#This Row],[claim_amount]]&lt;100000,"Low",IF(Sheet1[[#This Row],[claim_amount]]&lt;200000,"Medium","High"))</f>
        <v>High</v>
      </c>
      <c r="M190" s="2" t="str">
        <f>IF(Sheet1[[#This Row],[days_to_process]]&lt;=30,"Fast","Slow")</f>
        <v>Slow</v>
      </c>
    </row>
    <row r="191" spans="1:13" x14ac:dyDescent="0.3">
      <c r="A191" t="s">
        <v>391</v>
      </c>
      <c r="B191" s="2" t="s">
        <v>392</v>
      </c>
      <c r="C191" s="1">
        <v>44817</v>
      </c>
      <c r="D191" s="35">
        <v>57482.06</v>
      </c>
      <c r="E191" s="2" t="s">
        <v>10</v>
      </c>
      <c r="F191" s="2" t="s">
        <v>20</v>
      </c>
      <c r="G191" s="2" t="s">
        <v>12</v>
      </c>
      <c r="H191">
        <v>58</v>
      </c>
      <c r="I191" s="2" t="str">
        <f>TEXT(Sheet1[[#This Row],[claim_date]],"mmmm")</f>
        <v>September</v>
      </c>
      <c r="J191" s="2">
        <f>YEAR(Sheet1[[#This Row],[claim_date]])</f>
        <v>2022</v>
      </c>
      <c r="K191" s="2" t="str">
        <f>"Q"&amp;ROUNDUP(MONTH(Sheet1[[#This Row],[claim_date]])/3,0)</f>
        <v>Q3</v>
      </c>
      <c r="L191" s="2" t="str">
        <f>IF(Sheet1[[#This Row],[claim_amount]]&lt;100000,"Low",IF(Sheet1[[#This Row],[claim_amount]]&lt;200000,"Medium","High"))</f>
        <v>Low</v>
      </c>
      <c r="M191" s="2" t="str">
        <f>IF(Sheet1[[#This Row],[days_to_process]]&lt;=30,"Fast","Slow")</f>
        <v>Slow</v>
      </c>
    </row>
    <row r="192" spans="1:13" x14ac:dyDescent="0.3">
      <c r="A192" t="s">
        <v>393</v>
      </c>
      <c r="B192" s="2" t="s">
        <v>394</v>
      </c>
      <c r="C192" s="1">
        <v>45541</v>
      </c>
      <c r="D192" s="35">
        <v>455029.32</v>
      </c>
      <c r="E192" s="2" t="s">
        <v>15</v>
      </c>
      <c r="F192" s="2" t="s">
        <v>23</v>
      </c>
      <c r="G192" s="2" t="s">
        <v>12</v>
      </c>
      <c r="H192">
        <v>39</v>
      </c>
      <c r="I192" s="2" t="str">
        <f>TEXT(Sheet1[[#This Row],[claim_date]],"mmmm")</f>
        <v>September</v>
      </c>
      <c r="J192" s="2">
        <f>YEAR(Sheet1[[#This Row],[claim_date]])</f>
        <v>2024</v>
      </c>
      <c r="K192" s="2" t="str">
        <f>"Q"&amp;ROUNDUP(MONTH(Sheet1[[#This Row],[claim_date]])/3,0)</f>
        <v>Q3</v>
      </c>
      <c r="L192" s="2" t="str">
        <f>IF(Sheet1[[#This Row],[claim_amount]]&lt;100000,"Low",IF(Sheet1[[#This Row],[claim_amount]]&lt;200000,"Medium","High"))</f>
        <v>High</v>
      </c>
      <c r="M192" s="2" t="str">
        <f>IF(Sheet1[[#This Row],[days_to_process]]&lt;=30,"Fast","Slow")</f>
        <v>Slow</v>
      </c>
    </row>
    <row r="193" spans="1:13" x14ac:dyDescent="0.3">
      <c r="A193" t="s">
        <v>395</v>
      </c>
      <c r="B193" s="2" t="s">
        <v>396</v>
      </c>
      <c r="C193" s="1">
        <v>45749</v>
      </c>
      <c r="D193" s="35">
        <v>476956.81</v>
      </c>
      <c r="E193" s="2" t="s">
        <v>15</v>
      </c>
      <c r="F193" s="2" t="s">
        <v>20</v>
      </c>
      <c r="G193" s="2" t="s">
        <v>24</v>
      </c>
      <c r="H193">
        <v>18</v>
      </c>
      <c r="I193" s="2" t="str">
        <f>TEXT(Sheet1[[#This Row],[claim_date]],"mmmm")</f>
        <v>April</v>
      </c>
      <c r="J193" s="2">
        <f>YEAR(Sheet1[[#This Row],[claim_date]])</f>
        <v>2025</v>
      </c>
      <c r="K193" s="2" t="str">
        <f>"Q"&amp;ROUNDUP(MONTH(Sheet1[[#This Row],[claim_date]])/3,0)</f>
        <v>Q2</v>
      </c>
      <c r="L193" s="2" t="str">
        <f>IF(Sheet1[[#This Row],[claim_amount]]&lt;100000,"Low",IF(Sheet1[[#This Row],[claim_amount]]&lt;200000,"Medium","High"))</f>
        <v>High</v>
      </c>
      <c r="M193" s="2" t="str">
        <f>IF(Sheet1[[#This Row],[days_to_process]]&lt;=30,"Fast","Slow")</f>
        <v>Fast</v>
      </c>
    </row>
    <row r="194" spans="1:13" x14ac:dyDescent="0.3">
      <c r="A194" t="s">
        <v>397</v>
      </c>
      <c r="B194" s="2" t="s">
        <v>398</v>
      </c>
      <c r="C194" s="1">
        <v>45043</v>
      </c>
      <c r="D194" s="35">
        <v>94138.78</v>
      </c>
      <c r="E194" s="2" t="s">
        <v>10</v>
      </c>
      <c r="F194" s="2" t="s">
        <v>20</v>
      </c>
      <c r="G194" s="2" t="s">
        <v>12</v>
      </c>
      <c r="H194">
        <v>41</v>
      </c>
      <c r="I194" s="2" t="str">
        <f>TEXT(Sheet1[[#This Row],[claim_date]],"mmmm")</f>
        <v>April</v>
      </c>
      <c r="J194" s="2">
        <f>YEAR(Sheet1[[#This Row],[claim_date]])</f>
        <v>2023</v>
      </c>
      <c r="K194" s="2" t="str">
        <f>"Q"&amp;ROUNDUP(MONTH(Sheet1[[#This Row],[claim_date]])/3,0)</f>
        <v>Q2</v>
      </c>
      <c r="L194" s="2" t="str">
        <f>IF(Sheet1[[#This Row],[claim_amount]]&lt;100000,"Low",IF(Sheet1[[#This Row],[claim_amount]]&lt;200000,"Medium","High"))</f>
        <v>Low</v>
      </c>
      <c r="M194" s="2" t="str">
        <f>IF(Sheet1[[#This Row],[days_to_process]]&lt;=30,"Fast","Slow")</f>
        <v>Slow</v>
      </c>
    </row>
    <row r="195" spans="1:13" x14ac:dyDescent="0.3">
      <c r="A195" t="s">
        <v>399</v>
      </c>
      <c r="B195" s="2" t="s">
        <v>400</v>
      </c>
      <c r="C195" s="1">
        <v>44640</v>
      </c>
      <c r="D195" s="35">
        <v>356676.7</v>
      </c>
      <c r="E195" s="2" t="s">
        <v>15</v>
      </c>
      <c r="F195" s="2" t="s">
        <v>20</v>
      </c>
      <c r="G195" s="2" t="s">
        <v>12</v>
      </c>
      <c r="H195">
        <v>39</v>
      </c>
      <c r="I195" s="2" t="str">
        <f>TEXT(Sheet1[[#This Row],[claim_date]],"mmmm")</f>
        <v>March</v>
      </c>
      <c r="J195" s="2">
        <f>YEAR(Sheet1[[#This Row],[claim_date]])</f>
        <v>2022</v>
      </c>
      <c r="K195" s="2" t="str">
        <f>"Q"&amp;ROUNDUP(MONTH(Sheet1[[#This Row],[claim_date]])/3,0)</f>
        <v>Q1</v>
      </c>
      <c r="L195" s="2" t="str">
        <f>IF(Sheet1[[#This Row],[claim_amount]]&lt;100000,"Low",IF(Sheet1[[#This Row],[claim_amount]]&lt;200000,"Medium","High"))</f>
        <v>High</v>
      </c>
      <c r="M195" s="2" t="str">
        <f>IF(Sheet1[[#This Row],[days_to_process]]&lt;=30,"Fast","Slow")</f>
        <v>Slow</v>
      </c>
    </row>
    <row r="196" spans="1:13" x14ac:dyDescent="0.3">
      <c r="A196" t="s">
        <v>401</v>
      </c>
      <c r="B196" s="2" t="s">
        <v>402</v>
      </c>
      <c r="C196" s="1">
        <v>45004</v>
      </c>
      <c r="D196" s="35">
        <v>367641.93</v>
      </c>
      <c r="E196" s="2" t="s">
        <v>10</v>
      </c>
      <c r="F196" s="2" t="s">
        <v>34</v>
      </c>
      <c r="G196" s="2" t="s">
        <v>24</v>
      </c>
      <c r="H196">
        <v>38</v>
      </c>
      <c r="I196" s="2" t="str">
        <f>TEXT(Sheet1[[#This Row],[claim_date]],"mmmm")</f>
        <v>March</v>
      </c>
      <c r="J196" s="2">
        <f>YEAR(Sheet1[[#This Row],[claim_date]])</f>
        <v>2023</v>
      </c>
      <c r="K196" s="2" t="str">
        <f>"Q"&amp;ROUNDUP(MONTH(Sheet1[[#This Row],[claim_date]])/3,0)</f>
        <v>Q1</v>
      </c>
      <c r="L196" s="2" t="str">
        <f>IF(Sheet1[[#This Row],[claim_amount]]&lt;100000,"Low",IF(Sheet1[[#This Row],[claim_amount]]&lt;200000,"Medium","High"))</f>
        <v>High</v>
      </c>
      <c r="M196" s="2" t="str">
        <f>IF(Sheet1[[#This Row],[days_to_process]]&lt;=30,"Fast","Slow")</f>
        <v>Slow</v>
      </c>
    </row>
    <row r="197" spans="1:13" x14ac:dyDescent="0.3">
      <c r="A197" t="s">
        <v>403</v>
      </c>
      <c r="B197" s="2" t="s">
        <v>404</v>
      </c>
      <c r="C197" s="1">
        <v>45121</v>
      </c>
      <c r="D197" s="35">
        <v>484327.59</v>
      </c>
      <c r="E197" s="2" t="s">
        <v>15</v>
      </c>
      <c r="F197" s="2" t="s">
        <v>20</v>
      </c>
      <c r="G197" s="2" t="s">
        <v>24</v>
      </c>
      <c r="H197">
        <v>2</v>
      </c>
      <c r="I197" s="2" t="str">
        <f>TEXT(Sheet1[[#This Row],[claim_date]],"mmmm")</f>
        <v>July</v>
      </c>
      <c r="J197" s="2">
        <f>YEAR(Sheet1[[#This Row],[claim_date]])</f>
        <v>2023</v>
      </c>
      <c r="K197" s="2" t="str">
        <f>"Q"&amp;ROUNDUP(MONTH(Sheet1[[#This Row],[claim_date]])/3,0)</f>
        <v>Q3</v>
      </c>
      <c r="L197" s="2" t="str">
        <f>IF(Sheet1[[#This Row],[claim_amount]]&lt;100000,"Low",IF(Sheet1[[#This Row],[claim_amount]]&lt;200000,"Medium","High"))</f>
        <v>High</v>
      </c>
      <c r="M197" s="2" t="str">
        <f>IF(Sheet1[[#This Row],[days_to_process]]&lt;=30,"Fast","Slow")</f>
        <v>Fast</v>
      </c>
    </row>
    <row r="198" spans="1:13" x14ac:dyDescent="0.3">
      <c r="A198" t="s">
        <v>405</v>
      </c>
      <c r="B198" s="2" t="s">
        <v>406</v>
      </c>
      <c r="C198" s="1">
        <v>45189</v>
      </c>
      <c r="D198" s="35">
        <v>38339.699999999997</v>
      </c>
      <c r="E198" s="2" t="s">
        <v>15</v>
      </c>
      <c r="F198" s="2" t="s">
        <v>23</v>
      </c>
      <c r="G198" s="2" t="s">
        <v>12</v>
      </c>
      <c r="H198">
        <v>3</v>
      </c>
      <c r="I198" s="2" t="str">
        <f>TEXT(Sheet1[[#This Row],[claim_date]],"mmmm")</f>
        <v>September</v>
      </c>
      <c r="J198" s="2">
        <f>YEAR(Sheet1[[#This Row],[claim_date]])</f>
        <v>2023</v>
      </c>
      <c r="K198" s="2" t="str">
        <f>"Q"&amp;ROUNDUP(MONTH(Sheet1[[#This Row],[claim_date]])/3,0)</f>
        <v>Q3</v>
      </c>
      <c r="L198" s="2" t="str">
        <f>IF(Sheet1[[#This Row],[claim_amount]]&lt;100000,"Low",IF(Sheet1[[#This Row],[claim_amount]]&lt;200000,"Medium","High"))</f>
        <v>Low</v>
      </c>
      <c r="M198" s="2" t="str">
        <f>IF(Sheet1[[#This Row],[days_to_process]]&lt;=30,"Fast","Slow")</f>
        <v>Fast</v>
      </c>
    </row>
    <row r="199" spans="1:13" x14ac:dyDescent="0.3">
      <c r="A199" t="s">
        <v>407</v>
      </c>
      <c r="B199" s="2" t="s">
        <v>408</v>
      </c>
      <c r="C199" s="1">
        <v>45236</v>
      </c>
      <c r="D199" s="35">
        <v>264250.76</v>
      </c>
      <c r="E199" s="2" t="s">
        <v>19</v>
      </c>
      <c r="F199" s="2" t="s">
        <v>20</v>
      </c>
      <c r="G199" s="2" t="s">
        <v>12</v>
      </c>
      <c r="H199">
        <v>13</v>
      </c>
      <c r="I199" s="2" t="str">
        <f>TEXT(Sheet1[[#This Row],[claim_date]],"mmmm")</f>
        <v>November</v>
      </c>
      <c r="J199" s="2">
        <f>YEAR(Sheet1[[#This Row],[claim_date]])</f>
        <v>2023</v>
      </c>
      <c r="K199" s="2" t="str">
        <f>"Q"&amp;ROUNDUP(MONTH(Sheet1[[#This Row],[claim_date]])/3,0)</f>
        <v>Q4</v>
      </c>
      <c r="L199" s="2" t="str">
        <f>IF(Sheet1[[#This Row],[claim_amount]]&lt;100000,"Low",IF(Sheet1[[#This Row],[claim_amount]]&lt;200000,"Medium","High"))</f>
        <v>High</v>
      </c>
      <c r="M199" s="2" t="str">
        <f>IF(Sheet1[[#This Row],[days_to_process]]&lt;=30,"Fast","Slow")</f>
        <v>Fast</v>
      </c>
    </row>
    <row r="200" spans="1:13" x14ac:dyDescent="0.3">
      <c r="A200" t="s">
        <v>409</v>
      </c>
      <c r="B200" s="2" t="s">
        <v>410</v>
      </c>
      <c r="C200" s="1">
        <v>45197</v>
      </c>
      <c r="D200" s="35">
        <v>287492.87</v>
      </c>
      <c r="E200" s="2" t="s">
        <v>10</v>
      </c>
      <c r="F200" s="2" t="s">
        <v>34</v>
      </c>
      <c r="G200" s="2" t="s">
        <v>24</v>
      </c>
      <c r="H200">
        <v>58</v>
      </c>
      <c r="I200" s="2" t="str">
        <f>TEXT(Sheet1[[#This Row],[claim_date]],"mmmm")</f>
        <v>September</v>
      </c>
      <c r="J200" s="2">
        <f>YEAR(Sheet1[[#This Row],[claim_date]])</f>
        <v>2023</v>
      </c>
      <c r="K200" s="2" t="str">
        <f>"Q"&amp;ROUNDUP(MONTH(Sheet1[[#This Row],[claim_date]])/3,0)</f>
        <v>Q3</v>
      </c>
      <c r="L200" s="2" t="str">
        <f>IF(Sheet1[[#This Row],[claim_amount]]&lt;100000,"Low",IF(Sheet1[[#This Row],[claim_amount]]&lt;200000,"Medium","High"))</f>
        <v>High</v>
      </c>
      <c r="M200" s="2" t="str">
        <f>IF(Sheet1[[#This Row],[days_to_process]]&lt;=30,"Fast","Slow")</f>
        <v>Slow</v>
      </c>
    </row>
    <row r="201" spans="1:13" x14ac:dyDescent="0.3">
      <c r="A201" t="s">
        <v>411</v>
      </c>
      <c r="B201" s="2" t="s">
        <v>412</v>
      </c>
      <c r="C201" s="1">
        <v>45476</v>
      </c>
      <c r="D201" s="35">
        <v>104562.49</v>
      </c>
      <c r="E201" s="2" t="s">
        <v>15</v>
      </c>
      <c r="F201" s="2" t="s">
        <v>23</v>
      </c>
      <c r="G201" s="2" t="s">
        <v>12</v>
      </c>
      <c r="H201">
        <v>11</v>
      </c>
      <c r="I201" s="2" t="str">
        <f>TEXT(Sheet1[[#This Row],[claim_date]],"mmmm")</f>
        <v>July</v>
      </c>
      <c r="J201" s="2">
        <f>YEAR(Sheet1[[#This Row],[claim_date]])</f>
        <v>2024</v>
      </c>
      <c r="K201" s="2" t="str">
        <f>"Q"&amp;ROUNDUP(MONTH(Sheet1[[#This Row],[claim_date]])/3,0)</f>
        <v>Q3</v>
      </c>
      <c r="L201" s="2" t="str">
        <f>IF(Sheet1[[#This Row],[claim_amount]]&lt;100000,"Low",IF(Sheet1[[#This Row],[claim_amount]]&lt;200000,"Medium","High"))</f>
        <v>Medium</v>
      </c>
      <c r="M201" s="2" t="str">
        <f>IF(Sheet1[[#This Row],[days_to_process]]&lt;=30,"Fast","Slow")</f>
        <v>Fast</v>
      </c>
    </row>
    <row r="202" spans="1:13" x14ac:dyDescent="0.3">
      <c r="A202" t="s">
        <v>413</v>
      </c>
      <c r="B202" s="2" t="s">
        <v>414</v>
      </c>
      <c r="C202" s="1">
        <v>45209</v>
      </c>
      <c r="D202" s="35">
        <v>129279.97</v>
      </c>
      <c r="E202" s="2" t="s">
        <v>19</v>
      </c>
      <c r="F202" s="2" t="s">
        <v>16</v>
      </c>
      <c r="G202" s="2" t="s">
        <v>12</v>
      </c>
      <c r="H202">
        <v>30</v>
      </c>
      <c r="I202" s="2" t="str">
        <f>TEXT(Sheet1[[#This Row],[claim_date]],"mmmm")</f>
        <v>October</v>
      </c>
      <c r="J202" s="2">
        <f>YEAR(Sheet1[[#This Row],[claim_date]])</f>
        <v>2023</v>
      </c>
      <c r="K202" s="2" t="str">
        <f>"Q"&amp;ROUNDUP(MONTH(Sheet1[[#This Row],[claim_date]])/3,0)</f>
        <v>Q4</v>
      </c>
      <c r="L202" s="2" t="str">
        <f>IF(Sheet1[[#This Row],[claim_amount]]&lt;100000,"Low",IF(Sheet1[[#This Row],[claim_amount]]&lt;200000,"Medium","High"))</f>
        <v>Medium</v>
      </c>
      <c r="M202" s="2" t="str">
        <f>IF(Sheet1[[#This Row],[days_to_process]]&lt;=30,"Fast","Slow")</f>
        <v>Fast</v>
      </c>
    </row>
    <row r="203" spans="1:13" x14ac:dyDescent="0.3">
      <c r="A203" t="s">
        <v>415</v>
      </c>
      <c r="B203" s="2" t="s">
        <v>416</v>
      </c>
      <c r="C203" s="1">
        <v>44667</v>
      </c>
      <c r="D203" s="35">
        <v>37067.339999999997</v>
      </c>
      <c r="E203" s="2" t="s">
        <v>15</v>
      </c>
      <c r="F203" s="2" t="s">
        <v>23</v>
      </c>
      <c r="G203" s="2" t="s">
        <v>24</v>
      </c>
      <c r="H203">
        <v>46</v>
      </c>
      <c r="I203" s="2" t="str">
        <f>TEXT(Sheet1[[#This Row],[claim_date]],"mmmm")</f>
        <v>April</v>
      </c>
      <c r="J203" s="2">
        <f>YEAR(Sheet1[[#This Row],[claim_date]])</f>
        <v>2022</v>
      </c>
      <c r="K203" s="2" t="str">
        <f>"Q"&amp;ROUNDUP(MONTH(Sheet1[[#This Row],[claim_date]])/3,0)</f>
        <v>Q2</v>
      </c>
      <c r="L203" s="2" t="str">
        <f>IF(Sheet1[[#This Row],[claim_amount]]&lt;100000,"Low",IF(Sheet1[[#This Row],[claim_amount]]&lt;200000,"Medium","High"))</f>
        <v>Low</v>
      </c>
      <c r="M203" s="2" t="str">
        <f>IF(Sheet1[[#This Row],[days_to_process]]&lt;=30,"Fast","Slow")</f>
        <v>Slow</v>
      </c>
    </row>
    <row r="204" spans="1:13" x14ac:dyDescent="0.3">
      <c r="A204" t="s">
        <v>417</v>
      </c>
      <c r="B204" s="2" t="s">
        <v>418</v>
      </c>
      <c r="C204" s="1">
        <v>45428</v>
      </c>
      <c r="D204" s="35">
        <v>493334.36</v>
      </c>
      <c r="E204" s="2" t="s">
        <v>10</v>
      </c>
      <c r="F204" s="2" t="s">
        <v>23</v>
      </c>
      <c r="G204" s="2" t="s">
        <v>24</v>
      </c>
      <c r="H204">
        <v>30</v>
      </c>
      <c r="I204" s="2" t="str">
        <f>TEXT(Sheet1[[#This Row],[claim_date]],"mmmm")</f>
        <v>May</v>
      </c>
      <c r="J204" s="2">
        <f>YEAR(Sheet1[[#This Row],[claim_date]])</f>
        <v>2024</v>
      </c>
      <c r="K204" s="2" t="str">
        <f>"Q"&amp;ROUNDUP(MONTH(Sheet1[[#This Row],[claim_date]])/3,0)</f>
        <v>Q2</v>
      </c>
      <c r="L204" s="2" t="str">
        <f>IF(Sheet1[[#This Row],[claim_amount]]&lt;100000,"Low",IF(Sheet1[[#This Row],[claim_amount]]&lt;200000,"Medium","High"))</f>
        <v>High</v>
      </c>
      <c r="M204" s="2" t="str">
        <f>IF(Sheet1[[#This Row],[days_to_process]]&lt;=30,"Fast","Slow")</f>
        <v>Fast</v>
      </c>
    </row>
    <row r="205" spans="1:13" x14ac:dyDescent="0.3">
      <c r="A205" t="s">
        <v>419</v>
      </c>
      <c r="B205" s="2" t="s">
        <v>420</v>
      </c>
      <c r="C205" s="1">
        <v>45303</v>
      </c>
      <c r="D205" s="35">
        <v>73512.63</v>
      </c>
      <c r="E205" s="2" t="s">
        <v>15</v>
      </c>
      <c r="F205" s="2" t="s">
        <v>20</v>
      </c>
      <c r="G205" s="2" t="s">
        <v>24</v>
      </c>
      <c r="H205">
        <v>22</v>
      </c>
      <c r="I205" s="2" t="str">
        <f>TEXT(Sheet1[[#This Row],[claim_date]],"mmmm")</f>
        <v>January</v>
      </c>
      <c r="J205" s="2">
        <f>YEAR(Sheet1[[#This Row],[claim_date]])</f>
        <v>2024</v>
      </c>
      <c r="K205" s="2" t="str">
        <f>"Q"&amp;ROUNDUP(MONTH(Sheet1[[#This Row],[claim_date]])/3,0)</f>
        <v>Q1</v>
      </c>
      <c r="L205" s="2" t="str">
        <f>IF(Sheet1[[#This Row],[claim_amount]]&lt;100000,"Low",IF(Sheet1[[#This Row],[claim_amount]]&lt;200000,"Medium","High"))</f>
        <v>Low</v>
      </c>
      <c r="M205" s="2" t="str">
        <f>IF(Sheet1[[#This Row],[days_to_process]]&lt;=30,"Fast","Slow")</f>
        <v>Fast</v>
      </c>
    </row>
    <row r="206" spans="1:13" x14ac:dyDescent="0.3">
      <c r="A206" t="s">
        <v>421</v>
      </c>
      <c r="B206" s="2" t="s">
        <v>422</v>
      </c>
      <c r="C206" s="1">
        <v>45054</v>
      </c>
      <c r="D206" s="35">
        <v>85769.61</v>
      </c>
      <c r="E206" s="2" t="s">
        <v>10</v>
      </c>
      <c r="F206" s="2" t="s">
        <v>23</v>
      </c>
      <c r="G206" s="2" t="s">
        <v>24</v>
      </c>
      <c r="H206">
        <v>32</v>
      </c>
      <c r="I206" s="2" t="str">
        <f>TEXT(Sheet1[[#This Row],[claim_date]],"mmmm")</f>
        <v>May</v>
      </c>
      <c r="J206" s="2">
        <f>YEAR(Sheet1[[#This Row],[claim_date]])</f>
        <v>2023</v>
      </c>
      <c r="K206" s="2" t="str">
        <f>"Q"&amp;ROUNDUP(MONTH(Sheet1[[#This Row],[claim_date]])/3,0)</f>
        <v>Q2</v>
      </c>
      <c r="L206" s="2" t="str">
        <f>IF(Sheet1[[#This Row],[claim_amount]]&lt;100000,"Low",IF(Sheet1[[#This Row],[claim_amount]]&lt;200000,"Medium","High"))</f>
        <v>Low</v>
      </c>
      <c r="M206" s="2" t="str">
        <f>IF(Sheet1[[#This Row],[days_to_process]]&lt;=30,"Fast","Slow")</f>
        <v>Slow</v>
      </c>
    </row>
    <row r="207" spans="1:13" x14ac:dyDescent="0.3">
      <c r="A207" t="s">
        <v>423</v>
      </c>
      <c r="B207" s="2" t="s">
        <v>424</v>
      </c>
      <c r="C207" s="1">
        <v>45261</v>
      </c>
      <c r="D207" s="35">
        <v>233959.67999999999</v>
      </c>
      <c r="E207" s="2" t="s">
        <v>10</v>
      </c>
      <c r="F207" s="2" t="s">
        <v>20</v>
      </c>
      <c r="G207" s="2" t="s">
        <v>24</v>
      </c>
      <c r="H207">
        <v>41</v>
      </c>
      <c r="I207" s="2" t="str">
        <f>TEXT(Sheet1[[#This Row],[claim_date]],"mmmm")</f>
        <v>December</v>
      </c>
      <c r="J207" s="2">
        <f>YEAR(Sheet1[[#This Row],[claim_date]])</f>
        <v>2023</v>
      </c>
      <c r="K207" s="2" t="str">
        <f>"Q"&amp;ROUNDUP(MONTH(Sheet1[[#This Row],[claim_date]])/3,0)</f>
        <v>Q4</v>
      </c>
      <c r="L207" s="2" t="str">
        <f>IF(Sheet1[[#This Row],[claim_amount]]&lt;100000,"Low",IF(Sheet1[[#This Row],[claim_amount]]&lt;200000,"Medium","High"))</f>
        <v>High</v>
      </c>
      <c r="M207" s="2" t="str">
        <f>IF(Sheet1[[#This Row],[days_to_process]]&lt;=30,"Fast","Slow")</f>
        <v>Slow</v>
      </c>
    </row>
    <row r="208" spans="1:13" x14ac:dyDescent="0.3">
      <c r="A208" t="s">
        <v>425</v>
      </c>
      <c r="B208" s="2" t="s">
        <v>426</v>
      </c>
      <c r="C208" s="1">
        <v>45462</v>
      </c>
      <c r="D208" s="35">
        <v>114582.05</v>
      </c>
      <c r="E208" s="2" t="s">
        <v>15</v>
      </c>
      <c r="F208" s="2" t="s">
        <v>23</v>
      </c>
      <c r="G208" s="2" t="s">
        <v>24</v>
      </c>
      <c r="H208">
        <v>29</v>
      </c>
      <c r="I208" s="2" t="str">
        <f>TEXT(Sheet1[[#This Row],[claim_date]],"mmmm")</f>
        <v>June</v>
      </c>
      <c r="J208" s="2">
        <f>YEAR(Sheet1[[#This Row],[claim_date]])</f>
        <v>2024</v>
      </c>
      <c r="K208" s="2" t="str">
        <f>"Q"&amp;ROUNDUP(MONTH(Sheet1[[#This Row],[claim_date]])/3,0)</f>
        <v>Q2</v>
      </c>
      <c r="L208" s="2" t="str">
        <f>IF(Sheet1[[#This Row],[claim_amount]]&lt;100000,"Low",IF(Sheet1[[#This Row],[claim_amount]]&lt;200000,"Medium","High"))</f>
        <v>Medium</v>
      </c>
      <c r="M208" s="2" t="str">
        <f>IF(Sheet1[[#This Row],[days_to_process]]&lt;=30,"Fast","Slow")</f>
        <v>Fast</v>
      </c>
    </row>
    <row r="209" spans="1:13" x14ac:dyDescent="0.3">
      <c r="A209" t="s">
        <v>427</v>
      </c>
      <c r="B209" s="2" t="s">
        <v>428</v>
      </c>
      <c r="C209" s="1">
        <v>45553</v>
      </c>
      <c r="D209" s="35">
        <v>387845.4</v>
      </c>
      <c r="E209" s="2" t="s">
        <v>10</v>
      </c>
      <c r="F209" s="2" t="s">
        <v>34</v>
      </c>
      <c r="G209" s="2" t="s">
        <v>12</v>
      </c>
      <c r="H209">
        <v>59</v>
      </c>
      <c r="I209" s="2" t="str">
        <f>TEXT(Sheet1[[#This Row],[claim_date]],"mmmm")</f>
        <v>September</v>
      </c>
      <c r="J209" s="2">
        <f>YEAR(Sheet1[[#This Row],[claim_date]])</f>
        <v>2024</v>
      </c>
      <c r="K209" s="2" t="str">
        <f>"Q"&amp;ROUNDUP(MONTH(Sheet1[[#This Row],[claim_date]])/3,0)</f>
        <v>Q3</v>
      </c>
      <c r="L209" s="2" t="str">
        <f>IF(Sheet1[[#This Row],[claim_amount]]&lt;100000,"Low",IF(Sheet1[[#This Row],[claim_amount]]&lt;200000,"Medium","High"))</f>
        <v>High</v>
      </c>
      <c r="M209" s="2" t="str">
        <f>IF(Sheet1[[#This Row],[days_to_process]]&lt;=30,"Fast","Slow")</f>
        <v>Slow</v>
      </c>
    </row>
    <row r="210" spans="1:13" x14ac:dyDescent="0.3">
      <c r="A210" t="s">
        <v>429</v>
      </c>
      <c r="B210" s="2" t="s">
        <v>430</v>
      </c>
      <c r="C210" s="1">
        <v>44765</v>
      </c>
      <c r="D210" s="35">
        <v>258879.73</v>
      </c>
      <c r="E210" s="2" t="s">
        <v>10</v>
      </c>
      <c r="F210" s="2" t="s">
        <v>23</v>
      </c>
      <c r="G210" s="2" t="s">
        <v>12</v>
      </c>
      <c r="H210">
        <v>45</v>
      </c>
      <c r="I210" s="2" t="str">
        <f>TEXT(Sheet1[[#This Row],[claim_date]],"mmmm")</f>
        <v>July</v>
      </c>
      <c r="J210" s="2">
        <f>YEAR(Sheet1[[#This Row],[claim_date]])</f>
        <v>2022</v>
      </c>
      <c r="K210" s="2" t="str">
        <f>"Q"&amp;ROUNDUP(MONTH(Sheet1[[#This Row],[claim_date]])/3,0)</f>
        <v>Q3</v>
      </c>
      <c r="L210" s="2" t="str">
        <f>IF(Sheet1[[#This Row],[claim_amount]]&lt;100000,"Low",IF(Sheet1[[#This Row],[claim_amount]]&lt;200000,"Medium","High"))</f>
        <v>High</v>
      </c>
      <c r="M210" s="2" t="str">
        <f>IF(Sheet1[[#This Row],[days_to_process]]&lt;=30,"Fast","Slow")</f>
        <v>Slow</v>
      </c>
    </row>
    <row r="211" spans="1:13" x14ac:dyDescent="0.3">
      <c r="A211" t="s">
        <v>431</v>
      </c>
      <c r="B211" s="2" t="s">
        <v>432</v>
      </c>
      <c r="C211" s="1">
        <v>45015</v>
      </c>
      <c r="D211" s="35">
        <v>65520.15</v>
      </c>
      <c r="E211" s="2" t="s">
        <v>19</v>
      </c>
      <c r="F211" s="2" t="s">
        <v>11</v>
      </c>
      <c r="G211" s="2" t="s">
        <v>12</v>
      </c>
      <c r="H211">
        <v>39</v>
      </c>
      <c r="I211" s="2" t="str">
        <f>TEXT(Sheet1[[#This Row],[claim_date]],"mmmm")</f>
        <v>March</v>
      </c>
      <c r="J211" s="2">
        <f>YEAR(Sheet1[[#This Row],[claim_date]])</f>
        <v>2023</v>
      </c>
      <c r="K211" s="2" t="str">
        <f>"Q"&amp;ROUNDUP(MONTH(Sheet1[[#This Row],[claim_date]])/3,0)</f>
        <v>Q1</v>
      </c>
      <c r="L211" s="2" t="str">
        <f>IF(Sheet1[[#This Row],[claim_amount]]&lt;100000,"Low",IF(Sheet1[[#This Row],[claim_amount]]&lt;200000,"Medium","High"))</f>
        <v>Low</v>
      </c>
      <c r="M211" s="2" t="str">
        <f>IF(Sheet1[[#This Row],[days_to_process]]&lt;=30,"Fast","Slow")</f>
        <v>Slow</v>
      </c>
    </row>
    <row r="212" spans="1:13" x14ac:dyDescent="0.3">
      <c r="A212" t="s">
        <v>433</v>
      </c>
      <c r="B212" s="2" t="s">
        <v>434</v>
      </c>
      <c r="C212" s="1">
        <v>45410</v>
      </c>
      <c r="D212" s="35">
        <v>196494.94</v>
      </c>
      <c r="E212" s="2" t="s">
        <v>10</v>
      </c>
      <c r="F212" s="2" t="s">
        <v>20</v>
      </c>
      <c r="G212" s="2" t="s">
        <v>24</v>
      </c>
      <c r="H212">
        <v>43</v>
      </c>
      <c r="I212" s="2" t="str">
        <f>TEXT(Sheet1[[#This Row],[claim_date]],"mmmm")</f>
        <v>April</v>
      </c>
      <c r="J212" s="2">
        <f>YEAR(Sheet1[[#This Row],[claim_date]])</f>
        <v>2024</v>
      </c>
      <c r="K212" s="2" t="str">
        <f>"Q"&amp;ROUNDUP(MONTH(Sheet1[[#This Row],[claim_date]])/3,0)</f>
        <v>Q2</v>
      </c>
      <c r="L212" s="2" t="str">
        <f>IF(Sheet1[[#This Row],[claim_amount]]&lt;100000,"Low",IF(Sheet1[[#This Row],[claim_amount]]&lt;200000,"Medium","High"))</f>
        <v>Medium</v>
      </c>
      <c r="M212" s="2" t="str">
        <f>IF(Sheet1[[#This Row],[days_to_process]]&lt;=30,"Fast","Slow")</f>
        <v>Slow</v>
      </c>
    </row>
    <row r="213" spans="1:13" x14ac:dyDescent="0.3">
      <c r="A213" t="s">
        <v>435</v>
      </c>
      <c r="B213" s="2" t="s">
        <v>368</v>
      </c>
      <c r="C213" s="1">
        <v>44953</v>
      </c>
      <c r="D213" s="35">
        <v>322079.89</v>
      </c>
      <c r="E213" s="2" t="s">
        <v>10</v>
      </c>
      <c r="F213" s="2" t="s">
        <v>34</v>
      </c>
      <c r="G213" s="2" t="s">
        <v>12</v>
      </c>
      <c r="H213">
        <v>35</v>
      </c>
      <c r="I213" s="2" t="str">
        <f>TEXT(Sheet1[[#This Row],[claim_date]],"mmmm")</f>
        <v>January</v>
      </c>
      <c r="J213" s="2">
        <f>YEAR(Sheet1[[#This Row],[claim_date]])</f>
        <v>2023</v>
      </c>
      <c r="K213" s="2" t="str">
        <f>"Q"&amp;ROUNDUP(MONTH(Sheet1[[#This Row],[claim_date]])/3,0)</f>
        <v>Q1</v>
      </c>
      <c r="L213" s="2" t="str">
        <f>IF(Sheet1[[#This Row],[claim_amount]]&lt;100000,"Low",IF(Sheet1[[#This Row],[claim_amount]]&lt;200000,"Medium","High"))</f>
        <v>High</v>
      </c>
      <c r="M213" s="2" t="str">
        <f>IF(Sheet1[[#This Row],[days_to_process]]&lt;=30,"Fast","Slow")</f>
        <v>Slow</v>
      </c>
    </row>
    <row r="214" spans="1:13" x14ac:dyDescent="0.3">
      <c r="A214" t="s">
        <v>436</v>
      </c>
      <c r="B214" s="2" t="s">
        <v>437</v>
      </c>
      <c r="C214" s="1">
        <v>45249</v>
      </c>
      <c r="D214" s="35">
        <v>214631.35</v>
      </c>
      <c r="E214" s="2" t="s">
        <v>10</v>
      </c>
      <c r="F214" s="2" t="s">
        <v>16</v>
      </c>
      <c r="G214" s="2" t="s">
        <v>12</v>
      </c>
      <c r="H214">
        <v>7</v>
      </c>
      <c r="I214" s="2" t="str">
        <f>TEXT(Sheet1[[#This Row],[claim_date]],"mmmm")</f>
        <v>November</v>
      </c>
      <c r="J214" s="2">
        <f>YEAR(Sheet1[[#This Row],[claim_date]])</f>
        <v>2023</v>
      </c>
      <c r="K214" s="2" t="str">
        <f>"Q"&amp;ROUNDUP(MONTH(Sheet1[[#This Row],[claim_date]])/3,0)</f>
        <v>Q4</v>
      </c>
      <c r="L214" s="2" t="str">
        <f>IF(Sheet1[[#This Row],[claim_amount]]&lt;100000,"Low",IF(Sheet1[[#This Row],[claim_amount]]&lt;200000,"Medium","High"))</f>
        <v>High</v>
      </c>
      <c r="M214" s="2" t="str">
        <f>IF(Sheet1[[#This Row],[days_to_process]]&lt;=30,"Fast","Slow")</f>
        <v>Fast</v>
      </c>
    </row>
    <row r="215" spans="1:13" x14ac:dyDescent="0.3">
      <c r="A215" t="s">
        <v>438</v>
      </c>
      <c r="B215" s="2" t="s">
        <v>439</v>
      </c>
      <c r="C215" s="1">
        <v>45514</v>
      </c>
      <c r="D215" s="35">
        <v>277848.06</v>
      </c>
      <c r="E215" s="2" t="s">
        <v>10</v>
      </c>
      <c r="F215" s="2" t="s">
        <v>20</v>
      </c>
      <c r="G215" s="2" t="s">
        <v>24</v>
      </c>
      <c r="H215">
        <v>42</v>
      </c>
      <c r="I215" s="2" t="str">
        <f>TEXT(Sheet1[[#This Row],[claim_date]],"mmmm")</f>
        <v>August</v>
      </c>
      <c r="J215" s="2">
        <f>YEAR(Sheet1[[#This Row],[claim_date]])</f>
        <v>2024</v>
      </c>
      <c r="K215" s="2" t="str">
        <f>"Q"&amp;ROUNDUP(MONTH(Sheet1[[#This Row],[claim_date]])/3,0)</f>
        <v>Q3</v>
      </c>
      <c r="L215" s="2" t="str">
        <f>IF(Sheet1[[#This Row],[claim_amount]]&lt;100000,"Low",IF(Sheet1[[#This Row],[claim_amount]]&lt;200000,"Medium","High"))</f>
        <v>High</v>
      </c>
      <c r="M215" s="2" t="str">
        <f>IF(Sheet1[[#This Row],[days_to_process]]&lt;=30,"Fast","Slow")</f>
        <v>Slow</v>
      </c>
    </row>
    <row r="216" spans="1:13" x14ac:dyDescent="0.3">
      <c r="A216" t="s">
        <v>440</v>
      </c>
      <c r="B216" s="2" t="s">
        <v>441</v>
      </c>
      <c r="C216" s="1">
        <v>45425</v>
      </c>
      <c r="D216" s="35">
        <v>292666.33</v>
      </c>
      <c r="E216" s="2" t="s">
        <v>15</v>
      </c>
      <c r="F216" s="2" t="s">
        <v>20</v>
      </c>
      <c r="G216" s="2" t="s">
        <v>12</v>
      </c>
      <c r="H216">
        <v>27</v>
      </c>
      <c r="I216" s="2" t="str">
        <f>TEXT(Sheet1[[#This Row],[claim_date]],"mmmm")</f>
        <v>May</v>
      </c>
      <c r="J216" s="2">
        <f>YEAR(Sheet1[[#This Row],[claim_date]])</f>
        <v>2024</v>
      </c>
      <c r="K216" s="2" t="str">
        <f>"Q"&amp;ROUNDUP(MONTH(Sheet1[[#This Row],[claim_date]])/3,0)</f>
        <v>Q2</v>
      </c>
      <c r="L216" s="2" t="str">
        <f>IF(Sheet1[[#This Row],[claim_amount]]&lt;100000,"Low",IF(Sheet1[[#This Row],[claim_amount]]&lt;200000,"Medium","High"))</f>
        <v>High</v>
      </c>
      <c r="M216" s="2" t="str">
        <f>IF(Sheet1[[#This Row],[days_to_process]]&lt;=30,"Fast","Slow")</f>
        <v>Fast</v>
      </c>
    </row>
    <row r="217" spans="1:13" x14ac:dyDescent="0.3">
      <c r="A217" t="s">
        <v>442</v>
      </c>
      <c r="B217" s="2" t="s">
        <v>443</v>
      </c>
      <c r="C217" s="1">
        <v>45643</v>
      </c>
      <c r="D217" s="35">
        <v>148607.14000000001</v>
      </c>
      <c r="E217" s="2" t="s">
        <v>19</v>
      </c>
      <c r="F217" s="2" t="s">
        <v>20</v>
      </c>
      <c r="G217" s="2" t="s">
        <v>24</v>
      </c>
      <c r="H217">
        <v>33</v>
      </c>
      <c r="I217" s="2" t="str">
        <f>TEXT(Sheet1[[#This Row],[claim_date]],"mmmm")</f>
        <v>December</v>
      </c>
      <c r="J217" s="2">
        <f>YEAR(Sheet1[[#This Row],[claim_date]])</f>
        <v>2024</v>
      </c>
      <c r="K217" s="2" t="str">
        <f>"Q"&amp;ROUNDUP(MONTH(Sheet1[[#This Row],[claim_date]])/3,0)</f>
        <v>Q4</v>
      </c>
      <c r="L217" s="2" t="str">
        <f>IF(Sheet1[[#This Row],[claim_amount]]&lt;100000,"Low",IF(Sheet1[[#This Row],[claim_amount]]&lt;200000,"Medium","High"))</f>
        <v>Medium</v>
      </c>
      <c r="M217" s="2" t="str">
        <f>IF(Sheet1[[#This Row],[days_to_process]]&lt;=30,"Fast","Slow")</f>
        <v>Slow</v>
      </c>
    </row>
    <row r="218" spans="1:13" x14ac:dyDescent="0.3">
      <c r="A218" t="s">
        <v>444</v>
      </c>
      <c r="B218" s="2" t="s">
        <v>445</v>
      </c>
      <c r="C218" s="1">
        <v>45369</v>
      </c>
      <c r="D218" s="35">
        <v>452035.42</v>
      </c>
      <c r="E218" s="2" t="s">
        <v>10</v>
      </c>
      <c r="F218" s="2" t="s">
        <v>23</v>
      </c>
      <c r="G218" s="2" t="s">
        <v>12</v>
      </c>
      <c r="H218">
        <v>48</v>
      </c>
      <c r="I218" s="2" t="str">
        <f>TEXT(Sheet1[[#This Row],[claim_date]],"mmmm")</f>
        <v>March</v>
      </c>
      <c r="J218" s="2">
        <f>YEAR(Sheet1[[#This Row],[claim_date]])</f>
        <v>2024</v>
      </c>
      <c r="K218" s="2" t="str">
        <f>"Q"&amp;ROUNDUP(MONTH(Sheet1[[#This Row],[claim_date]])/3,0)</f>
        <v>Q1</v>
      </c>
      <c r="L218" s="2" t="str">
        <f>IF(Sheet1[[#This Row],[claim_amount]]&lt;100000,"Low",IF(Sheet1[[#This Row],[claim_amount]]&lt;200000,"Medium","High"))</f>
        <v>High</v>
      </c>
      <c r="M218" s="2" t="str">
        <f>IF(Sheet1[[#This Row],[days_to_process]]&lt;=30,"Fast","Slow")</f>
        <v>Slow</v>
      </c>
    </row>
    <row r="219" spans="1:13" x14ac:dyDescent="0.3">
      <c r="A219" t="s">
        <v>446</v>
      </c>
      <c r="B219" s="2" t="s">
        <v>447</v>
      </c>
      <c r="C219" s="1">
        <v>45348</v>
      </c>
      <c r="D219" s="35">
        <v>195376.45</v>
      </c>
      <c r="E219" s="2" t="s">
        <v>19</v>
      </c>
      <c r="F219" s="2" t="s">
        <v>11</v>
      </c>
      <c r="G219" s="2" t="s">
        <v>24</v>
      </c>
      <c r="H219">
        <v>55</v>
      </c>
      <c r="I219" s="2" t="str">
        <f>TEXT(Sheet1[[#This Row],[claim_date]],"mmmm")</f>
        <v>February</v>
      </c>
      <c r="J219" s="2">
        <f>YEAR(Sheet1[[#This Row],[claim_date]])</f>
        <v>2024</v>
      </c>
      <c r="K219" s="2" t="str">
        <f>"Q"&amp;ROUNDUP(MONTH(Sheet1[[#This Row],[claim_date]])/3,0)</f>
        <v>Q1</v>
      </c>
      <c r="L219" s="2" t="str">
        <f>IF(Sheet1[[#This Row],[claim_amount]]&lt;100000,"Low",IF(Sheet1[[#This Row],[claim_amount]]&lt;200000,"Medium","High"))</f>
        <v>Medium</v>
      </c>
      <c r="M219" s="2" t="str">
        <f>IF(Sheet1[[#This Row],[days_to_process]]&lt;=30,"Fast","Slow")</f>
        <v>Slow</v>
      </c>
    </row>
    <row r="220" spans="1:13" x14ac:dyDescent="0.3">
      <c r="A220" t="s">
        <v>448</v>
      </c>
      <c r="B220" s="2" t="s">
        <v>449</v>
      </c>
      <c r="C220" s="1">
        <v>45376</v>
      </c>
      <c r="D220" s="35">
        <v>461141.71</v>
      </c>
      <c r="E220" s="2" t="s">
        <v>19</v>
      </c>
      <c r="F220" s="2" t="s">
        <v>20</v>
      </c>
      <c r="G220" s="2" t="s">
        <v>12</v>
      </c>
      <c r="H220">
        <v>35</v>
      </c>
      <c r="I220" s="2" t="str">
        <f>TEXT(Sheet1[[#This Row],[claim_date]],"mmmm")</f>
        <v>March</v>
      </c>
      <c r="J220" s="2">
        <f>YEAR(Sheet1[[#This Row],[claim_date]])</f>
        <v>2024</v>
      </c>
      <c r="K220" s="2" t="str">
        <f>"Q"&amp;ROUNDUP(MONTH(Sheet1[[#This Row],[claim_date]])/3,0)</f>
        <v>Q1</v>
      </c>
      <c r="L220" s="2" t="str">
        <f>IF(Sheet1[[#This Row],[claim_amount]]&lt;100000,"Low",IF(Sheet1[[#This Row],[claim_amount]]&lt;200000,"Medium","High"))</f>
        <v>High</v>
      </c>
      <c r="M220" s="2" t="str">
        <f>IF(Sheet1[[#This Row],[days_to_process]]&lt;=30,"Fast","Slow")</f>
        <v>Slow</v>
      </c>
    </row>
    <row r="221" spans="1:13" x14ac:dyDescent="0.3">
      <c r="A221" t="s">
        <v>450</v>
      </c>
      <c r="B221" s="2" t="s">
        <v>451</v>
      </c>
      <c r="C221" s="1">
        <v>45837</v>
      </c>
      <c r="D221" s="35">
        <v>45462.26</v>
      </c>
      <c r="E221" s="2" t="s">
        <v>15</v>
      </c>
      <c r="F221" s="2" t="s">
        <v>34</v>
      </c>
      <c r="G221" s="2" t="s">
        <v>24</v>
      </c>
      <c r="H221">
        <v>10</v>
      </c>
      <c r="I221" s="2" t="str">
        <f>TEXT(Sheet1[[#This Row],[claim_date]],"mmmm")</f>
        <v>June</v>
      </c>
      <c r="J221" s="2">
        <f>YEAR(Sheet1[[#This Row],[claim_date]])</f>
        <v>2025</v>
      </c>
      <c r="K221" s="2" t="str">
        <f>"Q"&amp;ROUNDUP(MONTH(Sheet1[[#This Row],[claim_date]])/3,0)</f>
        <v>Q2</v>
      </c>
      <c r="L221" s="2" t="str">
        <f>IF(Sheet1[[#This Row],[claim_amount]]&lt;100000,"Low",IF(Sheet1[[#This Row],[claim_amount]]&lt;200000,"Medium","High"))</f>
        <v>Low</v>
      </c>
      <c r="M221" s="2" t="str">
        <f>IF(Sheet1[[#This Row],[days_to_process]]&lt;=30,"Fast","Slow")</f>
        <v>Fast</v>
      </c>
    </row>
    <row r="222" spans="1:13" x14ac:dyDescent="0.3">
      <c r="A222" t="s">
        <v>452</v>
      </c>
      <c r="B222" s="2" t="s">
        <v>453</v>
      </c>
      <c r="C222" s="1">
        <v>44176</v>
      </c>
      <c r="D222" s="35">
        <v>56771.81</v>
      </c>
      <c r="E222" s="2" t="s">
        <v>15</v>
      </c>
      <c r="F222" s="2" t="s">
        <v>34</v>
      </c>
      <c r="G222" s="2" t="s">
        <v>12</v>
      </c>
      <c r="H222">
        <v>31</v>
      </c>
      <c r="I222" s="2" t="str">
        <f>TEXT(Sheet1[[#This Row],[claim_date]],"mmmm")</f>
        <v>December</v>
      </c>
      <c r="J222" s="2">
        <f>YEAR(Sheet1[[#This Row],[claim_date]])</f>
        <v>2020</v>
      </c>
      <c r="K222" s="2" t="str">
        <f>"Q"&amp;ROUNDUP(MONTH(Sheet1[[#This Row],[claim_date]])/3,0)</f>
        <v>Q4</v>
      </c>
      <c r="L222" s="2" t="str">
        <f>IF(Sheet1[[#This Row],[claim_amount]]&lt;100000,"Low",IF(Sheet1[[#This Row],[claim_amount]]&lt;200000,"Medium","High"))</f>
        <v>Low</v>
      </c>
      <c r="M222" s="2" t="str">
        <f>IF(Sheet1[[#This Row],[days_to_process]]&lt;=30,"Fast","Slow")</f>
        <v>Slow</v>
      </c>
    </row>
    <row r="223" spans="1:13" x14ac:dyDescent="0.3">
      <c r="A223" t="s">
        <v>454</v>
      </c>
      <c r="B223" s="2" t="s">
        <v>455</v>
      </c>
      <c r="C223" s="1">
        <v>44556</v>
      </c>
      <c r="D223" s="35">
        <v>411558.37</v>
      </c>
      <c r="E223" s="2" t="s">
        <v>15</v>
      </c>
      <c r="F223" s="2" t="s">
        <v>11</v>
      </c>
      <c r="G223" s="2" t="s">
        <v>12</v>
      </c>
      <c r="H223">
        <v>49</v>
      </c>
      <c r="I223" s="2" t="str">
        <f>TEXT(Sheet1[[#This Row],[claim_date]],"mmmm")</f>
        <v>December</v>
      </c>
      <c r="J223" s="2">
        <f>YEAR(Sheet1[[#This Row],[claim_date]])</f>
        <v>2021</v>
      </c>
      <c r="K223" s="2" t="str">
        <f>"Q"&amp;ROUNDUP(MONTH(Sheet1[[#This Row],[claim_date]])/3,0)</f>
        <v>Q4</v>
      </c>
      <c r="L223" s="2" t="str">
        <f>IF(Sheet1[[#This Row],[claim_amount]]&lt;100000,"Low",IF(Sheet1[[#This Row],[claim_amount]]&lt;200000,"Medium","High"))</f>
        <v>High</v>
      </c>
      <c r="M223" s="2" t="str">
        <f>IF(Sheet1[[#This Row],[days_to_process]]&lt;=30,"Fast","Slow")</f>
        <v>Slow</v>
      </c>
    </row>
    <row r="224" spans="1:13" x14ac:dyDescent="0.3">
      <c r="A224" t="s">
        <v>456</v>
      </c>
      <c r="B224" s="2" t="s">
        <v>457</v>
      </c>
      <c r="C224" s="1">
        <v>44421</v>
      </c>
      <c r="D224" s="35">
        <v>466337.77</v>
      </c>
      <c r="E224" s="2" t="s">
        <v>19</v>
      </c>
      <c r="F224" s="2" t="s">
        <v>23</v>
      </c>
      <c r="G224" s="2" t="s">
        <v>24</v>
      </c>
      <c r="H224">
        <v>43</v>
      </c>
      <c r="I224" s="2" t="str">
        <f>TEXT(Sheet1[[#This Row],[claim_date]],"mmmm")</f>
        <v>August</v>
      </c>
      <c r="J224" s="2">
        <f>YEAR(Sheet1[[#This Row],[claim_date]])</f>
        <v>2021</v>
      </c>
      <c r="K224" s="2" t="str">
        <f>"Q"&amp;ROUNDUP(MONTH(Sheet1[[#This Row],[claim_date]])/3,0)</f>
        <v>Q3</v>
      </c>
      <c r="L224" s="2" t="str">
        <f>IF(Sheet1[[#This Row],[claim_amount]]&lt;100000,"Low",IF(Sheet1[[#This Row],[claim_amount]]&lt;200000,"Medium","High"))</f>
        <v>High</v>
      </c>
      <c r="M224" s="2" t="str">
        <f>IF(Sheet1[[#This Row],[days_to_process]]&lt;=30,"Fast","Slow")</f>
        <v>Slow</v>
      </c>
    </row>
    <row r="225" spans="1:13" x14ac:dyDescent="0.3">
      <c r="A225" t="s">
        <v>458</v>
      </c>
      <c r="B225" s="2" t="s">
        <v>459</v>
      </c>
      <c r="C225" s="1">
        <v>44669</v>
      </c>
      <c r="D225" s="35">
        <v>185521.49</v>
      </c>
      <c r="E225" s="2" t="s">
        <v>19</v>
      </c>
      <c r="F225" s="2" t="s">
        <v>23</v>
      </c>
      <c r="G225" s="2" t="s">
        <v>24</v>
      </c>
      <c r="H225">
        <v>45</v>
      </c>
      <c r="I225" s="2" t="str">
        <f>TEXT(Sheet1[[#This Row],[claim_date]],"mmmm")</f>
        <v>April</v>
      </c>
      <c r="J225" s="2">
        <f>YEAR(Sheet1[[#This Row],[claim_date]])</f>
        <v>2022</v>
      </c>
      <c r="K225" s="2" t="str">
        <f>"Q"&amp;ROUNDUP(MONTH(Sheet1[[#This Row],[claim_date]])/3,0)</f>
        <v>Q2</v>
      </c>
      <c r="L225" s="2" t="str">
        <f>IF(Sheet1[[#This Row],[claim_amount]]&lt;100000,"Low",IF(Sheet1[[#This Row],[claim_amount]]&lt;200000,"Medium","High"))</f>
        <v>Medium</v>
      </c>
      <c r="M225" s="2" t="str">
        <f>IF(Sheet1[[#This Row],[days_to_process]]&lt;=30,"Fast","Slow")</f>
        <v>Slow</v>
      </c>
    </row>
    <row r="226" spans="1:13" x14ac:dyDescent="0.3">
      <c r="A226" t="s">
        <v>460</v>
      </c>
      <c r="B226" s="2" t="s">
        <v>461</v>
      </c>
      <c r="C226" s="1">
        <v>45304</v>
      </c>
      <c r="D226" s="35">
        <v>439452.89</v>
      </c>
      <c r="E226" s="2" t="s">
        <v>10</v>
      </c>
      <c r="F226" s="2" t="s">
        <v>16</v>
      </c>
      <c r="G226" s="2" t="s">
        <v>24</v>
      </c>
      <c r="H226">
        <v>9</v>
      </c>
      <c r="I226" s="2" t="str">
        <f>TEXT(Sheet1[[#This Row],[claim_date]],"mmmm")</f>
        <v>January</v>
      </c>
      <c r="J226" s="2">
        <f>YEAR(Sheet1[[#This Row],[claim_date]])</f>
        <v>2024</v>
      </c>
      <c r="K226" s="2" t="str">
        <f>"Q"&amp;ROUNDUP(MONTH(Sheet1[[#This Row],[claim_date]])/3,0)</f>
        <v>Q1</v>
      </c>
      <c r="L226" s="2" t="str">
        <f>IF(Sheet1[[#This Row],[claim_amount]]&lt;100000,"Low",IF(Sheet1[[#This Row],[claim_amount]]&lt;200000,"Medium","High"))</f>
        <v>High</v>
      </c>
      <c r="M226" s="2" t="str">
        <f>IF(Sheet1[[#This Row],[days_to_process]]&lt;=30,"Fast","Slow")</f>
        <v>Fast</v>
      </c>
    </row>
    <row r="227" spans="1:13" x14ac:dyDescent="0.3">
      <c r="A227" t="s">
        <v>462</v>
      </c>
      <c r="B227" s="2" t="s">
        <v>463</v>
      </c>
      <c r="C227" s="1">
        <v>44506</v>
      </c>
      <c r="D227" s="35">
        <v>52119.21</v>
      </c>
      <c r="E227" s="2" t="s">
        <v>19</v>
      </c>
      <c r="F227" s="2" t="s">
        <v>34</v>
      </c>
      <c r="G227" s="2" t="s">
        <v>24</v>
      </c>
      <c r="H227">
        <v>48</v>
      </c>
      <c r="I227" s="2" t="str">
        <f>TEXT(Sheet1[[#This Row],[claim_date]],"mmmm")</f>
        <v>November</v>
      </c>
      <c r="J227" s="2">
        <f>YEAR(Sheet1[[#This Row],[claim_date]])</f>
        <v>2021</v>
      </c>
      <c r="K227" s="2" t="str">
        <f>"Q"&amp;ROUNDUP(MONTH(Sheet1[[#This Row],[claim_date]])/3,0)</f>
        <v>Q4</v>
      </c>
      <c r="L227" s="2" t="str">
        <f>IF(Sheet1[[#This Row],[claim_amount]]&lt;100000,"Low",IF(Sheet1[[#This Row],[claim_amount]]&lt;200000,"Medium","High"))</f>
        <v>Low</v>
      </c>
      <c r="M227" s="2" t="str">
        <f>IF(Sheet1[[#This Row],[days_to_process]]&lt;=30,"Fast","Slow")</f>
        <v>Slow</v>
      </c>
    </row>
    <row r="228" spans="1:13" x14ac:dyDescent="0.3">
      <c r="A228" t="s">
        <v>464</v>
      </c>
      <c r="B228" s="2" t="s">
        <v>465</v>
      </c>
      <c r="C228" s="1">
        <v>45390</v>
      </c>
      <c r="D228" s="35">
        <v>66734.87</v>
      </c>
      <c r="E228" s="2" t="s">
        <v>19</v>
      </c>
      <c r="F228" s="2" t="s">
        <v>34</v>
      </c>
      <c r="G228" s="2" t="s">
        <v>12</v>
      </c>
      <c r="H228">
        <v>53</v>
      </c>
      <c r="I228" s="2" t="str">
        <f>TEXT(Sheet1[[#This Row],[claim_date]],"mmmm")</f>
        <v>April</v>
      </c>
      <c r="J228" s="2">
        <f>YEAR(Sheet1[[#This Row],[claim_date]])</f>
        <v>2024</v>
      </c>
      <c r="K228" s="2" t="str">
        <f>"Q"&amp;ROUNDUP(MONTH(Sheet1[[#This Row],[claim_date]])/3,0)</f>
        <v>Q2</v>
      </c>
      <c r="L228" s="2" t="str">
        <f>IF(Sheet1[[#This Row],[claim_amount]]&lt;100000,"Low",IF(Sheet1[[#This Row],[claim_amount]]&lt;200000,"Medium","High"))</f>
        <v>Low</v>
      </c>
      <c r="M228" s="2" t="str">
        <f>IF(Sheet1[[#This Row],[days_to_process]]&lt;=30,"Fast","Slow")</f>
        <v>Slow</v>
      </c>
    </row>
    <row r="229" spans="1:13" x14ac:dyDescent="0.3">
      <c r="A229" t="s">
        <v>466</v>
      </c>
      <c r="B229" s="2" t="s">
        <v>467</v>
      </c>
      <c r="C229" s="1">
        <v>45339</v>
      </c>
      <c r="D229" s="35">
        <v>338952.13</v>
      </c>
      <c r="E229" s="2" t="s">
        <v>19</v>
      </c>
      <c r="F229" s="2" t="s">
        <v>16</v>
      </c>
      <c r="G229" s="2" t="s">
        <v>12</v>
      </c>
      <c r="H229">
        <v>22</v>
      </c>
      <c r="I229" s="2" t="str">
        <f>TEXT(Sheet1[[#This Row],[claim_date]],"mmmm")</f>
        <v>February</v>
      </c>
      <c r="J229" s="2">
        <f>YEAR(Sheet1[[#This Row],[claim_date]])</f>
        <v>2024</v>
      </c>
      <c r="K229" s="2" t="str">
        <f>"Q"&amp;ROUNDUP(MONTH(Sheet1[[#This Row],[claim_date]])/3,0)</f>
        <v>Q1</v>
      </c>
      <c r="L229" s="2" t="str">
        <f>IF(Sheet1[[#This Row],[claim_amount]]&lt;100000,"Low",IF(Sheet1[[#This Row],[claim_amount]]&lt;200000,"Medium","High"))</f>
        <v>High</v>
      </c>
      <c r="M229" s="2" t="str">
        <f>IF(Sheet1[[#This Row],[days_to_process]]&lt;=30,"Fast","Slow")</f>
        <v>Fast</v>
      </c>
    </row>
    <row r="230" spans="1:13" x14ac:dyDescent="0.3">
      <c r="A230" t="s">
        <v>468</v>
      </c>
      <c r="B230" s="2" t="s">
        <v>469</v>
      </c>
      <c r="C230" s="1">
        <v>44435</v>
      </c>
      <c r="D230" s="35">
        <v>12604.61</v>
      </c>
      <c r="E230" s="2" t="s">
        <v>19</v>
      </c>
      <c r="F230" s="2" t="s">
        <v>20</v>
      </c>
      <c r="G230" s="2" t="s">
        <v>12</v>
      </c>
      <c r="H230">
        <v>25</v>
      </c>
      <c r="I230" s="2" t="str">
        <f>TEXT(Sheet1[[#This Row],[claim_date]],"mmmm")</f>
        <v>August</v>
      </c>
      <c r="J230" s="2">
        <f>YEAR(Sheet1[[#This Row],[claim_date]])</f>
        <v>2021</v>
      </c>
      <c r="K230" s="2" t="str">
        <f>"Q"&amp;ROUNDUP(MONTH(Sheet1[[#This Row],[claim_date]])/3,0)</f>
        <v>Q3</v>
      </c>
      <c r="L230" s="2" t="str">
        <f>IF(Sheet1[[#This Row],[claim_amount]]&lt;100000,"Low",IF(Sheet1[[#This Row],[claim_amount]]&lt;200000,"Medium","High"))</f>
        <v>Low</v>
      </c>
      <c r="M230" s="2" t="str">
        <f>IF(Sheet1[[#This Row],[days_to_process]]&lt;=30,"Fast","Slow")</f>
        <v>Fast</v>
      </c>
    </row>
    <row r="231" spans="1:13" x14ac:dyDescent="0.3">
      <c r="A231" t="s">
        <v>470</v>
      </c>
      <c r="B231" s="2" t="s">
        <v>471</v>
      </c>
      <c r="C231" s="1">
        <v>45064</v>
      </c>
      <c r="D231" s="35">
        <v>34321.730000000003</v>
      </c>
      <c r="E231" s="2" t="s">
        <v>19</v>
      </c>
      <c r="F231" s="2" t="s">
        <v>11</v>
      </c>
      <c r="G231" s="2" t="s">
        <v>12</v>
      </c>
      <c r="H231">
        <v>2</v>
      </c>
      <c r="I231" s="2" t="str">
        <f>TEXT(Sheet1[[#This Row],[claim_date]],"mmmm")</f>
        <v>May</v>
      </c>
      <c r="J231" s="2">
        <f>YEAR(Sheet1[[#This Row],[claim_date]])</f>
        <v>2023</v>
      </c>
      <c r="K231" s="2" t="str">
        <f>"Q"&amp;ROUNDUP(MONTH(Sheet1[[#This Row],[claim_date]])/3,0)</f>
        <v>Q2</v>
      </c>
      <c r="L231" s="2" t="str">
        <f>IF(Sheet1[[#This Row],[claim_amount]]&lt;100000,"Low",IF(Sheet1[[#This Row],[claim_amount]]&lt;200000,"Medium","High"))</f>
        <v>Low</v>
      </c>
      <c r="M231" s="2" t="str">
        <f>IF(Sheet1[[#This Row],[days_to_process]]&lt;=30,"Fast","Slow")</f>
        <v>Fast</v>
      </c>
    </row>
    <row r="232" spans="1:13" x14ac:dyDescent="0.3">
      <c r="A232" t="s">
        <v>472</v>
      </c>
      <c r="B232" s="2" t="s">
        <v>473</v>
      </c>
      <c r="C232" s="1">
        <v>45458</v>
      </c>
      <c r="D232" s="35">
        <v>56954.14</v>
      </c>
      <c r="E232" s="2" t="s">
        <v>19</v>
      </c>
      <c r="F232" s="2" t="s">
        <v>20</v>
      </c>
      <c r="G232" s="2" t="s">
        <v>24</v>
      </c>
      <c r="H232">
        <v>24</v>
      </c>
      <c r="I232" s="2" t="str">
        <f>TEXT(Sheet1[[#This Row],[claim_date]],"mmmm")</f>
        <v>June</v>
      </c>
      <c r="J232" s="2">
        <f>YEAR(Sheet1[[#This Row],[claim_date]])</f>
        <v>2024</v>
      </c>
      <c r="K232" s="2" t="str">
        <f>"Q"&amp;ROUNDUP(MONTH(Sheet1[[#This Row],[claim_date]])/3,0)</f>
        <v>Q2</v>
      </c>
      <c r="L232" s="2" t="str">
        <f>IF(Sheet1[[#This Row],[claim_amount]]&lt;100000,"Low",IF(Sheet1[[#This Row],[claim_amount]]&lt;200000,"Medium","High"))</f>
        <v>Low</v>
      </c>
      <c r="M232" s="2" t="str">
        <f>IF(Sheet1[[#This Row],[days_to_process]]&lt;=30,"Fast","Slow")</f>
        <v>Fast</v>
      </c>
    </row>
    <row r="233" spans="1:13" x14ac:dyDescent="0.3">
      <c r="A233" t="s">
        <v>474</v>
      </c>
      <c r="B233" s="2" t="s">
        <v>475</v>
      </c>
      <c r="C233" s="1">
        <v>45515</v>
      </c>
      <c r="D233" s="35">
        <v>168832.54</v>
      </c>
      <c r="E233" s="2" t="s">
        <v>19</v>
      </c>
      <c r="F233" s="2" t="s">
        <v>20</v>
      </c>
      <c r="G233" s="2" t="s">
        <v>24</v>
      </c>
      <c r="H233">
        <v>11</v>
      </c>
      <c r="I233" s="2" t="str">
        <f>TEXT(Sheet1[[#This Row],[claim_date]],"mmmm")</f>
        <v>August</v>
      </c>
      <c r="J233" s="2">
        <f>YEAR(Sheet1[[#This Row],[claim_date]])</f>
        <v>2024</v>
      </c>
      <c r="K233" s="2" t="str">
        <f>"Q"&amp;ROUNDUP(MONTH(Sheet1[[#This Row],[claim_date]])/3,0)</f>
        <v>Q3</v>
      </c>
      <c r="L233" s="2" t="str">
        <f>IF(Sheet1[[#This Row],[claim_amount]]&lt;100000,"Low",IF(Sheet1[[#This Row],[claim_amount]]&lt;200000,"Medium","High"))</f>
        <v>Medium</v>
      </c>
      <c r="M233" s="2" t="str">
        <f>IF(Sheet1[[#This Row],[days_to_process]]&lt;=30,"Fast","Slow")</f>
        <v>Fast</v>
      </c>
    </row>
    <row r="234" spans="1:13" x14ac:dyDescent="0.3">
      <c r="A234" t="s">
        <v>476</v>
      </c>
      <c r="B234" s="2" t="s">
        <v>477</v>
      </c>
      <c r="C234" s="1">
        <v>45519</v>
      </c>
      <c r="D234" s="35">
        <v>253134.89</v>
      </c>
      <c r="E234" s="2" t="s">
        <v>10</v>
      </c>
      <c r="F234" s="2" t="s">
        <v>23</v>
      </c>
      <c r="G234" s="2" t="s">
        <v>12</v>
      </c>
      <c r="H234">
        <v>22</v>
      </c>
      <c r="I234" s="2" t="str">
        <f>TEXT(Sheet1[[#This Row],[claim_date]],"mmmm")</f>
        <v>August</v>
      </c>
      <c r="J234" s="2">
        <f>YEAR(Sheet1[[#This Row],[claim_date]])</f>
        <v>2024</v>
      </c>
      <c r="K234" s="2" t="str">
        <f>"Q"&amp;ROUNDUP(MONTH(Sheet1[[#This Row],[claim_date]])/3,0)</f>
        <v>Q3</v>
      </c>
      <c r="L234" s="2" t="str">
        <f>IF(Sheet1[[#This Row],[claim_amount]]&lt;100000,"Low",IF(Sheet1[[#This Row],[claim_amount]]&lt;200000,"Medium","High"))</f>
        <v>High</v>
      </c>
      <c r="M234" s="2" t="str">
        <f>IF(Sheet1[[#This Row],[days_to_process]]&lt;=30,"Fast","Slow")</f>
        <v>Fast</v>
      </c>
    </row>
    <row r="235" spans="1:13" x14ac:dyDescent="0.3">
      <c r="A235" t="s">
        <v>478</v>
      </c>
      <c r="B235" s="2" t="s">
        <v>479</v>
      </c>
      <c r="C235" s="1">
        <v>45224</v>
      </c>
      <c r="D235" s="35">
        <v>244964.94</v>
      </c>
      <c r="E235" s="2" t="s">
        <v>19</v>
      </c>
      <c r="F235" s="2" t="s">
        <v>11</v>
      </c>
      <c r="G235" s="2" t="s">
        <v>24</v>
      </c>
      <c r="H235">
        <v>5</v>
      </c>
      <c r="I235" s="2" t="str">
        <f>TEXT(Sheet1[[#This Row],[claim_date]],"mmmm")</f>
        <v>October</v>
      </c>
      <c r="J235" s="2">
        <f>YEAR(Sheet1[[#This Row],[claim_date]])</f>
        <v>2023</v>
      </c>
      <c r="K235" s="2" t="str">
        <f>"Q"&amp;ROUNDUP(MONTH(Sheet1[[#This Row],[claim_date]])/3,0)</f>
        <v>Q4</v>
      </c>
      <c r="L235" s="2" t="str">
        <f>IF(Sheet1[[#This Row],[claim_amount]]&lt;100000,"Low",IF(Sheet1[[#This Row],[claim_amount]]&lt;200000,"Medium","High"))</f>
        <v>High</v>
      </c>
      <c r="M235" s="2" t="str">
        <f>IF(Sheet1[[#This Row],[days_to_process]]&lt;=30,"Fast","Slow")</f>
        <v>Fast</v>
      </c>
    </row>
    <row r="236" spans="1:13" x14ac:dyDescent="0.3">
      <c r="A236" t="s">
        <v>480</v>
      </c>
      <c r="B236" s="2" t="s">
        <v>481</v>
      </c>
      <c r="C236" s="1">
        <v>45670</v>
      </c>
      <c r="D236" s="35">
        <v>479361.52</v>
      </c>
      <c r="E236" s="2" t="s">
        <v>10</v>
      </c>
      <c r="F236" s="2" t="s">
        <v>23</v>
      </c>
      <c r="G236" s="2" t="s">
        <v>24</v>
      </c>
      <c r="H236">
        <v>10</v>
      </c>
      <c r="I236" s="2" t="str">
        <f>TEXT(Sheet1[[#This Row],[claim_date]],"mmmm")</f>
        <v>January</v>
      </c>
      <c r="J236" s="2">
        <f>YEAR(Sheet1[[#This Row],[claim_date]])</f>
        <v>2025</v>
      </c>
      <c r="K236" s="2" t="str">
        <f>"Q"&amp;ROUNDUP(MONTH(Sheet1[[#This Row],[claim_date]])/3,0)</f>
        <v>Q1</v>
      </c>
      <c r="L236" s="2" t="str">
        <f>IF(Sheet1[[#This Row],[claim_amount]]&lt;100000,"Low",IF(Sheet1[[#This Row],[claim_amount]]&lt;200000,"Medium","High"))</f>
        <v>High</v>
      </c>
      <c r="M236" s="2" t="str">
        <f>IF(Sheet1[[#This Row],[days_to_process]]&lt;=30,"Fast","Slow")</f>
        <v>Fast</v>
      </c>
    </row>
    <row r="237" spans="1:13" x14ac:dyDescent="0.3">
      <c r="A237" t="s">
        <v>482</v>
      </c>
      <c r="B237" s="2" t="s">
        <v>483</v>
      </c>
      <c r="C237" s="1">
        <v>44929</v>
      </c>
      <c r="D237" s="35">
        <v>453898.36</v>
      </c>
      <c r="E237" s="2" t="s">
        <v>19</v>
      </c>
      <c r="F237" s="2" t="s">
        <v>34</v>
      </c>
      <c r="G237" s="2" t="s">
        <v>12</v>
      </c>
      <c r="H237">
        <v>18</v>
      </c>
      <c r="I237" s="2" t="str">
        <f>TEXT(Sheet1[[#This Row],[claim_date]],"mmmm")</f>
        <v>January</v>
      </c>
      <c r="J237" s="2">
        <f>YEAR(Sheet1[[#This Row],[claim_date]])</f>
        <v>2023</v>
      </c>
      <c r="K237" s="2" t="str">
        <f>"Q"&amp;ROUNDUP(MONTH(Sheet1[[#This Row],[claim_date]])/3,0)</f>
        <v>Q1</v>
      </c>
      <c r="L237" s="2" t="str">
        <f>IF(Sheet1[[#This Row],[claim_amount]]&lt;100000,"Low",IF(Sheet1[[#This Row],[claim_amount]]&lt;200000,"Medium","High"))</f>
        <v>High</v>
      </c>
      <c r="M237" s="2" t="str">
        <f>IF(Sheet1[[#This Row],[days_to_process]]&lt;=30,"Fast","Slow")</f>
        <v>Fast</v>
      </c>
    </row>
    <row r="238" spans="1:13" x14ac:dyDescent="0.3">
      <c r="A238" t="s">
        <v>484</v>
      </c>
      <c r="B238" s="2" t="s">
        <v>485</v>
      </c>
      <c r="C238" s="1">
        <v>45065</v>
      </c>
      <c r="D238" s="35">
        <v>425694.53</v>
      </c>
      <c r="E238" s="2" t="s">
        <v>19</v>
      </c>
      <c r="F238" s="2" t="s">
        <v>20</v>
      </c>
      <c r="G238" s="2" t="s">
        <v>24</v>
      </c>
      <c r="H238">
        <v>48</v>
      </c>
      <c r="I238" s="2" t="str">
        <f>TEXT(Sheet1[[#This Row],[claim_date]],"mmmm")</f>
        <v>May</v>
      </c>
      <c r="J238" s="2">
        <f>YEAR(Sheet1[[#This Row],[claim_date]])</f>
        <v>2023</v>
      </c>
      <c r="K238" s="2" t="str">
        <f>"Q"&amp;ROUNDUP(MONTH(Sheet1[[#This Row],[claim_date]])/3,0)</f>
        <v>Q2</v>
      </c>
      <c r="L238" s="2" t="str">
        <f>IF(Sheet1[[#This Row],[claim_amount]]&lt;100000,"Low",IF(Sheet1[[#This Row],[claim_amount]]&lt;200000,"Medium","High"))</f>
        <v>High</v>
      </c>
      <c r="M238" s="2" t="str">
        <f>IF(Sheet1[[#This Row],[days_to_process]]&lt;=30,"Fast","Slow")</f>
        <v>Slow</v>
      </c>
    </row>
    <row r="239" spans="1:13" x14ac:dyDescent="0.3">
      <c r="A239" t="s">
        <v>486</v>
      </c>
      <c r="B239" s="2" t="s">
        <v>487</v>
      </c>
      <c r="C239" s="1">
        <v>44474</v>
      </c>
      <c r="D239" s="35">
        <v>379946.05</v>
      </c>
      <c r="E239" s="2" t="s">
        <v>19</v>
      </c>
      <c r="F239" s="2" t="s">
        <v>34</v>
      </c>
      <c r="G239" s="2" t="s">
        <v>24</v>
      </c>
      <c r="H239">
        <v>8</v>
      </c>
      <c r="I239" s="2" t="str">
        <f>TEXT(Sheet1[[#This Row],[claim_date]],"mmmm")</f>
        <v>October</v>
      </c>
      <c r="J239" s="2">
        <f>YEAR(Sheet1[[#This Row],[claim_date]])</f>
        <v>2021</v>
      </c>
      <c r="K239" s="2" t="str">
        <f>"Q"&amp;ROUNDUP(MONTH(Sheet1[[#This Row],[claim_date]])/3,0)</f>
        <v>Q4</v>
      </c>
      <c r="L239" s="2" t="str">
        <f>IF(Sheet1[[#This Row],[claim_amount]]&lt;100000,"Low",IF(Sheet1[[#This Row],[claim_amount]]&lt;200000,"Medium","High"))</f>
        <v>High</v>
      </c>
      <c r="M239" s="2" t="str">
        <f>IF(Sheet1[[#This Row],[days_to_process]]&lt;=30,"Fast","Slow")</f>
        <v>Fast</v>
      </c>
    </row>
    <row r="240" spans="1:13" x14ac:dyDescent="0.3">
      <c r="A240" t="s">
        <v>488</v>
      </c>
      <c r="B240" s="2" t="s">
        <v>489</v>
      </c>
      <c r="C240" s="1">
        <v>45647</v>
      </c>
      <c r="D240" s="35">
        <v>436254.47</v>
      </c>
      <c r="E240" s="2" t="s">
        <v>15</v>
      </c>
      <c r="F240" s="2" t="s">
        <v>23</v>
      </c>
      <c r="G240" s="2" t="s">
        <v>24</v>
      </c>
      <c r="H240">
        <v>32</v>
      </c>
      <c r="I240" s="2" t="str">
        <f>TEXT(Sheet1[[#This Row],[claim_date]],"mmmm")</f>
        <v>December</v>
      </c>
      <c r="J240" s="2">
        <f>YEAR(Sheet1[[#This Row],[claim_date]])</f>
        <v>2024</v>
      </c>
      <c r="K240" s="2" t="str">
        <f>"Q"&amp;ROUNDUP(MONTH(Sheet1[[#This Row],[claim_date]])/3,0)</f>
        <v>Q4</v>
      </c>
      <c r="L240" s="2" t="str">
        <f>IF(Sheet1[[#This Row],[claim_amount]]&lt;100000,"Low",IF(Sheet1[[#This Row],[claim_amount]]&lt;200000,"Medium","High"))</f>
        <v>High</v>
      </c>
      <c r="M240" s="2" t="str">
        <f>IF(Sheet1[[#This Row],[days_to_process]]&lt;=30,"Fast","Slow")</f>
        <v>Slow</v>
      </c>
    </row>
    <row r="241" spans="1:13" x14ac:dyDescent="0.3">
      <c r="A241" t="s">
        <v>490</v>
      </c>
      <c r="B241" s="2" t="s">
        <v>491</v>
      </c>
      <c r="C241" s="1">
        <v>45727</v>
      </c>
      <c r="D241" s="35">
        <v>78660.289999999994</v>
      </c>
      <c r="E241" s="2" t="s">
        <v>10</v>
      </c>
      <c r="F241" s="2" t="s">
        <v>20</v>
      </c>
      <c r="G241" s="2" t="s">
        <v>12</v>
      </c>
      <c r="H241">
        <v>55</v>
      </c>
      <c r="I241" s="2" t="str">
        <f>TEXT(Sheet1[[#This Row],[claim_date]],"mmmm")</f>
        <v>March</v>
      </c>
      <c r="J241" s="2">
        <f>YEAR(Sheet1[[#This Row],[claim_date]])</f>
        <v>2025</v>
      </c>
      <c r="K241" s="2" t="str">
        <f>"Q"&amp;ROUNDUP(MONTH(Sheet1[[#This Row],[claim_date]])/3,0)</f>
        <v>Q1</v>
      </c>
      <c r="L241" s="2" t="str">
        <f>IF(Sheet1[[#This Row],[claim_amount]]&lt;100000,"Low",IF(Sheet1[[#This Row],[claim_amount]]&lt;200000,"Medium","High"))</f>
        <v>Low</v>
      </c>
      <c r="M241" s="2" t="str">
        <f>IF(Sheet1[[#This Row],[days_to_process]]&lt;=30,"Fast","Slow")</f>
        <v>Slow</v>
      </c>
    </row>
    <row r="242" spans="1:13" x14ac:dyDescent="0.3">
      <c r="A242" t="s">
        <v>492</v>
      </c>
      <c r="B242" s="2" t="s">
        <v>493</v>
      </c>
      <c r="C242" s="1">
        <v>45343</v>
      </c>
      <c r="D242" s="35">
        <v>406097.65</v>
      </c>
      <c r="E242" s="2" t="s">
        <v>19</v>
      </c>
      <c r="F242" s="2" t="s">
        <v>16</v>
      </c>
      <c r="G242" s="2" t="s">
        <v>12</v>
      </c>
      <c r="H242">
        <v>42</v>
      </c>
      <c r="I242" s="2" t="str">
        <f>TEXT(Sheet1[[#This Row],[claim_date]],"mmmm")</f>
        <v>February</v>
      </c>
      <c r="J242" s="2">
        <f>YEAR(Sheet1[[#This Row],[claim_date]])</f>
        <v>2024</v>
      </c>
      <c r="K242" s="2" t="str">
        <f>"Q"&amp;ROUNDUP(MONTH(Sheet1[[#This Row],[claim_date]])/3,0)</f>
        <v>Q1</v>
      </c>
      <c r="L242" s="2" t="str">
        <f>IF(Sheet1[[#This Row],[claim_amount]]&lt;100000,"Low",IF(Sheet1[[#This Row],[claim_amount]]&lt;200000,"Medium","High"))</f>
        <v>High</v>
      </c>
      <c r="M242" s="2" t="str">
        <f>IF(Sheet1[[#This Row],[days_to_process]]&lt;=30,"Fast","Slow")</f>
        <v>Slow</v>
      </c>
    </row>
    <row r="243" spans="1:13" x14ac:dyDescent="0.3">
      <c r="A243" t="s">
        <v>494</v>
      </c>
      <c r="B243" s="2" t="s">
        <v>318</v>
      </c>
      <c r="C243" s="1">
        <v>45113</v>
      </c>
      <c r="D243" s="35">
        <v>71824.289999999994</v>
      </c>
      <c r="E243" s="2" t="s">
        <v>10</v>
      </c>
      <c r="F243" s="2" t="s">
        <v>11</v>
      </c>
      <c r="G243" s="2" t="s">
        <v>12</v>
      </c>
      <c r="H243">
        <v>58</v>
      </c>
      <c r="I243" s="2" t="str">
        <f>TEXT(Sheet1[[#This Row],[claim_date]],"mmmm")</f>
        <v>July</v>
      </c>
      <c r="J243" s="2">
        <f>YEAR(Sheet1[[#This Row],[claim_date]])</f>
        <v>2023</v>
      </c>
      <c r="K243" s="2" t="str">
        <f>"Q"&amp;ROUNDUP(MONTH(Sheet1[[#This Row],[claim_date]])/3,0)</f>
        <v>Q3</v>
      </c>
      <c r="L243" s="2" t="str">
        <f>IF(Sheet1[[#This Row],[claim_amount]]&lt;100000,"Low",IF(Sheet1[[#This Row],[claim_amount]]&lt;200000,"Medium","High"))</f>
        <v>Low</v>
      </c>
      <c r="M243" s="2" t="str">
        <f>IF(Sheet1[[#This Row],[days_to_process]]&lt;=30,"Fast","Slow")</f>
        <v>Slow</v>
      </c>
    </row>
    <row r="244" spans="1:13" x14ac:dyDescent="0.3">
      <c r="A244" t="s">
        <v>495</v>
      </c>
      <c r="B244" s="2" t="s">
        <v>496</v>
      </c>
      <c r="C244" s="1">
        <v>45644</v>
      </c>
      <c r="D244" s="35">
        <v>417200.51</v>
      </c>
      <c r="E244" s="2" t="s">
        <v>19</v>
      </c>
      <c r="F244" s="2" t="s">
        <v>20</v>
      </c>
      <c r="G244" s="2" t="s">
        <v>12</v>
      </c>
      <c r="H244">
        <v>7</v>
      </c>
      <c r="I244" s="2" t="str">
        <f>TEXT(Sheet1[[#This Row],[claim_date]],"mmmm")</f>
        <v>December</v>
      </c>
      <c r="J244" s="2">
        <f>YEAR(Sheet1[[#This Row],[claim_date]])</f>
        <v>2024</v>
      </c>
      <c r="K244" s="2" t="str">
        <f>"Q"&amp;ROUNDUP(MONTH(Sheet1[[#This Row],[claim_date]])/3,0)</f>
        <v>Q4</v>
      </c>
      <c r="L244" s="2" t="str">
        <f>IF(Sheet1[[#This Row],[claim_amount]]&lt;100000,"Low",IF(Sheet1[[#This Row],[claim_amount]]&lt;200000,"Medium","High"))</f>
        <v>High</v>
      </c>
      <c r="M244" s="2" t="str">
        <f>IF(Sheet1[[#This Row],[days_to_process]]&lt;=30,"Fast","Slow")</f>
        <v>Fast</v>
      </c>
    </row>
    <row r="245" spans="1:13" x14ac:dyDescent="0.3">
      <c r="A245" t="s">
        <v>497</v>
      </c>
      <c r="B245" s="2" t="s">
        <v>498</v>
      </c>
      <c r="C245" s="1">
        <v>44750</v>
      </c>
      <c r="D245" s="35">
        <v>181390.99</v>
      </c>
      <c r="E245" s="2" t="s">
        <v>15</v>
      </c>
      <c r="F245" s="2" t="s">
        <v>23</v>
      </c>
      <c r="G245" s="2" t="s">
        <v>12</v>
      </c>
      <c r="H245">
        <v>21</v>
      </c>
      <c r="I245" s="2" t="str">
        <f>TEXT(Sheet1[[#This Row],[claim_date]],"mmmm")</f>
        <v>July</v>
      </c>
      <c r="J245" s="2">
        <f>YEAR(Sheet1[[#This Row],[claim_date]])</f>
        <v>2022</v>
      </c>
      <c r="K245" s="2" t="str">
        <f>"Q"&amp;ROUNDUP(MONTH(Sheet1[[#This Row],[claim_date]])/3,0)</f>
        <v>Q3</v>
      </c>
      <c r="L245" s="2" t="str">
        <f>IF(Sheet1[[#This Row],[claim_amount]]&lt;100000,"Low",IF(Sheet1[[#This Row],[claim_amount]]&lt;200000,"Medium","High"))</f>
        <v>Medium</v>
      </c>
      <c r="M245" s="2" t="str">
        <f>IF(Sheet1[[#This Row],[days_to_process]]&lt;=30,"Fast","Slow")</f>
        <v>Fast</v>
      </c>
    </row>
    <row r="246" spans="1:13" x14ac:dyDescent="0.3">
      <c r="A246" t="s">
        <v>499</v>
      </c>
      <c r="B246" s="2" t="s">
        <v>500</v>
      </c>
      <c r="C246" s="1">
        <v>45477</v>
      </c>
      <c r="D246" s="35">
        <v>12370.26</v>
      </c>
      <c r="E246" s="2" t="s">
        <v>10</v>
      </c>
      <c r="F246" s="2" t="s">
        <v>34</v>
      </c>
      <c r="G246" s="2" t="s">
        <v>24</v>
      </c>
      <c r="H246">
        <v>24</v>
      </c>
      <c r="I246" s="2" t="str">
        <f>TEXT(Sheet1[[#This Row],[claim_date]],"mmmm")</f>
        <v>July</v>
      </c>
      <c r="J246" s="2">
        <f>YEAR(Sheet1[[#This Row],[claim_date]])</f>
        <v>2024</v>
      </c>
      <c r="K246" s="2" t="str">
        <f>"Q"&amp;ROUNDUP(MONTH(Sheet1[[#This Row],[claim_date]])/3,0)</f>
        <v>Q3</v>
      </c>
      <c r="L246" s="2" t="str">
        <f>IF(Sheet1[[#This Row],[claim_amount]]&lt;100000,"Low",IF(Sheet1[[#This Row],[claim_amount]]&lt;200000,"Medium","High"))</f>
        <v>Low</v>
      </c>
      <c r="M246" s="2" t="str">
        <f>IF(Sheet1[[#This Row],[days_to_process]]&lt;=30,"Fast","Slow")</f>
        <v>Fast</v>
      </c>
    </row>
    <row r="247" spans="1:13" x14ac:dyDescent="0.3">
      <c r="A247" t="s">
        <v>501</v>
      </c>
      <c r="B247" s="2" t="s">
        <v>502</v>
      </c>
      <c r="C247" s="1">
        <v>44364</v>
      </c>
      <c r="D247" s="35">
        <v>26383.02</v>
      </c>
      <c r="E247" s="2" t="s">
        <v>10</v>
      </c>
      <c r="F247" s="2" t="s">
        <v>23</v>
      </c>
      <c r="G247" s="2" t="s">
        <v>24</v>
      </c>
      <c r="H247">
        <v>52</v>
      </c>
      <c r="I247" s="2" t="str">
        <f>TEXT(Sheet1[[#This Row],[claim_date]],"mmmm")</f>
        <v>June</v>
      </c>
      <c r="J247" s="2">
        <f>YEAR(Sheet1[[#This Row],[claim_date]])</f>
        <v>2021</v>
      </c>
      <c r="K247" s="2" t="str">
        <f>"Q"&amp;ROUNDUP(MONTH(Sheet1[[#This Row],[claim_date]])/3,0)</f>
        <v>Q2</v>
      </c>
      <c r="L247" s="2" t="str">
        <f>IF(Sheet1[[#This Row],[claim_amount]]&lt;100000,"Low",IF(Sheet1[[#This Row],[claim_amount]]&lt;200000,"Medium","High"))</f>
        <v>Low</v>
      </c>
      <c r="M247" s="2" t="str">
        <f>IF(Sheet1[[#This Row],[days_to_process]]&lt;=30,"Fast","Slow")</f>
        <v>Slow</v>
      </c>
    </row>
    <row r="248" spans="1:13" x14ac:dyDescent="0.3">
      <c r="A248" t="s">
        <v>503</v>
      </c>
      <c r="B248" s="2" t="s">
        <v>504</v>
      </c>
      <c r="C248" s="1">
        <v>45001</v>
      </c>
      <c r="D248" s="35">
        <v>39795.760000000002</v>
      </c>
      <c r="E248" s="2" t="s">
        <v>10</v>
      </c>
      <c r="F248" s="2" t="s">
        <v>23</v>
      </c>
      <c r="G248" s="2" t="s">
        <v>24</v>
      </c>
      <c r="H248">
        <v>18</v>
      </c>
      <c r="I248" s="2" t="str">
        <f>TEXT(Sheet1[[#This Row],[claim_date]],"mmmm")</f>
        <v>March</v>
      </c>
      <c r="J248" s="2">
        <f>YEAR(Sheet1[[#This Row],[claim_date]])</f>
        <v>2023</v>
      </c>
      <c r="K248" s="2" t="str">
        <f>"Q"&amp;ROUNDUP(MONTH(Sheet1[[#This Row],[claim_date]])/3,0)</f>
        <v>Q1</v>
      </c>
      <c r="L248" s="2" t="str">
        <f>IF(Sheet1[[#This Row],[claim_amount]]&lt;100000,"Low",IF(Sheet1[[#This Row],[claim_amount]]&lt;200000,"Medium","High"))</f>
        <v>Low</v>
      </c>
      <c r="M248" s="2" t="str">
        <f>IF(Sheet1[[#This Row],[days_to_process]]&lt;=30,"Fast","Slow")</f>
        <v>Fast</v>
      </c>
    </row>
    <row r="249" spans="1:13" x14ac:dyDescent="0.3">
      <c r="A249" t="s">
        <v>505</v>
      </c>
      <c r="B249" s="2" t="s">
        <v>506</v>
      </c>
      <c r="C249" s="1">
        <v>45585</v>
      </c>
      <c r="D249" s="35">
        <v>477370.67</v>
      </c>
      <c r="E249" s="2" t="s">
        <v>10</v>
      </c>
      <c r="F249" s="2" t="s">
        <v>34</v>
      </c>
      <c r="G249" s="2" t="s">
        <v>12</v>
      </c>
      <c r="H249">
        <v>40</v>
      </c>
      <c r="I249" s="2" t="str">
        <f>TEXT(Sheet1[[#This Row],[claim_date]],"mmmm")</f>
        <v>October</v>
      </c>
      <c r="J249" s="2">
        <f>YEAR(Sheet1[[#This Row],[claim_date]])</f>
        <v>2024</v>
      </c>
      <c r="K249" s="2" t="str">
        <f>"Q"&amp;ROUNDUP(MONTH(Sheet1[[#This Row],[claim_date]])/3,0)</f>
        <v>Q4</v>
      </c>
      <c r="L249" s="2" t="str">
        <f>IF(Sheet1[[#This Row],[claim_amount]]&lt;100000,"Low",IF(Sheet1[[#This Row],[claim_amount]]&lt;200000,"Medium","High"))</f>
        <v>High</v>
      </c>
      <c r="M249" s="2" t="str">
        <f>IF(Sheet1[[#This Row],[days_to_process]]&lt;=30,"Fast","Slow")</f>
        <v>Slow</v>
      </c>
    </row>
    <row r="250" spans="1:13" x14ac:dyDescent="0.3">
      <c r="A250" t="s">
        <v>507</v>
      </c>
      <c r="B250" s="2" t="s">
        <v>508</v>
      </c>
      <c r="C250" s="1">
        <v>45257</v>
      </c>
      <c r="D250" s="35">
        <v>150690.37</v>
      </c>
      <c r="E250" s="2" t="s">
        <v>19</v>
      </c>
      <c r="F250" s="2" t="s">
        <v>34</v>
      </c>
      <c r="G250" s="2" t="s">
        <v>12</v>
      </c>
      <c r="H250">
        <v>27</v>
      </c>
      <c r="I250" s="2" t="str">
        <f>TEXT(Sheet1[[#This Row],[claim_date]],"mmmm")</f>
        <v>November</v>
      </c>
      <c r="J250" s="2">
        <f>YEAR(Sheet1[[#This Row],[claim_date]])</f>
        <v>2023</v>
      </c>
      <c r="K250" s="2" t="str">
        <f>"Q"&amp;ROUNDUP(MONTH(Sheet1[[#This Row],[claim_date]])/3,0)</f>
        <v>Q4</v>
      </c>
      <c r="L250" s="2" t="str">
        <f>IF(Sheet1[[#This Row],[claim_amount]]&lt;100000,"Low",IF(Sheet1[[#This Row],[claim_amount]]&lt;200000,"Medium","High"))</f>
        <v>Medium</v>
      </c>
      <c r="M250" s="2" t="str">
        <f>IF(Sheet1[[#This Row],[days_to_process]]&lt;=30,"Fast","Slow")</f>
        <v>Fast</v>
      </c>
    </row>
    <row r="251" spans="1:13" x14ac:dyDescent="0.3">
      <c r="A251" t="s">
        <v>509</v>
      </c>
      <c r="B251" s="2" t="s">
        <v>510</v>
      </c>
      <c r="C251" s="1">
        <v>45406</v>
      </c>
      <c r="D251" s="35">
        <v>241520.88</v>
      </c>
      <c r="E251" s="2" t="s">
        <v>10</v>
      </c>
      <c r="F251" s="2" t="s">
        <v>11</v>
      </c>
      <c r="G251" s="2" t="s">
        <v>24</v>
      </c>
      <c r="H251">
        <v>42</v>
      </c>
      <c r="I251" s="2" t="str">
        <f>TEXT(Sheet1[[#This Row],[claim_date]],"mmmm")</f>
        <v>April</v>
      </c>
      <c r="J251" s="2">
        <f>YEAR(Sheet1[[#This Row],[claim_date]])</f>
        <v>2024</v>
      </c>
      <c r="K251" s="2" t="str">
        <f>"Q"&amp;ROUNDUP(MONTH(Sheet1[[#This Row],[claim_date]])/3,0)</f>
        <v>Q2</v>
      </c>
      <c r="L251" s="2" t="str">
        <f>IF(Sheet1[[#This Row],[claim_amount]]&lt;100000,"Low",IF(Sheet1[[#This Row],[claim_amount]]&lt;200000,"Medium","High"))</f>
        <v>High</v>
      </c>
      <c r="M251" s="2" t="str">
        <f>IF(Sheet1[[#This Row],[days_to_process]]&lt;=30,"Fast","Slow")</f>
        <v>Slow</v>
      </c>
    </row>
    <row r="252" spans="1:13" x14ac:dyDescent="0.3">
      <c r="A252" t="s">
        <v>511</v>
      </c>
      <c r="B252" s="2" t="s">
        <v>512</v>
      </c>
      <c r="C252" s="1">
        <v>45382</v>
      </c>
      <c r="D252" s="35">
        <v>140627.29</v>
      </c>
      <c r="E252" s="2" t="s">
        <v>15</v>
      </c>
      <c r="F252" s="2" t="s">
        <v>11</v>
      </c>
      <c r="G252" s="2" t="s">
        <v>12</v>
      </c>
      <c r="H252">
        <v>3</v>
      </c>
      <c r="I252" s="2" t="str">
        <f>TEXT(Sheet1[[#This Row],[claim_date]],"mmmm")</f>
        <v>March</v>
      </c>
      <c r="J252" s="2">
        <f>YEAR(Sheet1[[#This Row],[claim_date]])</f>
        <v>2024</v>
      </c>
      <c r="K252" s="2" t="str">
        <f>"Q"&amp;ROUNDUP(MONTH(Sheet1[[#This Row],[claim_date]])/3,0)</f>
        <v>Q1</v>
      </c>
      <c r="L252" s="2" t="str">
        <f>IF(Sheet1[[#This Row],[claim_amount]]&lt;100000,"Low",IF(Sheet1[[#This Row],[claim_amount]]&lt;200000,"Medium","High"))</f>
        <v>Medium</v>
      </c>
      <c r="M252" s="2" t="str">
        <f>IF(Sheet1[[#This Row],[days_to_process]]&lt;=30,"Fast","Slow")</f>
        <v>Fast</v>
      </c>
    </row>
    <row r="253" spans="1:13" x14ac:dyDescent="0.3">
      <c r="A253" t="s">
        <v>513</v>
      </c>
      <c r="B253" s="2" t="s">
        <v>514</v>
      </c>
      <c r="C253" s="1">
        <v>45065</v>
      </c>
      <c r="D253" s="35">
        <v>436313.09</v>
      </c>
      <c r="E253" s="2" t="s">
        <v>19</v>
      </c>
      <c r="F253" s="2" t="s">
        <v>16</v>
      </c>
      <c r="G253" s="2" t="s">
        <v>24</v>
      </c>
      <c r="H253">
        <v>5</v>
      </c>
      <c r="I253" s="2" t="str">
        <f>TEXT(Sheet1[[#This Row],[claim_date]],"mmmm")</f>
        <v>May</v>
      </c>
      <c r="J253" s="2">
        <f>YEAR(Sheet1[[#This Row],[claim_date]])</f>
        <v>2023</v>
      </c>
      <c r="K253" s="2" t="str">
        <f>"Q"&amp;ROUNDUP(MONTH(Sheet1[[#This Row],[claim_date]])/3,0)</f>
        <v>Q2</v>
      </c>
      <c r="L253" s="2" t="str">
        <f>IF(Sheet1[[#This Row],[claim_amount]]&lt;100000,"Low",IF(Sheet1[[#This Row],[claim_amount]]&lt;200000,"Medium","High"))</f>
        <v>High</v>
      </c>
      <c r="M253" s="2" t="str">
        <f>IF(Sheet1[[#This Row],[days_to_process]]&lt;=30,"Fast","Slow")</f>
        <v>Fast</v>
      </c>
    </row>
    <row r="254" spans="1:13" x14ac:dyDescent="0.3">
      <c r="A254" t="s">
        <v>515</v>
      </c>
      <c r="B254" s="2" t="s">
        <v>516</v>
      </c>
      <c r="C254" s="1">
        <v>44649</v>
      </c>
      <c r="D254" s="35">
        <v>124872.37</v>
      </c>
      <c r="E254" s="2" t="s">
        <v>19</v>
      </c>
      <c r="F254" s="2" t="s">
        <v>34</v>
      </c>
      <c r="G254" s="2" t="s">
        <v>12</v>
      </c>
      <c r="H254">
        <v>38</v>
      </c>
      <c r="I254" s="2" t="str">
        <f>TEXT(Sheet1[[#This Row],[claim_date]],"mmmm")</f>
        <v>March</v>
      </c>
      <c r="J254" s="2">
        <f>YEAR(Sheet1[[#This Row],[claim_date]])</f>
        <v>2022</v>
      </c>
      <c r="K254" s="2" t="str">
        <f>"Q"&amp;ROUNDUP(MONTH(Sheet1[[#This Row],[claim_date]])/3,0)</f>
        <v>Q1</v>
      </c>
      <c r="L254" s="2" t="str">
        <f>IF(Sheet1[[#This Row],[claim_amount]]&lt;100000,"Low",IF(Sheet1[[#This Row],[claim_amount]]&lt;200000,"Medium","High"))</f>
        <v>Medium</v>
      </c>
      <c r="M254" s="2" t="str">
        <f>IF(Sheet1[[#This Row],[days_to_process]]&lt;=30,"Fast","Slow")</f>
        <v>Slow</v>
      </c>
    </row>
    <row r="255" spans="1:13" x14ac:dyDescent="0.3">
      <c r="A255" t="s">
        <v>517</v>
      </c>
      <c r="B255" s="2" t="s">
        <v>518</v>
      </c>
      <c r="C255" s="1">
        <v>45321</v>
      </c>
      <c r="D255" s="35">
        <v>169556.1</v>
      </c>
      <c r="E255" s="2" t="s">
        <v>10</v>
      </c>
      <c r="F255" s="2" t="s">
        <v>16</v>
      </c>
      <c r="G255" s="2" t="s">
        <v>24</v>
      </c>
      <c r="H255">
        <v>41</v>
      </c>
      <c r="I255" s="2" t="str">
        <f>TEXT(Sheet1[[#This Row],[claim_date]],"mmmm")</f>
        <v>January</v>
      </c>
      <c r="J255" s="2">
        <f>YEAR(Sheet1[[#This Row],[claim_date]])</f>
        <v>2024</v>
      </c>
      <c r="K255" s="2" t="str">
        <f>"Q"&amp;ROUNDUP(MONTH(Sheet1[[#This Row],[claim_date]])/3,0)</f>
        <v>Q1</v>
      </c>
      <c r="L255" s="2" t="str">
        <f>IF(Sheet1[[#This Row],[claim_amount]]&lt;100000,"Low",IF(Sheet1[[#This Row],[claim_amount]]&lt;200000,"Medium","High"))</f>
        <v>Medium</v>
      </c>
      <c r="M255" s="2" t="str">
        <f>IF(Sheet1[[#This Row],[days_to_process]]&lt;=30,"Fast","Slow")</f>
        <v>Slow</v>
      </c>
    </row>
    <row r="256" spans="1:13" x14ac:dyDescent="0.3">
      <c r="A256" t="s">
        <v>519</v>
      </c>
      <c r="B256" s="2" t="s">
        <v>520</v>
      </c>
      <c r="C256" s="1">
        <v>45415</v>
      </c>
      <c r="D256" s="35">
        <v>208210.04</v>
      </c>
      <c r="E256" s="2" t="s">
        <v>19</v>
      </c>
      <c r="F256" s="2" t="s">
        <v>23</v>
      </c>
      <c r="G256" s="2" t="s">
        <v>12</v>
      </c>
      <c r="H256">
        <v>52</v>
      </c>
      <c r="I256" s="2" t="str">
        <f>TEXT(Sheet1[[#This Row],[claim_date]],"mmmm")</f>
        <v>May</v>
      </c>
      <c r="J256" s="2">
        <f>YEAR(Sheet1[[#This Row],[claim_date]])</f>
        <v>2024</v>
      </c>
      <c r="K256" s="2" t="str">
        <f>"Q"&amp;ROUNDUP(MONTH(Sheet1[[#This Row],[claim_date]])/3,0)</f>
        <v>Q2</v>
      </c>
      <c r="L256" s="2" t="str">
        <f>IF(Sheet1[[#This Row],[claim_amount]]&lt;100000,"Low",IF(Sheet1[[#This Row],[claim_amount]]&lt;200000,"Medium","High"))</f>
        <v>High</v>
      </c>
      <c r="M256" s="2" t="str">
        <f>IF(Sheet1[[#This Row],[days_to_process]]&lt;=30,"Fast","Slow")</f>
        <v>Slow</v>
      </c>
    </row>
    <row r="257" spans="1:13" x14ac:dyDescent="0.3">
      <c r="A257" t="s">
        <v>521</v>
      </c>
      <c r="B257" s="2" t="s">
        <v>522</v>
      </c>
      <c r="C257" s="1">
        <v>44792</v>
      </c>
      <c r="D257" s="35">
        <v>191858.29</v>
      </c>
      <c r="E257" s="2" t="s">
        <v>10</v>
      </c>
      <c r="F257" s="2" t="s">
        <v>34</v>
      </c>
      <c r="G257" s="2" t="s">
        <v>12</v>
      </c>
      <c r="H257">
        <v>30</v>
      </c>
      <c r="I257" s="2" t="str">
        <f>TEXT(Sheet1[[#This Row],[claim_date]],"mmmm")</f>
        <v>August</v>
      </c>
      <c r="J257" s="2">
        <f>YEAR(Sheet1[[#This Row],[claim_date]])</f>
        <v>2022</v>
      </c>
      <c r="K257" s="2" t="str">
        <f>"Q"&amp;ROUNDUP(MONTH(Sheet1[[#This Row],[claim_date]])/3,0)</f>
        <v>Q3</v>
      </c>
      <c r="L257" s="2" t="str">
        <f>IF(Sheet1[[#This Row],[claim_amount]]&lt;100000,"Low",IF(Sheet1[[#This Row],[claim_amount]]&lt;200000,"Medium","High"))</f>
        <v>Medium</v>
      </c>
      <c r="M257" s="2" t="str">
        <f>IF(Sheet1[[#This Row],[days_to_process]]&lt;=30,"Fast","Slow")</f>
        <v>Fast</v>
      </c>
    </row>
    <row r="258" spans="1:13" x14ac:dyDescent="0.3">
      <c r="A258" t="s">
        <v>523</v>
      </c>
      <c r="B258" s="2" t="s">
        <v>147</v>
      </c>
      <c r="C258" s="1">
        <v>44763</v>
      </c>
      <c r="D258" s="35">
        <v>475162.44</v>
      </c>
      <c r="E258" s="2" t="s">
        <v>10</v>
      </c>
      <c r="F258" s="2" t="s">
        <v>34</v>
      </c>
      <c r="G258" s="2" t="s">
        <v>12</v>
      </c>
      <c r="H258">
        <v>50</v>
      </c>
      <c r="I258" s="2" t="str">
        <f>TEXT(Sheet1[[#This Row],[claim_date]],"mmmm")</f>
        <v>July</v>
      </c>
      <c r="J258" s="2">
        <f>YEAR(Sheet1[[#This Row],[claim_date]])</f>
        <v>2022</v>
      </c>
      <c r="K258" s="2" t="str">
        <f>"Q"&amp;ROUNDUP(MONTH(Sheet1[[#This Row],[claim_date]])/3,0)</f>
        <v>Q3</v>
      </c>
      <c r="L258" s="2" t="str">
        <f>IF(Sheet1[[#This Row],[claim_amount]]&lt;100000,"Low",IF(Sheet1[[#This Row],[claim_amount]]&lt;200000,"Medium","High"))</f>
        <v>High</v>
      </c>
      <c r="M258" s="2" t="str">
        <f>IF(Sheet1[[#This Row],[days_to_process]]&lt;=30,"Fast","Slow")</f>
        <v>Slow</v>
      </c>
    </row>
    <row r="259" spans="1:13" x14ac:dyDescent="0.3">
      <c r="A259" t="s">
        <v>524</v>
      </c>
      <c r="B259" s="2" t="s">
        <v>525</v>
      </c>
      <c r="C259" s="1">
        <v>45758</v>
      </c>
      <c r="D259" s="35">
        <v>168784.33</v>
      </c>
      <c r="E259" s="2" t="s">
        <v>10</v>
      </c>
      <c r="F259" s="2" t="s">
        <v>16</v>
      </c>
      <c r="G259" s="2" t="s">
        <v>24</v>
      </c>
      <c r="H259">
        <v>22</v>
      </c>
      <c r="I259" s="2" t="str">
        <f>TEXT(Sheet1[[#This Row],[claim_date]],"mmmm")</f>
        <v>April</v>
      </c>
      <c r="J259" s="2">
        <f>YEAR(Sheet1[[#This Row],[claim_date]])</f>
        <v>2025</v>
      </c>
      <c r="K259" s="2" t="str">
        <f>"Q"&amp;ROUNDUP(MONTH(Sheet1[[#This Row],[claim_date]])/3,0)</f>
        <v>Q2</v>
      </c>
      <c r="L259" s="2" t="str">
        <f>IF(Sheet1[[#This Row],[claim_amount]]&lt;100000,"Low",IF(Sheet1[[#This Row],[claim_amount]]&lt;200000,"Medium","High"))</f>
        <v>Medium</v>
      </c>
      <c r="M259" s="2" t="str">
        <f>IF(Sheet1[[#This Row],[days_to_process]]&lt;=30,"Fast","Slow")</f>
        <v>Fast</v>
      </c>
    </row>
    <row r="260" spans="1:13" x14ac:dyDescent="0.3">
      <c r="A260" t="s">
        <v>526</v>
      </c>
      <c r="B260" s="2" t="s">
        <v>137</v>
      </c>
      <c r="C260" s="1">
        <v>44820</v>
      </c>
      <c r="D260" s="35">
        <v>310249.27</v>
      </c>
      <c r="E260" s="2" t="s">
        <v>19</v>
      </c>
      <c r="F260" s="2" t="s">
        <v>20</v>
      </c>
      <c r="G260" s="2" t="s">
        <v>24</v>
      </c>
      <c r="H260">
        <v>15</v>
      </c>
      <c r="I260" s="2" t="str">
        <f>TEXT(Sheet1[[#This Row],[claim_date]],"mmmm")</f>
        <v>September</v>
      </c>
      <c r="J260" s="2">
        <f>YEAR(Sheet1[[#This Row],[claim_date]])</f>
        <v>2022</v>
      </c>
      <c r="K260" s="2" t="str">
        <f>"Q"&amp;ROUNDUP(MONTH(Sheet1[[#This Row],[claim_date]])/3,0)</f>
        <v>Q3</v>
      </c>
      <c r="L260" s="2" t="str">
        <f>IF(Sheet1[[#This Row],[claim_amount]]&lt;100000,"Low",IF(Sheet1[[#This Row],[claim_amount]]&lt;200000,"Medium","High"))</f>
        <v>High</v>
      </c>
      <c r="M260" s="2" t="str">
        <f>IF(Sheet1[[#This Row],[days_to_process]]&lt;=30,"Fast","Slow")</f>
        <v>Fast</v>
      </c>
    </row>
    <row r="261" spans="1:13" x14ac:dyDescent="0.3">
      <c r="A261" t="s">
        <v>527</v>
      </c>
      <c r="B261" s="2" t="s">
        <v>528</v>
      </c>
      <c r="C261" s="1">
        <v>44614</v>
      </c>
      <c r="D261" s="35">
        <v>233644.36</v>
      </c>
      <c r="E261" s="2" t="s">
        <v>19</v>
      </c>
      <c r="F261" s="2" t="s">
        <v>16</v>
      </c>
      <c r="G261" s="2" t="s">
        <v>12</v>
      </c>
      <c r="H261">
        <v>55</v>
      </c>
      <c r="I261" s="2" t="str">
        <f>TEXT(Sheet1[[#This Row],[claim_date]],"mmmm")</f>
        <v>February</v>
      </c>
      <c r="J261" s="2">
        <f>YEAR(Sheet1[[#This Row],[claim_date]])</f>
        <v>2022</v>
      </c>
      <c r="K261" s="2" t="str">
        <f>"Q"&amp;ROUNDUP(MONTH(Sheet1[[#This Row],[claim_date]])/3,0)</f>
        <v>Q1</v>
      </c>
      <c r="L261" s="2" t="str">
        <f>IF(Sheet1[[#This Row],[claim_amount]]&lt;100000,"Low",IF(Sheet1[[#This Row],[claim_amount]]&lt;200000,"Medium","High"))</f>
        <v>High</v>
      </c>
      <c r="M261" s="2" t="str">
        <f>IF(Sheet1[[#This Row],[days_to_process]]&lt;=30,"Fast","Slow")</f>
        <v>Slow</v>
      </c>
    </row>
    <row r="262" spans="1:13" x14ac:dyDescent="0.3">
      <c r="A262" t="s">
        <v>529</v>
      </c>
      <c r="B262" s="2" t="s">
        <v>530</v>
      </c>
      <c r="C262" s="1">
        <v>45277</v>
      </c>
      <c r="D262" s="35">
        <v>386320.76</v>
      </c>
      <c r="E262" s="2" t="s">
        <v>15</v>
      </c>
      <c r="F262" s="2" t="s">
        <v>23</v>
      </c>
      <c r="G262" s="2" t="s">
        <v>12</v>
      </c>
      <c r="H262">
        <v>46</v>
      </c>
      <c r="I262" s="2" t="str">
        <f>TEXT(Sheet1[[#This Row],[claim_date]],"mmmm")</f>
        <v>December</v>
      </c>
      <c r="J262" s="2">
        <f>YEAR(Sheet1[[#This Row],[claim_date]])</f>
        <v>2023</v>
      </c>
      <c r="K262" s="2" t="str">
        <f>"Q"&amp;ROUNDUP(MONTH(Sheet1[[#This Row],[claim_date]])/3,0)</f>
        <v>Q4</v>
      </c>
      <c r="L262" s="2" t="str">
        <f>IF(Sheet1[[#This Row],[claim_amount]]&lt;100000,"Low",IF(Sheet1[[#This Row],[claim_amount]]&lt;200000,"Medium","High"))</f>
        <v>High</v>
      </c>
      <c r="M262" s="2" t="str">
        <f>IF(Sheet1[[#This Row],[days_to_process]]&lt;=30,"Fast","Slow")</f>
        <v>Slow</v>
      </c>
    </row>
    <row r="263" spans="1:13" x14ac:dyDescent="0.3">
      <c r="A263" t="s">
        <v>531</v>
      </c>
      <c r="B263" s="2" t="s">
        <v>217</v>
      </c>
      <c r="C263" s="1">
        <v>45560</v>
      </c>
      <c r="D263" s="35">
        <v>60178.34</v>
      </c>
      <c r="E263" s="2" t="s">
        <v>19</v>
      </c>
      <c r="F263" s="2" t="s">
        <v>16</v>
      </c>
      <c r="G263" s="2" t="s">
        <v>12</v>
      </c>
      <c r="H263">
        <v>57</v>
      </c>
      <c r="I263" s="2" t="str">
        <f>TEXT(Sheet1[[#This Row],[claim_date]],"mmmm")</f>
        <v>September</v>
      </c>
      <c r="J263" s="2">
        <f>YEAR(Sheet1[[#This Row],[claim_date]])</f>
        <v>2024</v>
      </c>
      <c r="K263" s="2" t="str">
        <f>"Q"&amp;ROUNDUP(MONTH(Sheet1[[#This Row],[claim_date]])/3,0)</f>
        <v>Q3</v>
      </c>
      <c r="L263" s="2" t="str">
        <f>IF(Sheet1[[#This Row],[claim_amount]]&lt;100000,"Low",IF(Sheet1[[#This Row],[claim_amount]]&lt;200000,"Medium","High"))</f>
        <v>Low</v>
      </c>
      <c r="M263" s="2" t="str">
        <f>IF(Sheet1[[#This Row],[days_to_process]]&lt;=30,"Fast","Slow")</f>
        <v>Slow</v>
      </c>
    </row>
    <row r="264" spans="1:13" x14ac:dyDescent="0.3">
      <c r="A264" t="s">
        <v>532</v>
      </c>
      <c r="B264" s="2" t="s">
        <v>533</v>
      </c>
      <c r="C264" s="1">
        <v>45060</v>
      </c>
      <c r="D264" s="35">
        <v>117904.19</v>
      </c>
      <c r="E264" s="2" t="s">
        <v>19</v>
      </c>
      <c r="F264" s="2" t="s">
        <v>16</v>
      </c>
      <c r="G264" s="2" t="s">
        <v>24</v>
      </c>
      <c r="H264">
        <v>54</v>
      </c>
      <c r="I264" s="2" t="str">
        <f>TEXT(Sheet1[[#This Row],[claim_date]],"mmmm")</f>
        <v>May</v>
      </c>
      <c r="J264" s="2">
        <f>YEAR(Sheet1[[#This Row],[claim_date]])</f>
        <v>2023</v>
      </c>
      <c r="K264" s="2" t="str">
        <f>"Q"&amp;ROUNDUP(MONTH(Sheet1[[#This Row],[claim_date]])/3,0)</f>
        <v>Q2</v>
      </c>
      <c r="L264" s="2" t="str">
        <f>IF(Sheet1[[#This Row],[claim_amount]]&lt;100000,"Low",IF(Sheet1[[#This Row],[claim_amount]]&lt;200000,"Medium","High"))</f>
        <v>Medium</v>
      </c>
      <c r="M264" s="2" t="str">
        <f>IF(Sheet1[[#This Row],[days_to_process]]&lt;=30,"Fast","Slow")</f>
        <v>Slow</v>
      </c>
    </row>
    <row r="265" spans="1:13" x14ac:dyDescent="0.3">
      <c r="A265" t="s">
        <v>534</v>
      </c>
      <c r="B265" s="2" t="s">
        <v>535</v>
      </c>
      <c r="C265" s="1">
        <v>44276</v>
      </c>
      <c r="D265" s="35">
        <v>36841.730000000003</v>
      </c>
      <c r="E265" s="2" t="s">
        <v>10</v>
      </c>
      <c r="F265" s="2" t="s">
        <v>11</v>
      </c>
      <c r="G265" s="2" t="s">
        <v>24</v>
      </c>
      <c r="H265">
        <v>19</v>
      </c>
      <c r="I265" s="2" t="str">
        <f>TEXT(Sheet1[[#This Row],[claim_date]],"mmmm")</f>
        <v>March</v>
      </c>
      <c r="J265" s="2">
        <f>YEAR(Sheet1[[#This Row],[claim_date]])</f>
        <v>2021</v>
      </c>
      <c r="K265" s="2" t="str">
        <f>"Q"&amp;ROUNDUP(MONTH(Sheet1[[#This Row],[claim_date]])/3,0)</f>
        <v>Q1</v>
      </c>
      <c r="L265" s="2" t="str">
        <f>IF(Sheet1[[#This Row],[claim_amount]]&lt;100000,"Low",IF(Sheet1[[#This Row],[claim_amount]]&lt;200000,"Medium","High"))</f>
        <v>Low</v>
      </c>
      <c r="M265" s="2" t="str">
        <f>IF(Sheet1[[#This Row],[days_to_process]]&lt;=30,"Fast","Slow")</f>
        <v>Fast</v>
      </c>
    </row>
    <row r="266" spans="1:13" x14ac:dyDescent="0.3">
      <c r="A266" t="s">
        <v>536</v>
      </c>
      <c r="B266" s="2" t="s">
        <v>537</v>
      </c>
      <c r="C266" s="1">
        <v>45348</v>
      </c>
      <c r="D266" s="35">
        <v>280442.42</v>
      </c>
      <c r="E266" s="2" t="s">
        <v>10</v>
      </c>
      <c r="F266" s="2" t="s">
        <v>23</v>
      </c>
      <c r="G266" s="2" t="s">
        <v>12</v>
      </c>
      <c r="H266">
        <v>31</v>
      </c>
      <c r="I266" s="2" t="str">
        <f>TEXT(Sheet1[[#This Row],[claim_date]],"mmmm")</f>
        <v>February</v>
      </c>
      <c r="J266" s="2">
        <f>YEAR(Sheet1[[#This Row],[claim_date]])</f>
        <v>2024</v>
      </c>
      <c r="K266" s="2" t="str">
        <f>"Q"&amp;ROUNDUP(MONTH(Sheet1[[#This Row],[claim_date]])/3,0)</f>
        <v>Q1</v>
      </c>
      <c r="L266" s="2" t="str">
        <f>IF(Sheet1[[#This Row],[claim_amount]]&lt;100000,"Low",IF(Sheet1[[#This Row],[claim_amount]]&lt;200000,"Medium","High"))</f>
        <v>High</v>
      </c>
      <c r="M266" s="2" t="str">
        <f>IF(Sheet1[[#This Row],[days_to_process]]&lt;=30,"Fast","Slow")</f>
        <v>Slow</v>
      </c>
    </row>
    <row r="267" spans="1:13" x14ac:dyDescent="0.3">
      <c r="A267" t="s">
        <v>538</v>
      </c>
      <c r="B267" s="2" t="s">
        <v>539</v>
      </c>
      <c r="C267" s="1">
        <v>44782</v>
      </c>
      <c r="D267" s="35">
        <v>265925.59000000003</v>
      </c>
      <c r="E267" s="2" t="s">
        <v>15</v>
      </c>
      <c r="F267" s="2" t="s">
        <v>34</v>
      </c>
      <c r="G267" s="2" t="s">
        <v>24</v>
      </c>
      <c r="H267">
        <v>46</v>
      </c>
      <c r="I267" s="2" t="str">
        <f>TEXT(Sheet1[[#This Row],[claim_date]],"mmmm")</f>
        <v>August</v>
      </c>
      <c r="J267" s="2">
        <f>YEAR(Sheet1[[#This Row],[claim_date]])</f>
        <v>2022</v>
      </c>
      <c r="K267" s="2" t="str">
        <f>"Q"&amp;ROUNDUP(MONTH(Sheet1[[#This Row],[claim_date]])/3,0)</f>
        <v>Q3</v>
      </c>
      <c r="L267" s="2" t="str">
        <f>IF(Sheet1[[#This Row],[claim_amount]]&lt;100000,"Low",IF(Sheet1[[#This Row],[claim_amount]]&lt;200000,"Medium","High"))</f>
        <v>High</v>
      </c>
      <c r="M267" s="2" t="str">
        <f>IF(Sheet1[[#This Row],[days_to_process]]&lt;=30,"Fast","Slow")</f>
        <v>Slow</v>
      </c>
    </row>
    <row r="268" spans="1:13" x14ac:dyDescent="0.3">
      <c r="A268" t="s">
        <v>540</v>
      </c>
      <c r="B268" s="2" t="s">
        <v>541</v>
      </c>
      <c r="C268" s="1">
        <v>45135</v>
      </c>
      <c r="D268" s="35">
        <v>213637.04</v>
      </c>
      <c r="E268" s="2" t="s">
        <v>10</v>
      </c>
      <c r="F268" s="2" t="s">
        <v>34</v>
      </c>
      <c r="G268" s="2" t="s">
        <v>24</v>
      </c>
      <c r="H268">
        <v>59</v>
      </c>
      <c r="I268" s="2" t="str">
        <f>TEXT(Sheet1[[#This Row],[claim_date]],"mmmm")</f>
        <v>July</v>
      </c>
      <c r="J268" s="2">
        <f>YEAR(Sheet1[[#This Row],[claim_date]])</f>
        <v>2023</v>
      </c>
      <c r="K268" s="2" t="str">
        <f>"Q"&amp;ROUNDUP(MONTH(Sheet1[[#This Row],[claim_date]])/3,0)</f>
        <v>Q3</v>
      </c>
      <c r="L268" s="2" t="str">
        <f>IF(Sheet1[[#This Row],[claim_amount]]&lt;100000,"Low",IF(Sheet1[[#This Row],[claim_amount]]&lt;200000,"Medium","High"))</f>
        <v>High</v>
      </c>
      <c r="M268" s="2" t="str">
        <f>IF(Sheet1[[#This Row],[days_to_process]]&lt;=30,"Fast","Slow")</f>
        <v>Slow</v>
      </c>
    </row>
    <row r="269" spans="1:13" x14ac:dyDescent="0.3">
      <c r="A269" t="s">
        <v>542</v>
      </c>
      <c r="B269" s="2" t="s">
        <v>543</v>
      </c>
      <c r="C269" s="1">
        <v>45585</v>
      </c>
      <c r="D269" s="35">
        <v>438839.88</v>
      </c>
      <c r="E269" s="2" t="s">
        <v>19</v>
      </c>
      <c r="F269" s="2" t="s">
        <v>11</v>
      </c>
      <c r="G269" s="2" t="s">
        <v>24</v>
      </c>
      <c r="H269">
        <v>36</v>
      </c>
      <c r="I269" s="2" t="str">
        <f>TEXT(Sheet1[[#This Row],[claim_date]],"mmmm")</f>
        <v>October</v>
      </c>
      <c r="J269" s="2">
        <f>YEAR(Sheet1[[#This Row],[claim_date]])</f>
        <v>2024</v>
      </c>
      <c r="K269" s="2" t="str">
        <f>"Q"&amp;ROUNDUP(MONTH(Sheet1[[#This Row],[claim_date]])/3,0)</f>
        <v>Q4</v>
      </c>
      <c r="L269" s="2" t="str">
        <f>IF(Sheet1[[#This Row],[claim_amount]]&lt;100000,"Low",IF(Sheet1[[#This Row],[claim_amount]]&lt;200000,"Medium","High"))</f>
        <v>High</v>
      </c>
      <c r="M269" s="2" t="str">
        <f>IF(Sheet1[[#This Row],[days_to_process]]&lt;=30,"Fast","Slow")</f>
        <v>Slow</v>
      </c>
    </row>
    <row r="270" spans="1:13" x14ac:dyDescent="0.3">
      <c r="A270" t="s">
        <v>544</v>
      </c>
      <c r="B270" s="2" t="s">
        <v>545</v>
      </c>
      <c r="C270" s="1">
        <v>45477</v>
      </c>
      <c r="D270" s="35">
        <v>392731.34</v>
      </c>
      <c r="E270" s="2" t="s">
        <v>15</v>
      </c>
      <c r="F270" s="2" t="s">
        <v>23</v>
      </c>
      <c r="G270" s="2" t="s">
        <v>12</v>
      </c>
      <c r="H270">
        <v>12</v>
      </c>
      <c r="I270" s="2" t="str">
        <f>TEXT(Sheet1[[#This Row],[claim_date]],"mmmm")</f>
        <v>July</v>
      </c>
      <c r="J270" s="2">
        <f>YEAR(Sheet1[[#This Row],[claim_date]])</f>
        <v>2024</v>
      </c>
      <c r="K270" s="2" t="str">
        <f>"Q"&amp;ROUNDUP(MONTH(Sheet1[[#This Row],[claim_date]])/3,0)</f>
        <v>Q3</v>
      </c>
      <c r="L270" s="2" t="str">
        <f>IF(Sheet1[[#This Row],[claim_amount]]&lt;100000,"Low",IF(Sheet1[[#This Row],[claim_amount]]&lt;200000,"Medium","High"))</f>
        <v>High</v>
      </c>
      <c r="M270" s="2" t="str">
        <f>IF(Sheet1[[#This Row],[days_to_process]]&lt;=30,"Fast","Slow")</f>
        <v>Fast</v>
      </c>
    </row>
    <row r="271" spans="1:13" x14ac:dyDescent="0.3">
      <c r="A271" t="s">
        <v>546</v>
      </c>
      <c r="B271" s="2" t="s">
        <v>547</v>
      </c>
      <c r="C271" s="1">
        <v>45128</v>
      </c>
      <c r="D271" s="35">
        <v>214306.63</v>
      </c>
      <c r="E271" s="2" t="s">
        <v>19</v>
      </c>
      <c r="F271" s="2" t="s">
        <v>34</v>
      </c>
      <c r="G271" s="2" t="s">
        <v>12</v>
      </c>
      <c r="H271">
        <v>35</v>
      </c>
      <c r="I271" s="2" t="str">
        <f>TEXT(Sheet1[[#This Row],[claim_date]],"mmmm")</f>
        <v>July</v>
      </c>
      <c r="J271" s="2">
        <f>YEAR(Sheet1[[#This Row],[claim_date]])</f>
        <v>2023</v>
      </c>
      <c r="K271" s="2" t="str">
        <f>"Q"&amp;ROUNDUP(MONTH(Sheet1[[#This Row],[claim_date]])/3,0)</f>
        <v>Q3</v>
      </c>
      <c r="L271" s="2" t="str">
        <f>IF(Sheet1[[#This Row],[claim_amount]]&lt;100000,"Low",IF(Sheet1[[#This Row],[claim_amount]]&lt;200000,"Medium","High"))</f>
        <v>High</v>
      </c>
      <c r="M271" s="2" t="str">
        <f>IF(Sheet1[[#This Row],[days_to_process]]&lt;=30,"Fast","Slow")</f>
        <v>Slow</v>
      </c>
    </row>
    <row r="272" spans="1:13" x14ac:dyDescent="0.3">
      <c r="A272" t="s">
        <v>548</v>
      </c>
      <c r="B272" s="2" t="s">
        <v>549</v>
      </c>
      <c r="C272" s="1">
        <v>45039</v>
      </c>
      <c r="D272" s="35">
        <v>259951.89</v>
      </c>
      <c r="E272" s="2" t="s">
        <v>15</v>
      </c>
      <c r="F272" s="2" t="s">
        <v>11</v>
      </c>
      <c r="G272" s="2" t="s">
        <v>24</v>
      </c>
      <c r="H272">
        <v>23</v>
      </c>
      <c r="I272" s="2" t="str">
        <f>TEXT(Sheet1[[#This Row],[claim_date]],"mmmm")</f>
        <v>April</v>
      </c>
      <c r="J272" s="2">
        <f>YEAR(Sheet1[[#This Row],[claim_date]])</f>
        <v>2023</v>
      </c>
      <c r="K272" s="2" t="str">
        <f>"Q"&amp;ROUNDUP(MONTH(Sheet1[[#This Row],[claim_date]])/3,0)</f>
        <v>Q2</v>
      </c>
      <c r="L272" s="2" t="str">
        <f>IF(Sheet1[[#This Row],[claim_amount]]&lt;100000,"Low",IF(Sheet1[[#This Row],[claim_amount]]&lt;200000,"Medium","High"))</f>
        <v>High</v>
      </c>
      <c r="M272" s="2" t="str">
        <f>IF(Sheet1[[#This Row],[days_to_process]]&lt;=30,"Fast","Slow")</f>
        <v>Fast</v>
      </c>
    </row>
    <row r="273" spans="1:13" x14ac:dyDescent="0.3">
      <c r="A273" t="s">
        <v>550</v>
      </c>
      <c r="B273" s="2" t="s">
        <v>551</v>
      </c>
      <c r="C273" s="1">
        <v>45007</v>
      </c>
      <c r="D273" s="35">
        <v>487715.92</v>
      </c>
      <c r="E273" s="2" t="s">
        <v>15</v>
      </c>
      <c r="F273" s="2" t="s">
        <v>20</v>
      </c>
      <c r="G273" s="2" t="s">
        <v>24</v>
      </c>
      <c r="H273">
        <v>17</v>
      </c>
      <c r="I273" s="2" t="str">
        <f>TEXT(Sheet1[[#This Row],[claim_date]],"mmmm")</f>
        <v>March</v>
      </c>
      <c r="J273" s="2">
        <f>YEAR(Sheet1[[#This Row],[claim_date]])</f>
        <v>2023</v>
      </c>
      <c r="K273" s="2" t="str">
        <f>"Q"&amp;ROUNDUP(MONTH(Sheet1[[#This Row],[claim_date]])/3,0)</f>
        <v>Q1</v>
      </c>
      <c r="L273" s="2" t="str">
        <f>IF(Sheet1[[#This Row],[claim_amount]]&lt;100000,"Low",IF(Sheet1[[#This Row],[claim_amount]]&lt;200000,"Medium","High"))</f>
        <v>High</v>
      </c>
      <c r="M273" s="2" t="str">
        <f>IF(Sheet1[[#This Row],[days_to_process]]&lt;=30,"Fast","Slow")</f>
        <v>Fast</v>
      </c>
    </row>
    <row r="274" spans="1:13" x14ac:dyDescent="0.3">
      <c r="A274" t="s">
        <v>552</v>
      </c>
      <c r="B274" s="2" t="s">
        <v>553</v>
      </c>
      <c r="C274" s="1">
        <v>45458</v>
      </c>
      <c r="D274" s="35">
        <v>230524.49</v>
      </c>
      <c r="E274" s="2" t="s">
        <v>10</v>
      </c>
      <c r="F274" s="2" t="s">
        <v>16</v>
      </c>
      <c r="G274" s="2" t="s">
        <v>24</v>
      </c>
      <c r="H274">
        <v>25</v>
      </c>
      <c r="I274" s="2" t="str">
        <f>TEXT(Sheet1[[#This Row],[claim_date]],"mmmm")</f>
        <v>June</v>
      </c>
      <c r="J274" s="2">
        <f>YEAR(Sheet1[[#This Row],[claim_date]])</f>
        <v>2024</v>
      </c>
      <c r="K274" s="2" t="str">
        <f>"Q"&amp;ROUNDUP(MONTH(Sheet1[[#This Row],[claim_date]])/3,0)</f>
        <v>Q2</v>
      </c>
      <c r="L274" s="2" t="str">
        <f>IF(Sheet1[[#This Row],[claim_amount]]&lt;100000,"Low",IF(Sheet1[[#This Row],[claim_amount]]&lt;200000,"Medium","High"))</f>
        <v>High</v>
      </c>
      <c r="M274" s="2" t="str">
        <f>IF(Sheet1[[#This Row],[days_to_process]]&lt;=30,"Fast","Slow")</f>
        <v>Fast</v>
      </c>
    </row>
    <row r="275" spans="1:13" x14ac:dyDescent="0.3">
      <c r="A275" t="s">
        <v>554</v>
      </c>
      <c r="B275" s="2" t="s">
        <v>555</v>
      </c>
      <c r="C275" s="1">
        <v>45044</v>
      </c>
      <c r="D275" s="35">
        <v>286394.42</v>
      </c>
      <c r="E275" s="2" t="s">
        <v>10</v>
      </c>
      <c r="F275" s="2" t="s">
        <v>11</v>
      </c>
      <c r="G275" s="2" t="s">
        <v>12</v>
      </c>
      <c r="H275">
        <v>6</v>
      </c>
      <c r="I275" s="2" t="str">
        <f>TEXT(Sheet1[[#This Row],[claim_date]],"mmmm")</f>
        <v>April</v>
      </c>
      <c r="J275" s="2">
        <f>YEAR(Sheet1[[#This Row],[claim_date]])</f>
        <v>2023</v>
      </c>
      <c r="K275" s="2" t="str">
        <f>"Q"&amp;ROUNDUP(MONTH(Sheet1[[#This Row],[claim_date]])/3,0)</f>
        <v>Q2</v>
      </c>
      <c r="L275" s="2" t="str">
        <f>IF(Sheet1[[#This Row],[claim_amount]]&lt;100000,"Low",IF(Sheet1[[#This Row],[claim_amount]]&lt;200000,"Medium","High"))</f>
        <v>High</v>
      </c>
      <c r="M275" s="2" t="str">
        <f>IF(Sheet1[[#This Row],[days_to_process]]&lt;=30,"Fast","Slow")</f>
        <v>Fast</v>
      </c>
    </row>
    <row r="276" spans="1:13" x14ac:dyDescent="0.3">
      <c r="A276" t="s">
        <v>556</v>
      </c>
      <c r="B276" s="2" t="s">
        <v>557</v>
      </c>
      <c r="C276" s="1">
        <v>45062</v>
      </c>
      <c r="D276" s="35">
        <v>64769.78</v>
      </c>
      <c r="E276" s="2" t="s">
        <v>19</v>
      </c>
      <c r="F276" s="2" t="s">
        <v>16</v>
      </c>
      <c r="G276" s="2" t="s">
        <v>12</v>
      </c>
      <c r="H276">
        <v>31</v>
      </c>
      <c r="I276" s="2" t="str">
        <f>TEXT(Sheet1[[#This Row],[claim_date]],"mmmm")</f>
        <v>May</v>
      </c>
      <c r="J276" s="2">
        <f>YEAR(Sheet1[[#This Row],[claim_date]])</f>
        <v>2023</v>
      </c>
      <c r="K276" s="2" t="str">
        <f>"Q"&amp;ROUNDUP(MONTH(Sheet1[[#This Row],[claim_date]])/3,0)</f>
        <v>Q2</v>
      </c>
      <c r="L276" s="2" t="str">
        <f>IF(Sheet1[[#This Row],[claim_amount]]&lt;100000,"Low",IF(Sheet1[[#This Row],[claim_amount]]&lt;200000,"Medium","High"))</f>
        <v>Low</v>
      </c>
      <c r="M276" s="2" t="str">
        <f>IF(Sheet1[[#This Row],[days_to_process]]&lt;=30,"Fast","Slow")</f>
        <v>Slow</v>
      </c>
    </row>
    <row r="277" spans="1:13" x14ac:dyDescent="0.3">
      <c r="A277" t="s">
        <v>558</v>
      </c>
      <c r="B277" s="2" t="s">
        <v>559</v>
      </c>
      <c r="C277" s="1">
        <v>44669</v>
      </c>
      <c r="D277" s="35">
        <v>275437.57</v>
      </c>
      <c r="E277" s="2" t="s">
        <v>10</v>
      </c>
      <c r="F277" s="2" t="s">
        <v>23</v>
      </c>
      <c r="G277" s="2" t="s">
        <v>12</v>
      </c>
      <c r="H277">
        <v>36</v>
      </c>
      <c r="I277" s="2" t="str">
        <f>TEXT(Sheet1[[#This Row],[claim_date]],"mmmm")</f>
        <v>April</v>
      </c>
      <c r="J277" s="2">
        <f>YEAR(Sheet1[[#This Row],[claim_date]])</f>
        <v>2022</v>
      </c>
      <c r="K277" s="2" t="str">
        <f>"Q"&amp;ROUNDUP(MONTH(Sheet1[[#This Row],[claim_date]])/3,0)</f>
        <v>Q2</v>
      </c>
      <c r="L277" s="2" t="str">
        <f>IF(Sheet1[[#This Row],[claim_amount]]&lt;100000,"Low",IF(Sheet1[[#This Row],[claim_amount]]&lt;200000,"Medium","High"))</f>
        <v>High</v>
      </c>
      <c r="M277" s="2" t="str">
        <f>IF(Sheet1[[#This Row],[days_to_process]]&lt;=30,"Fast","Slow")</f>
        <v>Slow</v>
      </c>
    </row>
    <row r="278" spans="1:13" x14ac:dyDescent="0.3">
      <c r="A278" t="s">
        <v>560</v>
      </c>
      <c r="B278" s="2" t="s">
        <v>561</v>
      </c>
      <c r="C278" s="1">
        <v>45545</v>
      </c>
      <c r="D278" s="35">
        <v>166040.29999999999</v>
      </c>
      <c r="E278" s="2" t="s">
        <v>15</v>
      </c>
      <c r="F278" s="2" t="s">
        <v>20</v>
      </c>
      <c r="G278" s="2" t="s">
        <v>12</v>
      </c>
      <c r="H278">
        <v>41</v>
      </c>
      <c r="I278" s="2" t="str">
        <f>TEXT(Sheet1[[#This Row],[claim_date]],"mmmm")</f>
        <v>September</v>
      </c>
      <c r="J278" s="2">
        <f>YEAR(Sheet1[[#This Row],[claim_date]])</f>
        <v>2024</v>
      </c>
      <c r="K278" s="2" t="str">
        <f>"Q"&amp;ROUNDUP(MONTH(Sheet1[[#This Row],[claim_date]])/3,0)</f>
        <v>Q3</v>
      </c>
      <c r="L278" s="2" t="str">
        <f>IF(Sheet1[[#This Row],[claim_amount]]&lt;100000,"Low",IF(Sheet1[[#This Row],[claim_amount]]&lt;200000,"Medium","High"))</f>
        <v>Medium</v>
      </c>
      <c r="M278" s="2" t="str">
        <f>IF(Sheet1[[#This Row],[days_to_process]]&lt;=30,"Fast","Slow")</f>
        <v>Slow</v>
      </c>
    </row>
    <row r="279" spans="1:13" x14ac:dyDescent="0.3">
      <c r="A279" t="s">
        <v>562</v>
      </c>
      <c r="B279" s="2" t="s">
        <v>563</v>
      </c>
      <c r="C279" s="1">
        <v>45404</v>
      </c>
      <c r="D279" s="35">
        <v>437404.65</v>
      </c>
      <c r="E279" s="2" t="s">
        <v>10</v>
      </c>
      <c r="F279" s="2" t="s">
        <v>16</v>
      </c>
      <c r="G279" s="2" t="s">
        <v>12</v>
      </c>
      <c r="H279">
        <v>42</v>
      </c>
      <c r="I279" s="2" t="str">
        <f>TEXT(Sheet1[[#This Row],[claim_date]],"mmmm")</f>
        <v>April</v>
      </c>
      <c r="J279" s="2">
        <f>YEAR(Sheet1[[#This Row],[claim_date]])</f>
        <v>2024</v>
      </c>
      <c r="K279" s="2" t="str">
        <f>"Q"&amp;ROUNDUP(MONTH(Sheet1[[#This Row],[claim_date]])/3,0)</f>
        <v>Q2</v>
      </c>
      <c r="L279" s="2" t="str">
        <f>IF(Sheet1[[#This Row],[claim_amount]]&lt;100000,"Low",IF(Sheet1[[#This Row],[claim_amount]]&lt;200000,"Medium","High"))</f>
        <v>High</v>
      </c>
      <c r="M279" s="2" t="str">
        <f>IF(Sheet1[[#This Row],[days_to_process]]&lt;=30,"Fast","Slow")</f>
        <v>Slow</v>
      </c>
    </row>
    <row r="280" spans="1:13" x14ac:dyDescent="0.3">
      <c r="A280" t="s">
        <v>564</v>
      </c>
      <c r="B280" s="2" t="s">
        <v>565</v>
      </c>
      <c r="C280" s="1">
        <v>45066</v>
      </c>
      <c r="D280" s="35">
        <v>64495.51</v>
      </c>
      <c r="E280" s="2" t="s">
        <v>19</v>
      </c>
      <c r="F280" s="2" t="s">
        <v>23</v>
      </c>
      <c r="G280" s="2" t="s">
        <v>24</v>
      </c>
      <c r="H280">
        <v>59</v>
      </c>
      <c r="I280" s="2" t="str">
        <f>TEXT(Sheet1[[#This Row],[claim_date]],"mmmm")</f>
        <v>May</v>
      </c>
      <c r="J280" s="2">
        <f>YEAR(Sheet1[[#This Row],[claim_date]])</f>
        <v>2023</v>
      </c>
      <c r="K280" s="2" t="str">
        <f>"Q"&amp;ROUNDUP(MONTH(Sheet1[[#This Row],[claim_date]])/3,0)</f>
        <v>Q2</v>
      </c>
      <c r="L280" s="2" t="str">
        <f>IF(Sheet1[[#This Row],[claim_amount]]&lt;100000,"Low",IF(Sheet1[[#This Row],[claim_amount]]&lt;200000,"Medium","High"))</f>
        <v>Low</v>
      </c>
      <c r="M280" s="2" t="str">
        <f>IF(Sheet1[[#This Row],[days_to_process]]&lt;=30,"Fast","Slow")</f>
        <v>Slow</v>
      </c>
    </row>
    <row r="281" spans="1:13" x14ac:dyDescent="0.3">
      <c r="A281" t="s">
        <v>566</v>
      </c>
      <c r="B281" s="2" t="s">
        <v>394</v>
      </c>
      <c r="C281" s="1">
        <v>45478</v>
      </c>
      <c r="D281" s="35">
        <v>159976.81</v>
      </c>
      <c r="E281" s="2" t="s">
        <v>15</v>
      </c>
      <c r="F281" s="2" t="s">
        <v>20</v>
      </c>
      <c r="G281" s="2" t="s">
        <v>12</v>
      </c>
      <c r="H281">
        <v>45</v>
      </c>
      <c r="I281" s="2" t="str">
        <f>TEXT(Sheet1[[#This Row],[claim_date]],"mmmm")</f>
        <v>July</v>
      </c>
      <c r="J281" s="2">
        <f>YEAR(Sheet1[[#This Row],[claim_date]])</f>
        <v>2024</v>
      </c>
      <c r="K281" s="2" t="str">
        <f>"Q"&amp;ROUNDUP(MONTH(Sheet1[[#This Row],[claim_date]])/3,0)</f>
        <v>Q3</v>
      </c>
      <c r="L281" s="2" t="str">
        <f>IF(Sheet1[[#This Row],[claim_amount]]&lt;100000,"Low",IF(Sheet1[[#This Row],[claim_amount]]&lt;200000,"Medium","High"))</f>
        <v>Medium</v>
      </c>
      <c r="M281" s="2" t="str">
        <f>IF(Sheet1[[#This Row],[days_to_process]]&lt;=30,"Fast","Slow")</f>
        <v>Slow</v>
      </c>
    </row>
    <row r="282" spans="1:13" x14ac:dyDescent="0.3">
      <c r="A282" t="s">
        <v>567</v>
      </c>
      <c r="B282" s="2" t="s">
        <v>568</v>
      </c>
      <c r="C282" s="1">
        <v>44491</v>
      </c>
      <c r="D282" s="35">
        <v>488883.26</v>
      </c>
      <c r="E282" s="2" t="s">
        <v>19</v>
      </c>
      <c r="F282" s="2" t="s">
        <v>34</v>
      </c>
      <c r="G282" s="2" t="s">
        <v>24</v>
      </c>
      <c r="H282">
        <v>19</v>
      </c>
      <c r="I282" s="2" t="str">
        <f>TEXT(Sheet1[[#This Row],[claim_date]],"mmmm")</f>
        <v>October</v>
      </c>
      <c r="J282" s="2">
        <f>YEAR(Sheet1[[#This Row],[claim_date]])</f>
        <v>2021</v>
      </c>
      <c r="K282" s="2" t="str">
        <f>"Q"&amp;ROUNDUP(MONTH(Sheet1[[#This Row],[claim_date]])/3,0)</f>
        <v>Q4</v>
      </c>
      <c r="L282" s="2" t="str">
        <f>IF(Sheet1[[#This Row],[claim_amount]]&lt;100000,"Low",IF(Sheet1[[#This Row],[claim_amount]]&lt;200000,"Medium","High"))</f>
        <v>High</v>
      </c>
      <c r="M282" s="2" t="str">
        <f>IF(Sheet1[[#This Row],[days_to_process]]&lt;=30,"Fast","Slow")</f>
        <v>Fast</v>
      </c>
    </row>
    <row r="283" spans="1:13" x14ac:dyDescent="0.3">
      <c r="A283" t="s">
        <v>569</v>
      </c>
      <c r="B283" s="2" t="s">
        <v>570</v>
      </c>
      <c r="C283" s="1">
        <v>45537</v>
      </c>
      <c r="D283" s="35">
        <v>491896.05</v>
      </c>
      <c r="E283" s="2" t="s">
        <v>10</v>
      </c>
      <c r="F283" s="2" t="s">
        <v>11</v>
      </c>
      <c r="G283" s="2" t="s">
        <v>12</v>
      </c>
      <c r="H283">
        <v>33</v>
      </c>
      <c r="I283" s="2" t="str">
        <f>TEXT(Sheet1[[#This Row],[claim_date]],"mmmm")</f>
        <v>September</v>
      </c>
      <c r="J283" s="2">
        <f>YEAR(Sheet1[[#This Row],[claim_date]])</f>
        <v>2024</v>
      </c>
      <c r="K283" s="2" t="str">
        <f>"Q"&amp;ROUNDUP(MONTH(Sheet1[[#This Row],[claim_date]])/3,0)</f>
        <v>Q3</v>
      </c>
      <c r="L283" s="2" t="str">
        <f>IF(Sheet1[[#This Row],[claim_amount]]&lt;100000,"Low",IF(Sheet1[[#This Row],[claim_amount]]&lt;200000,"Medium","High"))</f>
        <v>High</v>
      </c>
      <c r="M283" s="2" t="str">
        <f>IF(Sheet1[[#This Row],[days_to_process]]&lt;=30,"Fast","Slow")</f>
        <v>Slow</v>
      </c>
    </row>
    <row r="284" spans="1:13" x14ac:dyDescent="0.3">
      <c r="A284" t="s">
        <v>571</v>
      </c>
      <c r="B284" s="2" t="s">
        <v>572</v>
      </c>
      <c r="C284" s="1">
        <v>45257</v>
      </c>
      <c r="D284" s="35">
        <v>22432.49</v>
      </c>
      <c r="E284" s="2" t="s">
        <v>10</v>
      </c>
      <c r="F284" s="2" t="s">
        <v>20</v>
      </c>
      <c r="G284" s="2" t="s">
        <v>24</v>
      </c>
      <c r="H284">
        <v>40</v>
      </c>
      <c r="I284" s="2" t="str">
        <f>TEXT(Sheet1[[#This Row],[claim_date]],"mmmm")</f>
        <v>November</v>
      </c>
      <c r="J284" s="2">
        <f>YEAR(Sheet1[[#This Row],[claim_date]])</f>
        <v>2023</v>
      </c>
      <c r="K284" s="2" t="str">
        <f>"Q"&amp;ROUNDUP(MONTH(Sheet1[[#This Row],[claim_date]])/3,0)</f>
        <v>Q4</v>
      </c>
      <c r="L284" s="2" t="str">
        <f>IF(Sheet1[[#This Row],[claim_amount]]&lt;100000,"Low",IF(Sheet1[[#This Row],[claim_amount]]&lt;200000,"Medium","High"))</f>
        <v>Low</v>
      </c>
      <c r="M284" s="2" t="str">
        <f>IF(Sheet1[[#This Row],[days_to_process]]&lt;=30,"Fast","Slow")</f>
        <v>Slow</v>
      </c>
    </row>
    <row r="285" spans="1:13" x14ac:dyDescent="0.3">
      <c r="A285" t="s">
        <v>573</v>
      </c>
      <c r="B285" s="2" t="s">
        <v>574</v>
      </c>
      <c r="C285" s="1">
        <v>45517</v>
      </c>
      <c r="D285" s="35">
        <v>17803.16</v>
      </c>
      <c r="E285" s="2" t="s">
        <v>15</v>
      </c>
      <c r="F285" s="2" t="s">
        <v>16</v>
      </c>
      <c r="G285" s="2" t="s">
        <v>24</v>
      </c>
      <c r="H285">
        <v>20</v>
      </c>
      <c r="I285" s="2" t="str">
        <f>TEXT(Sheet1[[#This Row],[claim_date]],"mmmm")</f>
        <v>August</v>
      </c>
      <c r="J285" s="2">
        <f>YEAR(Sheet1[[#This Row],[claim_date]])</f>
        <v>2024</v>
      </c>
      <c r="K285" s="2" t="str">
        <f>"Q"&amp;ROUNDUP(MONTH(Sheet1[[#This Row],[claim_date]])/3,0)</f>
        <v>Q3</v>
      </c>
      <c r="L285" s="2" t="str">
        <f>IF(Sheet1[[#This Row],[claim_amount]]&lt;100000,"Low",IF(Sheet1[[#This Row],[claim_amount]]&lt;200000,"Medium","High"))</f>
        <v>Low</v>
      </c>
      <c r="M285" s="2" t="str">
        <f>IF(Sheet1[[#This Row],[days_to_process]]&lt;=30,"Fast","Slow")</f>
        <v>Fast</v>
      </c>
    </row>
    <row r="286" spans="1:13" x14ac:dyDescent="0.3">
      <c r="A286" t="s">
        <v>575</v>
      </c>
      <c r="B286" s="2" t="s">
        <v>576</v>
      </c>
      <c r="C286" s="1">
        <v>44882</v>
      </c>
      <c r="D286" s="35">
        <v>407382.82</v>
      </c>
      <c r="E286" s="2" t="s">
        <v>15</v>
      </c>
      <c r="F286" s="2" t="s">
        <v>20</v>
      </c>
      <c r="G286" s="2" t="s">
        <v>24</v>
      </c>
      <c r="H286">
        <v>32</v>
      </c>
      <c r="I286" s="2" t="str">
        <f>TEXT(Sheet1[[#This Row],[claim_date]],"mmmm")</f>
        <v>November</v>
      </c>
      <c r="J286" s="2">
        <f>YEAR(Sheet1[[#This Row],[claim_date]])</f>
        <v>2022</v>
      </c>
      <c r="K286" s="2" t="str">
        <f>"Q"&amp;ROUNDUP(MONTH(Sheet1[[#This Row],[claim_date]])/3,0)</f>
        <v>Q4</v>
      </c>
      <c r="L286" s="2" t="str">
        <f>IF(Sheet1[[#This Row],[claim_amount]]&lt;100000,"Low",IF(Sheet1[[#This Row],[claim_amount]]&lt;200000,"Medium","High"))</f>
        <v>High</v>
      </c>
      <c r="M286" s="2" t="str">
        <f>IF(Sheet1[[#This Row],[days_to_process]]&lt;=30,"Fast","Slow")</f>
        <v>Slow</v>
      </c>
    </row>
    <row r="287" spans="1:13" x14ac:dyDescent="0.3">
      <c r="A287" t="s">
        <v>577</v>
      </c>
      <c r="B287" s="2" t="s">
        <v>578</v>
      </c>
      <c r="C287" s="1">
        <v>45794</v>
      </c>
      <c r="D287" s="35">
        <v>107164.3</v>
      </c>
      <c r="E287" s="2" t="s">
        <v>19</v>
      </c>
      <c r="F287" s="2" t="s">
        <v>16</v>
      </c>
      <c r="G287" s="2" t="s">
        <v>12</v>
      </c>
      <c r="H287">
        <v>26</v>
      </c>
      <c r="I287" s="2" t="str">
        <f>TEXT(Sheet1[[#This Row],[claim_date]],"mmmm")</f>
        <v>May</v>
      </c>
      <c r="J287" s="2">
        <f>YEAR(Sheet1[[#This Row],[claim_date]])</f>
        <v>2025</v>
      </c>
      <c r="K287" s="2" t="str">
        <f>"Q"&amp;ROUNDUP(MONTH(Sheet1[[#This Row],[claim_date]])/3,0)</f>
        <v>Q2</v>
      </c>
      <c r="L287" s="2" t="str">
        <f>IF(Sheet1[[#This Row],[claim_amount]]&lt;100000,"Low",IF(Sheet1[[#This Row],[claim_amount]]&lt;200000,"Medium","High"))</f>
        <v>Medium</v>
      </c>
      <c r="M287" s="2" t="str">
        <f>IF(Sheet1[[#This Row],[days_to_process]]&lt;=30,"Fast","Slow")</f>
        <v>Fast</v>
      </c>
    </row>
    <row r="288" spans="1:13" x14ac:dyDescent="0.3">
      <c r="A288" t="s">
        <v>579</v>
      </c>
      <c r="B288" s="2" t="s">
        <v>580</v>
      </c>
      <c r="C288" s="1">
        <v>44485</v>
      </c>
      <c r="D288" s="35">
        <v>29211.48</v>
      </c>
      <c r="E288" s="2" t="s">
        <v>15</v>
      </c>
      <c r="F288" s="2" t="s">
        <v>11</v>
      </c>
      <c r="G288" s="2" t="s">
        <v>24</v>
      </c>
      <c r="H288">
        <v>46</v>
      </c>
      <c r="I288" s="2" t="str">
        <f>TEXT(Sheet1[[#This Row],[claim_date]],"mmmm")</f>
        <v>October</v>
      </c>
      <c r="J288" s="2">
        <f>YEAR(Sheet1[[#This Row],[claim_date]])</f>
        <v>2021</v>
      </c>
      <c r="K288" s="2" t="str">
        <f>"Q"&amp;ROUNDUP(MONTH(Sheet1[[#This Row],[claim_date]])/3,0)</f>
        <v>Q4</v>
      </c>
      <c r="L288" s="2" t="str">
        <f>IF(Sheet1[[#This Row],[claim_amount]]&lt;100000,"Low",IF(Sheet1[[#This Row],[claim_amount]]&lt;200000,"Medium","High"))</f>
        <v>Low</v>
      </c>
      <c r="M288" s="2" t="str">
        <f>IF(Sheet1[[#This Row],[days_to_process]]&lt;=30,"Fast","Slow")</f>
        <v>Slow</v>
      </c>
    </row>
    <row r="289" spans="1:13" x14ac:dyDescent="0.3">
      <c r="A289" t="s">
        <v>581</v>
      </c>
      <c r="B289" s="2" t="s">
        <v>582</v>
      </c>
      <c r="C289" s="1">
        <v>45429</v>
      </c>
      <c r="D289" s="35">
        <v>369357.38</v>
      </c>
      <c r="E289" s="2" t="s">
        <v>15</v>
      </c>
      <c r="F289" s="2" t="s">
        <v>20</v>
      </c>
      <c r="G289" s="2" t="s">
        <v>24</v>
      </c>
      <c r="H289">
        <v>33</v>
      </c>
      <c r="I289" s="2" t="str">
        <f>TEXT(Sheet1[[#This Row],[claim_date]],"mmmm")</f>
        <v>May</v>
      </c>
      <c r="J289" s="2">
        <f>YEAR(Sheet1[[#This Row],[claim_date]])</f>
        <v>2024</v>
      </c>
      <c r="K289" s="2" t="str">
        <f>"Q"&amp;ROUNDUP(MONTH(Sheet1[[#This Row],[claim_date]])/3,0)</f>
        <v>Q2</v>
      </c>
      <c r="L289" s="2" t="str">
        <f>IF(Sheet1[[#This Row],[claim_amount]]&lt;100000,"Low",IF(Sheet1[[#This Row],[claim_amount]]&lt;200000,"Medium","High"))</f>
        <v>High</v>
      </c>
      <c r="M289" s="2" t="str">
        <f>IF(Sheet1[[#This Row],[days_to_process]]&lt;=30,"Fast","Slow")</f>
        <v>Slow</v>
      </c>
    </row>
    <row r="290" spans="1:13" x14ac:dyDescent="0.3">
      <c r="A290" t="s">
        <v>583</v>
      </c>
      <c r="B290" s="2" t="s">
        <v>584</v>
      </c>
      <c r="C290" s="1">
        <v>45456</v>
      </c>
      <c r="D290" s="35">
        <v>95048.42</v>
      </c>
      <c r="E290" s="2" t="s">
        <v>19</v>
      </c>
      <c r="F290" s="2" t="s">
        <v>16</v>
      </c>
      <c r="G290" s="2" t="s">
        <v>24</v>
      </c>
      <c r="H290">
        <v>10</v>
      </c>
      <c r="I290" s="2" t="str">
        <f>TEXT(Sheet1[[#This Row],[claim_date]],"mmmm")</f>
        <v>June</v>
      </c>
      <c r="J290" s="2">
        <f>YEAR(Sheet1[[#This Row],[claim_date]])</f>
        <v>2024</v>
      </c>
      <c r="K290" s="2" t="str">
        <f>"Q"&amp;ROUNDUP(MONTH(Sheet1[[#This Row],[claim_date]])/3,0)</f>
        <v>Q2</v>
      </c>
      <c r="L290" s="2" t="str">
        <f>IF(Sheet1[[#This Row],[claim_amount]]&lt;100000,"Low",IF(Sheet1[[#This Row],[claim_amount]]&lt;200000,"Medium","High"))</f>
        <v>Low</v>
      </c>
      <c r="M290" s="2" t="str">
        <f>IF(Sheet1[[#This Row],[days_to_process]]&lt;=30,"Fast","Slow")</f>
        <v>Fast</v>
      </c>
    </row>
    <row r="291" spans="1:13" x14ac:dyDescent="0.3">
      <c r="A291" t="s">
        <v>585</v>
      </c>
      <c r="B291" s="2" t="s">
        <v>586</v>
      </c>
      <c r="C291" s="1">
        <v>45001</v>
      </c>
      <c r="D291" s="35">
        <v>151458.75</v>
      </c>
      <c r="E291" s="2" t="s">
        <v>15</v>
      </c>
      <c r="F291" s="2" t="s">
        <v>34</v>
      </c>
      <c r="G291" s="2" t="s">
        <v>12</v>
      </c>
      <c r="H291">
        <v>16</v>
      </c>
      <c r="I291" s="2" t="str">
        <f>TEXT(Sheet1[[#This Row],[claim_date]],"mmmm")</f>
        <v>March</v>
      </c>
      <c r="J291" s="2">
        <f>YEAR(Sheet1[[#This Row],[claim_date]])</f>
        <v>2023</v>
      </c>
      <c r="K291" s="2" t="str">
        <f>"Q"&amp;ROUNDUP(MONTH(Sheet1[[#This Row],[claim_date]])/3,0)</f>
        <v>Q1</v>
      </c>
      <c r="L291" s="2" t="str">
        <f>IF(Sheet1[[#This Row],[claim_amount]]&lt;100000,"Low",IF(Sheet1[[#This Row],[claim_amount]]&lt;200000,"Medium","High"))</f>
        <v>Medium</v>
      </c>
      <c r="M291" s="2" t="str">
        <f>IF(Sheet1[[#This Row],[days_to_process]]&lt;=30,"Fast","Slow")</f>
        <v>Fast</v>
      </c>
    </row>
    <row r="292" spans="1:13" x14ac:dyDescent="0.3">
      <c r="A292" t="s">
        <v>587</v>
      </c>
      <c r="B292" s="2" t="s">
        <v>588</v>
      </c>
      <c r="C292" s="1">
        <v>44865</v>
      </c>
      <c r="D292" s="35">
        <v>151572.29999999999</v>
      </c>
      <c r="E292" s="2" t="s">
        <v>19</v>
      </c>
      <c r="F292" s="2" t="s">
        <v>20</v>
      </c>
      <c r="G292" s="2" t="s">
        <v>12</v>
      </c>
      <c r="H292">
        <v>30</v>
      </c>
      <c r="I292" s="2" t="str">
        <f>TEXT(Sheet1[[#This Row],[claim_date]],"mmmm")</f>
        <v>October</v>
      </c>
      <c r="J292" s="2">
        <f>YEAR(Sheet1[[#This Row],[claim_date]])</f>
        <v>2022</v>
      </c>
      <c r="K292" s="2" t="str">
        <f>"Q"&amp;ROUNDUP(MONTH(Sheet1[[#This Row],[claim_date]])/3,0)</f>
        <v>Q4</v>
      </c>
      <c r="L292" s="2" t="str">
        <f>IF(Sheet1[[#This Row],[claim_amount]]&lt;100000,"Low",IF(Sheet1[[#This Row],[claim_amount]]&lt;200000,"Medium","High"))</f>
        <v>Medium</v>
      </c>
      <c r="M292" s="2" t="str">
        <f>IF(Sheet1[[#This Row],[days_to_process]]&lt;=30,"Fast","Slow")</f>
        <v>Fast</v>
      </c>
    </row>
    <row r="293" spans="1:13" x14ac:dyDescent="0.3">
      <c r="A293" t="s">
        <v>589</v>
      </c>
      <c r="B293" s="2" t="s">
        <v>590</v>
      </c>
      <c r="C293" s="1">
        <v>44447</v>
      </c>
      <c r="D293" s="35">
        <v>474181.65</v>
      </c>
      <c r="E293" s="2" t="s">
        <v>10</v>
      </c>
      <c r="F293" s="2" t="s">
        <v>16</v>
      </c>
      <c r="G293" s="2" t="s">
        <v>12</v>
      </c>
      <c r="H293">
        <v>25</v>
      </c>
      <c r="I293" s="2" t="str">
        <f>TEXT(Sheet1[[#This Row],[claim_date]],"mmmm")</f>
        <v>September</v>
      </c>
      <c r="J293" s="2">
        <f>YEAR(Sheet1[[#This Row],[claim_date]])</f>
        <v>2021</v>
      </c>
      <c r="K293" s="2" t="str">
        <f>"Q"&amp;ROUNDUP(MONTH(Sheet1[[#This Row],[claim_date]])/3,0)</f>
        <v>Q3</v>
      </c>
      <c r="L293" s="2" t="str">
        <f>IF(Sheet1[[#This Row],[claim_amount]]&lt;100000,"Low",IF(Sheet1[[#This Row],[claim_amount]]&lt;200000,"Medium","High"))</f>
        <v>High</v>
      </c>
      <c r="M293" s="2" t="str">
        <f>IF(Sheet1[[#This Row],[days_to_process]]&lt;=30,"Fast","Slow")</f>
        <v>Fast</v>
      </c>
    </row>
    <row r="294" spans="1:13" x14ac:dyDescent="0.3">
      <c r="A294" t="s">
        <v>591</v>
      </c>
      <c r="B294" s="2" t="s">
        <v>592</v>
      </c>
      <c r="C294" s="1">
        <v>45600</v>
      </c>
      <c r="D294" s="35">
        <v>293703.52</v>
      </c>
      <c r="E294" s="2" t="s">
        <v>19</v>
      </c>
      <c r="F294" s="2" t="s">
        <v>11</v>
      </c>
      <c r="G294" s="2" t="s">
        <v>24</v>
      </c>
      <c r="H294">
        <v>57</v>
      </c>
      <c r="I294" s="2" t="str">
        <f>TEXT(Sheet1[[#This Row],[claim_date]],"mmmm")</f>
        <v>November</v>
      </c>
      <c r="J294" s="2">
        <f>YEAR(Sheet1[[#This Row],[claim_date]])</f>
        <v>2024</v>
      </c>
      <c r="K294" s="2" t="str">
        <f>"Q"&amp;ROUNDUP(MONTH(Sheet1[[#This Row],[claim_date]])/3,0)</f>
        <v>Q4</v>
      </c>
      <c r="L294" s="2" t="str">
        <f>IF(Sheet1[[#This Row],[claim_amount]]&lt;100000,"Low",IF(Sheet1[[#This Row],[claim_amount]]&lt;200000,"Medium","High"))</f>
        <v>High</v>
      </c>
      <c r="M294" s="2" t="str">
        <f>IF(Sheet1[[#This Row],[days_to_process]]&lt;=30,"Fast","Slow")</f>
        <v>Slow</v>
      </c>
    </row>
    <row r="295" spans="1:13" x14ac:dyDescent="0.3">
      <c r="A295" t="s">
        <v>593</v>
      </c>
      <c r="B295" s="2" t="s">
        <v>594</v>
      </c>
      <c r="C295" s="1">
        <v>45343</v>
      </c>
      <c r="D295" s="35">
        <v>408849.07</v>
      </c>
      <c r="E295" s="2" t="s">
        <v>10</v>
      </c>
      <c r="F295" s="2" t="s">
        <v>23</v>
      </c>
      <c r="G295" s="2" t="s">
        <v>12</v>
      </c>
      <c r="H295">
        <v>12</v>
      </c>
      <c r="I295" s="2" t="str">
        <f>TEXT(Sheet1[[#This Row],[claim_date]],"mmmm")</f>
        <v>February</v>
      </c>
      <c r="J295" s="2">
        <f>YEAR(Sheet1[[#This Row],[claim_date]])</f>
        <v>2024</v>
      </c>
      <c r="K295" s="2" t="str">
        <f>"Q"&amp;ROUNDUP(MONTH(Sheet1[[#This Row],[claim_date]])/3,0)</f>
        <v>Q1</v>
      </c>
      <c r="L295" s="2" t="str">
        <f>IF(Sheet1[[#This Row],[claim_amount]]&lt;100000,"Low",IF(Sheet1[[#This Row],[claim_amount]]&lt;200000,"Medium","High"))</f>
        <v>High</v>
      </c>
      <c r="M295" s="2" t="str">
        <f>IF(Sheet1[[#This Row],[days_to_process]]&lt;=30,"Fast","Slow")</f>
        <v>Fast</v>
      </c>
    </row>
    <row r="296" spans="1:13" x14ac:dyDescent="0.3">
      <c r="A296" t="s">
        <v>595</v>
      </c>
      <c r="B296" s="2" t="s">
        <v>596</v>
      </c>
      <c r="C296" s="1">
        <v>44283</v>
      </c>
      <c r="D296" s="35">
        <v>250142.3</v>
      </c>
      <c r="E296" s="2" t="s">
        <v>19</v>
      </c>
      <c r="F296" s="2" t="s">
        <v>16</v>
      </c>
      <c r="G296" s="2" t="s">
        <v>24</v>
      </c>
      <c r="H296">
        <v>14</v>
      </c>
      <c r="I296" s="2" t="str">
        <f>TEXT(Sheet1[[#This Row],[claim_date]],"mmmm")</f>
        <v>March</v>
      </c>
      <c r="J296" s="2">
        <f>YEAR(Sheet1[[#This Row],[claim_date]])</f>
        <v>2021</v>
      </c>
      <c r="K296" s="2" t="str">
        <f>"Q"&amp;ROUNDUP(MONTH(Sheet1[[#This Row],[claim_date]])/3,0)</f>
        <v>Q1</v>
      </c>
      <c r="L296" s="2" t="str">
        <f>IF(Sheet1[[#This Row],[claim_amount]]&lt;100000,"Low",IF(Sheet1[[#This Row],[claim_amount]]&lt;200000,"Medium","High"))</f>
        <v>High</v>
      </c>
      <c r="M296" s="2" t="str">
        <f>IF(Sheet1[[#This Row],[days_to_process]]&lt;=30,"Fast","Slow")</f>
        <v>Fast</v>
      </c>
    </row>
    <row r="297" spans="1:13" x14ac:dyDescent="0.3">
      <c r="A297" t="s">
        <v>597</v>
      </c>
      <c r="B297" s="2" t="s">
        <v>598</v>
      </c>
      <c r="C297" s="1">
        <v>45610</v>
      </c>
      <c r="D297" s="35">
        <v>282708.86</v>
      </c>
      <c r="E297" s="2" t="s">
        <v>19</v>
      </c>
      <c r="F297" s="2" t="s">
        <v>11</v>
      </c>
      <c r="G297" s="2" t="s">
        <v>12</v>
      </c>
      <c r="H297">
        <v>46</v>
      </c>
      <c r="I297" s="2" t="str">
        <f>TEXT(Sheet1[[#This Row],[claim_date]],"mmmm")</f>
        <v>November</v>
      </c>
      <c r="J297" s="2">
        <f>YEAR(Sheet1[[#This Row],[claim_date]])</f>
        <v>2024</v>
      </c>
      <c r="K297" s="2" t="str">
        <f>"Q"&amp;ROUNDUP(MONTH(Sheet1[[#This Row],[claim_date]])/3,0)</f>
        <v>Q4</v>
      </c>
      <c r="L297" s="2" t="str">
        <f>IF(Sheet1[[#This Row],[claim_amount]]&lt;100000,"Low",IF(Sheet1[[#This Row],[claim_amount]]&lt;200000,"Medium","High"))</f>
        <v>High</v>
      </c>
      <c r="M297" s="2" t="str">
        <f>IF(Sheet1[[#This Row],[days_to_process]]&lt;=30,"Fast","Slow")</f>
        <v>Slow</v>
      </c>
    </row>
    <row r="298" spans="1:13" x14ac:dyDescent="0.3">
      <c r="A298" t="s">
        <v>599</v>
      </c>
      <c r="B298" s="2" t="s">
        <v>600</v>
      </c>
      <c r="C298" s="1">
        <v>45554</v>
      </c>
      <c r="D298" s="35">
        <v>201816.86</v>
      </c>
      <c r="E298" s="2" t="s">
        <v>10</v>
      </c>
      <c r="F298" s="2" t="s">
        <v>11</v>
      </c>
      <c r="G298" s="2" t="s">
        <v>12</v>
      </c>
      <c r="H298">
        <v>27</v>
      </c>
      <c r="I298" s="2" t="str">
        <f>TEXT(Sheet1[[#This Row],[claim_date]],"mmmm")</f>
        <v>September</v>
      </c>
      <c r="J298" s="2">
        <f>YEAR(Sheet1[[#This Row],[claim_date]])</f>
        <v>2024</v>
      </c>
      <c r="K298" s="2" t="str">
        <f>"Q"&amp;ROUNDUP(MONTH(Sheet1[[#This Row],[claim_date]])/3,0)</f>
        <v>Q3</v>
      </c>
      <c r="L298" s="2" t="str">
        <f>IF(Sheet1[[#This Row],[claim_amount]]&lt;100000,"Low",IF(Sheet1[[#This Row],[claim_amount]]&lt;200000,"Medium","High"))</f>
        <v>High</v>
      </c>
      <c r="M298" s="2" t="str">
        <f>IF(Sheet1[[#This Row],[days_to_process]]&lt;=30,"Fast","Slow")</f>
        <v>Fast</v>
      </c>
    </row>
    <row r="299" spans="1:13" x14ac:dyDescent="0.3">
      <c r="A299" t="s">
        <v>601</v>
      </c>
      <c r="B299" s="2" t="s">
        <v>602</v>
      </c>
      <c r="C299" s="1">
        <v>44209</v>
      </c>
      <c r="D299" s="35">
        <v>44155.64</v>
      </c>
      <c r="E299" s="2" t="s">
        <v>19</v>
      </c>
      <c r="F299" s="2" t="s">
        <v>34</v>
      </c>
      <c r="G299" s="2" t="s">
        <v>12</v>
      </c>
      <c r="H299">
        <v>28</v>
      </c>
      <c r="I299" s="2" t="str">
        <f>TEXT(Sheet1[[#This Row],[claim_date]],"mmmm")</f>
        <v>January</v>
      </c>
      <c r="J299" s="2">
        <f>YEAR(Sheet1[[#This Row],[claim_date]])</f>
        <v>2021</v>
      </c>
      <c r="K299" s="2" t="str">
        <f>"Q"&amp;ROUNDUP(MONTH(Sheet1[[#This Row],[claim_date]])/3,0)</f>
        <v>Q1</v>
      </c>
      <c r="L299" s="2" t="str">
        <f>IF(Sheet1[[#This Row],[claim_amount]]&lt;100000,"Low",IF(Sheet1[[#This Row],[claim_amount]]&lt;200000,"Medium","High"))</f>
        <v>Low</v>
      </c>
      <c r="M299" s="2" t="str">
        <f>IF(Sheet1[[#This Row],[days_to_process]]&lt;=30,"Fast","Slow")</f>
        <v>Fast</v>
      </c>
    </row>
    <row r="300" spans="1:13" x14ac:dyDescent="0.3">
      <c r="A300" t="s">
        <v>603</v>
      </c>
      <c r="B300" s="2" t="s">
        <v>604</v>
      </c>
      <c r="C300" s="1">
        <v>45323</v>
      </c>
      <c r="D300" s="35">
        <v>199113.05</v>
      </c>
      <c r="E300" s="2" t="s">
        <v>15</v>
      </c>
      <c r="F300" s="2" t="s">
        <v>23</v>
      </c>
      <c r="G300" s="2" t="s">
        <v>12</v>
      </c>
      <c r="H300">
        <v>22</v>
      </c>
      <c r="I300" s="2" t="str">
        <f>TEXT(Sheet1[[#This Row],[claim_date]],"mmmm")</f>
        <v>February</v>
      </c>
      <c r="J300" s="2">
        <f>YEAR(Sheet1[[#This Row],[claim_date]])</f>
        <v>2024</v>
      </c>
      <c r="K300" s="2" t="str">
        <f>"Q"&amp;ROUNDUP(MONTH(Sheet1[[#This Row],[claim_date]])/3,0)</f>
        <v>Q1</v>
      </c>
      <c r="L300" s="2" t="str">
        <f>IF(Sheet1[[#This Row],[claim_amount]]&lt;100000,"Low",IF(Sheet1[[#This Row],[claim_amount]]&lt;200000,"Medium","High"))</f>
        <v>Medium</v>
      </c>
      <c r="M300" s="2" t="str">
        <f>IF(Sheet1[[#This Row],[days_to_process]]&lt;=30,"Fast","Slow")</f>
        <v>Fast</v>
      </c>
    </row>
    <row r="301" spans="1:13" x14ac:dyDescent="0.3">
      <c r="A301" t="s">
        <v>605</v>
      </c>
      <c r="B301" s="2" t="s">
        <v>606</v>
      </c>
      <c r="C301" s="1">
        <v>45284</v>
      </c>
      <c r="D301" s="35">
        <v>10748.7</v>
      </c>
      <c r="E301" s="2" t="s">
        <v>15</v>
      </c>
      <c r="F301" s="2" t="s">
        <v>34</v>
      </c>
      <c r="G301" s="2" t="s">
        <v>24</v>
      </c>
      <c r="H301">
        <v>22</v>
      </c>
      <c r="I301" s="2" t="str">
        <f>TEXT(Sheet1[[#This Row],[claim_date]],"mmmm")</f>
        <v>December</v>
      </c>
      <c r="J301" s="2">
        <f>YEAR(Sheet1[[#This Row],[claim_date]])</f>
        <v>2023</v>
      </c>
      <c r="K301" s="2" t="str">
        <f>"Q"&amp;ROUNDUP(MONTH(Sheet1[[#This Row],[claim_date]])/3,0)</f>
        <v>Q4</v>
      </c>
      <c r="L301" s="2" t="str">
        <f>IF(Sheet1[[#This Row],[claim_amount]]&lt;100000,"Low",IF(Sheet1[[#This Row],[claim_amount]]&lt;200000,"Medium","High"))</f>
        <v>Low</v>
      </c>
      <c r="M301" s="2" t="str">
        <f>IF(Sheet1[[#This Row],[days_to_process]]&lt;=30,"Fast","Slow")</f>
        <v>Fast</v>
      </c>
    </row>
    <row r="302" spans="1:13" x14ac:dyDescent="0.3">
      <c r="A302" t="s">
        <v>607</v>
      </c>
      <c r="B302" s="2" t="s">
        <v>608</v>
      </c>
      <c r="C302" s="1">
        <v>45478</v>
      </c>
      <c r="D302" s="35">
        <v>463674.78</v>
      </c>
      <c r="E302" s="2" t="s">
        <v>15</v>
      </c>
      <c r="F302" s="2" t="s">
        <v>11</v>
      </c>
      <c r="G302" s="2" t="s">
        <v>24</v>
      </c>
      <c r="H302">
        <v>28</v>
      </c>
      <c r="I302" s="2" t="str">
        <f>TEXT(Sheet1[[#This Row],[claim_date]],"mmmm")</f>
        <v>July</v>
      </c>
      <c r="J302" s="2">
        <f>YEAR(Sheet1[[#This Row],[claim_date]])</f>
        <v>2024</v>
      </c>
      <c r="K302" s="2" t="str">
        <f>"Q"&amp;ROUNDUP(MONTH(Sheet1[[#This Row],[claim_date]])/3,0)</f>
        <v>Q3</v>
      </c>
      <c r="L302" s="2" t="str">
        <f>IF(Sheet1[[#This Row],[claim_amount]]&lt;100000,"Low",IF(Sheet1[[#This Row],[claim_amount]]&lt;200000,"Medium","High"))</f>
        <v>High</v>
      </c>
      <c r="M302" s="2" t="str">
        <f>IF(Sheet1[[#This Row],[days_to_process]]&lt;=30,"Fast","Slow")</f>
        <v>Fast</v>
      </c>
    </row>
    <row r="303" spans="1:13" x14ac:dyDescent="0.3">
      <c r="A303" t="s">
        <v>609</v>
      </c>
      <c r="B303" s="2" t="s">
        <v>610</v>
      </c>
      <c r="C303" s="1">
        <v>44457</v>
      </c>
      <c r="D303" s="35">
        <v>424771.72</v>
      </c>
      <c r="E303" s="2" t="s">
        <v>15</v>
      </c>
      <c r="F303" s="2" t="s">
        <v>34</v>
      </c>
      <c r="G303" s="2" t="s">
        <v>12</v>
      </c>
      <c r="H303">
        <v>50</v>
      </c>
      <c r="I303" s="2" t="str">
        <f>TEXT(Sheet1[[#This Row],[claim_date]],"mmmm")</f>
        <v>September</v>
      </c>
      <c r="J303" s="2">
        <f>YEAR(Sheet1[[#This Row],[claim_date]])</f>
        <v>2021</v>
      </c>
      <c r="K303" s="2" t="str">
        <f>"Q"&amp;ROUNDUP(MONTH(Sheet1[[#This Row],[claim_date]])/3,0)</f>
        <v>Q3</v>
      </c>
      <c r="L303" s="2" t="str">
        <f>IF(Sheet1[[#This Row],[claim_amount]]&lt;100000,"Low",IF(Sheet1[[#This Row],[claim_amount]]&lt;200000,"Medium","High"))</f>
        <v>High</v>
      </c>
      <c r="M303" s="2" t="str">
        <f>IF(Sheet1[[#This Row],[days_to_process]]&lt;=30,"Fast","Slow")</f>
        <v>Slow</v>
      </c>
    </row>
    <row r="304" spans="1:13" x14ac:dyDescent="0.3">
      <c r="A304" t="s">
        <v>611</v>
      </c>
      <c r="B304" s="2" t="s">
        <v>612</v>
      </c>
      <c r="C304" s="1">
        <v>45479</v>
      </c>
      <c r="D304" s="35">
        <v>245478.71</v>
      </c>
      <c r="E304" s="2" t="s">
        <v>15</v>
      </c>
      <c r="F304" s="2" t="s">
        <v>20</v>
      </c>
      <c r="G304" s="2" t="s">
        <v>12</v>
      </c>
      <c r="H304">
        <v>17</v>
      </c>
      <c r="I304" s="2" t="str">
        <f>TEXT(Sheet1[[#This Row],[claim_date]],"mmmm")</f>
        <v>July</v>
      </c>
      <c r="J304" s="2">
        <f>YEAR(Sheet1[[#This Row],[claim_date]])</f>
        <v>2024</v>
      </c>
      <c r="K304" s="2" t="str">
        <f>"Q"&amp;ROUNDUP(MONTH(Sheet1[[#This Row],[claim_date]])/3,0)</f>
        <v>Q3</v>
      </c>
      <c r="L304" s="2" t="str">
        <f>IF(Sheet1[[#This Row],[claim_amount]]&lt;100000,"Low",IF(Sheet1[[#This Row],[claim_amount]]&lt;200000,"Medium","High"))</f>
        <v>High</v>
      </c>
      <c r="M304" s="2" t="str">
        <f>IF(Sheet1[[#This Row],[days_to_process]]&lt;=30,"Fast","Slow")</f>
        <v>Fast</v>
      </c>
    </row>
    <row r="305" spans="1:13" x14ac:dyDescent="0.3">
      <c r="A305" t="s">
        <v>613</v>
      </c>
      <c r="B305" s="2" t="s">
        <v>614</v>
      </c>
      <c r="C305" s="1">
        <v>45231</v>
      </c>
      <c r="D305" s="35">
        <v>239060.02</v>
      </c>
      <c r="E305" s="2" t="s">
        <v>10</v>
      </c>
      <c r="F305" s="2" t="s">
        <v>20</v>
      </c>
      <c r="G305" s="2" t="s">
        <v>24</v>
      </c>
      <c r="H305">
        <v>48</v>
      </c>
      <c r="I305" s="2" t="str">
        <f>TEXT(Sheet1[[#This Row],[claim_date]],"mmmm")</f>
        <v>November</v>
      </c>
      <c r="J305" s="2">
        <f>YEAR(Sheet1[[#This Row],[claim_date]])</f>
        <v>2023</v>
      </c>
      <c r="K305" s="2" t="str">
        <f>"Q"&amp;ROUNDUP(MONTH(Sheet1[[#This Row],[claim_date]])/3,0)</f>
        <v>Q4</v>
      </c>
      <c r="L305" s="2" t="str">
        <f>IF(Sheet1[[#This Row],[claim_amount]]&lt;100000,"Low",IF(Sheet1[[#This Row],[claim_amount]]&lt;200000,"Medium","High"))</f>
        <v>High</v>
      </c>
      <c r="M305" s="2" t="str">
        <f>IF(Sheet1[[#This Row],[days_to_process]]&lt;=30,"Fast","Slow")</f>
        <v>Slow</v>
      </c>
    </row>
    <row r="306" spans="1:13" x14ac:dyDescent="0.3">
      <c r="A306" t="s">
        <v>615</v>
      </c>
      <c r="B306" s="2" t="s">
        <v>616</v>
      </c>
      <c r="C306" s="1">
        <v>45329</v>
      </c>
      <c r="D306" s="35">
        <v>46582.93</v>
      </c>
      <c r="E306" s="2" t="s">
        <v>10</v>
      </c>
      <c r="F306" s="2" t="s">
        <v>23</v>
      </c>
      <c r="G306" s="2" t="s">
        <v>12</v>
      </c>
      <c r="H306">
        <v>37</v>
      </c>
      <c r="I306" s="2" t="str">
        <f>TEXT(Sheet1[[#This Row],[claim_date]],"mmmm")</f>
        <v>February</v>
      </c>
      <c r="J306" s="2">
        <f>YEAR(Sheet1[[#This Row],[claim_date]])</f>
        <v>2024</v>
      </c>
      <c r="K306" s="2" t="str">
        <f>"Q"&amp;ROUNDUP(MONTH(Sheet1[[#This Row],[claim_date]])/3,0)</f>
        <v>Q1</v>
      </c>
      <c r="L306" s="2" t="str">
        <f>IF(Sheet1[[#This Row],[claim_amount]]&lt;100000,"Low",IF(Sheet1[[#This Row],[claim_amount]]&lt;200000,"Medium","High"))</f>
        <v>Low</v>
      </c>
      <c r="M306" s="2" t="str">
        <f>IF(Sheet1[[#This Row],[days_to_process]]&lt;=30,"Fast","Slow")</f>
        <v>Slow</v>
      </c>
    </row>
    <row r="307" spans="1:13" x14ac:dyDescent="0.3">
      <c r="A307" t="s">
        <v>617</v>
      </c>
      <c r="B307" s="2" t="s">
        <v>618</v>
      </c>
      <c r="C307" s="1">
        <v>44908</v>
      </c>
      <c r="D307" s="35">
        <v>140450.99</v>
      </c>
      <c r="E307" s="2" t="s">
        <v>10</v>
      </c>
      <c r="F307" s="2" t="s">
        <v>23</v>
      </c>
      <c r="G307" s="2" t="s">
        <v>12</v>
      </c>
      <c r="H307">
        <v>39</v>
      </c>
      <c r="I307" s="2" t="str">
        <f>TEXT(Sheet1[[#This Row],[claim_date]],"mmmm")</f>
        <v>December</v>
      </c>
      <c r="J307" s="2">
        <f>YEAR(Sheet1[[#This Row],[claim_date]])</f>
        <v>2022</v>
      </c>
      <c r="K307" s="2" t="str">
        <f>"Q"&amp;ROUNDUP(MONTH(Sheet1[[#This Row],[claim_date]])/3,0)</f>
        <v>Q4</v>
      </c>
      <c r="L307" s="2" t="str">
        <f>IF(Sheet1[[#This Row],[claim_amount]]&lt;100000,"Low",IF(Sheet1[[#This Row],[claim_amount]]&lt;200000,"Medium","High"))</f>
        <v>Medium</v>
      </c>
      <c r="M307" s="2" t="str">
        <f>IF(Sheet1[[#This Row],[days_to_process]]&lt;=30,"Fast","Slow")</f>
        <v>Slow</v>
      </c>
    </row>
    <row r="308" spans="1:13" x14ac:dyDescent="0.3">
      <c r="A308" t="s">
        <v>619</v>
      </c>
      <c r="B308" s="2" t="s">
        <v>600</v>
      </c>
      <c r="C308" s="1">
        <v>45508</v>
      </c>
      <c r="D308" s="35">
        <v>470528.37</v>
      </c>
      <c r="E308" s="2" t="s">
        <v>10</v>
      </c>
      <c r="F308" s="2" t="s">
        <v>23</v>
      </c>
      <c r="G308" s="2" t="s">
        <v>12</v>
      </c>
      <c r="H308">
        <v>32</v>
      </c>
      <c r="I308" s="2" t="str">
        <f>TEXT(Sheet1[[#This Row],[claim_date]],"mmmm")</f>
        <v>August</v>
      </c>
      <c r="J308" s="2">
        <f>YEAR(Sheet1[[#This Row],[claim_date]])</f>
        <v>2024</v>
      </c>
      <c r="K308" s="2" t="str">
        <f>"Q"&amp;ROUNDUP(MONTH(Sheet1[[#This Row],[claim_date]])/3,0)</f>
        <v>Q3</v>
      </c>
      <c r="L308" s="2" t="str">
        <f>IF(Sheet1[[#This Row],[claim_amount]]&lt;100000,"Low",IF(Sheet1[[#This Row],[claim_amount]]&lt;200000,"Medium","High"))</f>
        <v>High</v>
      </c>
      <c r="M308" s="2" t="str">
        <f>IF(Sheet1[[#This Row],[days_to_process]]&lt;=30,"Fast","Slow")</f>
        <v>Slow</v>
      </c>
    </row>
    <row r="309" spans="1:13" x14ac:dyDescent="0.3">
      <c r="A309" t="s">
        <v>620</v>
      </c>
      <c r="B309" s="2" t="s">
        <v>621</v>
      </c>
      <c r="C309" s="1">
        <v>44539</v>
      </c>
      <c r="D309" s="35">
        <v>335500.18</v>
      </c>
      <c r="E309" s="2" t="s">
        <v>15</v>
      </c>
      <c r="F309" s="2" t="s">
        <v>11</v>
      </c>
      <c r="G309" s="2" t="s">
        <v>24</v>
      </c>
      <c r="H309">
        <v>44</v>
      </c>
      <c r="I309" s="2" t="str">
        <f>TEXT(Sheet1[[#This Row],[claim_date]],"mmmm")</f>
        <v>December</v>
      </c>
      <c r="J309" s="2">
        <f>YEAR(Sheet1[[#This Row],[claim_date]])</f>
        <v>2021</v>
      </c>
      <c r="K309" s="2" t="str">
        <f>"Q"&amp;ROUNDUP(MONTH(Sheet1[[#This Row],[claim_date]])/3,0)</f>
        <v>Q4</v>
      </c>
      <c r="L309" s="2" t="str">
        <f>IF(Sheet1[[#This Row],[claim_amount]]&lt;100000,"Low",IF(Sheet1[[#This Row],[claim_amount]]&lt;200000,"Medium","High"))</f>
        <v>High</v>
      </c>
      <c r="M309" s="2" t="str">
        <f>IF(Sheet1[[#This Row],[days_to_process]]&lt;=30,"Fast","Slow")</f>
        <v>Slow</v>
      </c>
    </row>
    <row r="310" spans="1:13" x14ac:dyDescent="0.3">
      <c r="A310" t="s">
        <v>622</v>
      </c>
      <c r="B310" s="2" t="s">
        <v>623</v>
      </c>
      <c r="C310" s="1">
        <v>45134</v>
      </c>
      <c r="D310" s="35">
        <v>453829.56</v>
      </c>
      <c r="E310" s="2" t="s">
        <v>10</v>
      </c>
      <c r="F310" s="2" t="s">
        <v>11</v>
      </c>
      <c r="G310" s="2" t="s">
        <v>12</v>
      </c>
      <c r="H310">
        <v>51</v>
      </c>
      <c r="I310" s="2" t="str">
        <f>TEXT(Sheet1[[#This Row],[claim_date]],"mmmm")</f>
        <v>July</v>
      </c>
      <c r="J310" s="2">
        <f>YEAR(Sheet1[[#This Row],[claim_date]])</f>
        <v>2023</v>
      </c>
      <c r="K310" s="2" t="str">
        <f>"Q"&amp;ROUNDUP(MONTH(Sheet1[[#This Row],[claim_date]])/3,0)</f>
        <v>Q3</v>
      </c>
      <c r="L310" s="2" t="str">
        <f>IF(Sheet1[[#This Row],[claim_amount]]&lt;100000,"Low",IF(Sheet1[[#This Row],[claim_amount]]&lt;200000,"Medium","High"))</f>
        <v>High</v>
      </c>
      <c r="M310" s="2" t="str">
        <f>IF(Sheet1[[#This Row],[days_to_process]]&lt;=30,"Fast","Slow")</f>
        <v>Slow</v>
      </c>
    </row>
    <row r="311" spans="1:13" x14ac:dyDescent="0.3">
      <c r="A311" t="s">
        <v>624</v>
      </c>
      <c r="B311" s="2" t="s">
        <v>493</v>
      </c>
      <c r="C311" s="1">
        <v>45295</v>
      </c>
      <c r="D311" s="35">
        <v>122461.9</v>
      </c>
      <c r="E311" s="2" t="s">
        <v>10</v>
      </c>
      <c r="F311" s="2" t="s">
        <v>34</v>
      </c>
      <c r="G311" s="2" t="s">
        <v>24</v>
      </c>
      <c r="H311">
        <v>7</v>
      </c>
      <c r="I311" s="2" t="str">
        <f>TEXT(Sheet1[[#This Row],[claim_date]],"mmmm")</f>
        <v>January</v>
      </c>
      <c r="J311" s="2">
        <f>YEAR(Sheet1[[#This Row],[claim_date]])</f>
        <v>2024</v>
      </c>
      <c r="K311" s="2" t="str">
        <f>"Q"&amp;ROUNDUP(MONTH(Sheet1[[#This Row],[claim_date]])/3,0)</f>
        <v>Q1</v>
      </c>
      <c r="L311" s="2" t="str">
        <f>IF(Sheet1[[#This Row],[claim_amount]]&lt;100000,"Low",IF(Sheet1[[#This Row],[claim_amount]]&lt;200000,"Medium","High"))</f>
        <v>Medium</v>
      </c>
      <c r="M311" s="2" t="str">
        <f>IF(Sheet1[[#This Row],[days_to_process]]&lt;=30,"Fast","Slow")</f>
        <v>Fast</v>
      </c>
    </row>
    <row r="312" spans="1:13" x14ac:dyDescent="0.3">
      <c r="A312" t="s">
        <v>625</v>
      </c>
      <c r="B312" s="2" t="s">
        <v>626</v>
      </c>
      <c r="C312" s="1">
        <v>45157</v>
      </c>
      <c r="D312" s="35">
        <v>295693.17</v>
      </c>
      <c r="E312" s="2" t="s">
        <v>19</v>
      </c>
      <c r="F312" s="2" t="s">
        <v>20</v>
      </c>
      <c r="G312" s="2" t="s">
        <v>12</v>
      </c>
      <c r="H312">
        <v>29</v>
      </c>
      <c r="I312" s="2" t="str">
        <f>TEXT(Sheet1[[#This Row],[claim_date]],"mmmm")</f>
        <v>August</v>
      </c>
      <c r="J312" s="2">
        <f>YEAR(Sheet1[[#This Row],[claim_date]])</f>
        <v>2023</v>
      </c>
      <c r="K312" s="2" t="str">
        <f>"Q"&amp;ROUNDUP(MONTH(Sheet1[[#This Row],[claim_date]])/3,0)</f>
        <v>Q3</v>
      </c>
      <c r="L312" s="2" t="str">
        <f>IF(Sheet1[[#This Row],[claim_amount]]&lt;100000,"Low",IF(Sheet1[[#This Row],[claim_amount]]&lt;200000,"Medium","High"))</f>
        <v>High</v>
      </c>
      <c r="M312" s="2" t="str">
        <f>IF(Sheet1[[#This Row],[days_to_process]]&lt;=30,"Fast","Slow")</f>
        <v>Fast</v>
      </c>
    </row>
    <row r="313" spans="1:13" x14ac:dyDescent="0.3">
      <c r="A313" t="s">
        <v>627</v>
      </c>
      <c r="B313" s="2" t="s">
        <v>628</v>
      </c>
      <c r="C313" s="1">
        <v>45492</v>
      </c>
      <c r="D313" s="35">
        <v>151964.19</v>
      </c>
      <c r="E313" s="2" t="s">
        <v>15</v>
      </c>
      <c r="F313" s="2" t="s">
        <v>23</v>
      </c>
      <c r="G313" s="2" t="s">
        <v>24</v>
      </c>
      <c r="H313">
        <v>39</v>
      </c>
      <c r="I313" s="2" t="str">
        <f>TEXT(Sheet1[[#This Row],[claim_date]],"mmmm")</f>
        <v>July</v>
      </c>
      <c r="J313" s="2">
        <f>YEAR(Sheet1[[#This Row],[claim_date]])</f>
        <v>2024</v>
      </c>
      <c r="K313" s="2" t="str">
        <f>"Q"&amp;ROUNDUP(MONTH(Sheet1[[#This Row],[claim_date]])/3,0)</f>
        <v>Q3</v>
      </c>
      <c r="L313" s="2" t="str">
        <f>IF(Sheet1[[#This Row],[claim_amount]]&lt;100000,"Low",IF(Sheet1[[#This Row],[claim_amount]]&lt;200000,"Medium","High"))</f>
        <v>Medium</v>
      </c>
      <c r="M313" s="2" t="str">
        <f>IF(Sheet1[[#This Row],[days_to_process]]&lt;=30,"Fast","Slow")</f>
        <v>Slow</v>
      </c>
    </row>
    <row r="314" spans="1:13" x14ac:dyDescent="0.3">
      <c r="A314" t="s">
        <v>629</v>
      </c>
      <c r="B314" s="2" t="s">
        <v>630</v>
      </c>
      <c r="C314" s="1">
        <v>45456</v>
      </c>
      <c r="D314" s="35">
        <v>402535.06</v>
      </c>
      <c r="E314" s="2" t="s">
        <v>19</v>
      </c>
      <c r="F314" s="2" t="s">
        <v>11</v>
      </c>
      <c r="G314" s="2" t="s">
        <v>12</v>
      </c>
      <c r="H314">
        <v>9</v>
      </c>
      <c r="I314" s="2" t="str">
        <f>TEXT(Sheet1[[#This Row],[claim_date]],"mmmm")</f>
        <v>June</v>
      </c>
      <c r="J314" s="2">
        <f>YEAR(Sheet1[[#This Row],[claim_date]])</f>
        <v>2024</v>
      </c>
      <c r="K314" s="2" t="str">
        <f>"Q"&amp;ROUNDUP(MONTH(Sheet1[[#This Row],[claim_date]])/3,0)</f>
        <v>Q2</v>
      </c>
      <c r="L314" s="2" t="str">
        <f>IF(Sheet1[[#This Row],[claim_amount]]&lt;100000,"Low",IF(Sheet1[[#This Row],[claim_amount]]&lt;200000,"Medium","High"))</f>
        <v>High</v>
      </c>
      <c r="M314" s="2" t="str">
        <f>IF(Sheet1[[#This Row],[days_to_process]]&lt;=30,"Fast","Slow")</f>
        <v>Fast</v>
      </c>
    </row>
    <row r="315" spans="1:13" x14ac:dyDescent="0.3">
      <c r="A315" t="s">
        <v>631</v>
      </c>
      <c r="B315" s="2" t="s">
        <v>632</v>
      </c>
      <c r="C315" s="1">
        <v>45336</v>
      </c>
      <c r="D315" s="35">
        <v>190503.64</v>
      </c>
      <c r="E315" s="2" t="s">
        <v>19</v>
      </c>
      <c r="F315" s="2" t="s">
        <v>20</v>
      </c>
      <c r="G315" s="2" t="s">
        <v>12</v>
      </c>
      <c r="H315">
        <v>40</v>
      </c>
      <c r="I315" s="2" t="str">
        <f>TEXT(Sheet1[[#This Row],[claim_date]],"mmmm")</f>
        <v>February</v>
      </c>
      <c r="J315" s="2">
        <f>YEAR(Sheet1[[#This Row],[claim_date]])</f>
        <v>2024</v>
      </c>
      <c r="K315" s="2" t="str">
        <f>"Q"&amp;ROUNDUP(MONTH(Sheet1[[#This Row],[claim_date]])/3,0)</f>
        <v>Q1</v>
      </c>
      <c r="L315" s="2" t="str">
        <f>IF(Sheet1[[#This Row],[claim_amount]]&lt;100000,"Low",IF(Sheet1[[#This Row],[claim_amount]]&lt;200000,"Medium","High"))</f>
        <v>Medium</v>
      </c>
      <c r="M315" s="2" t="str">
        <f>IF(Sheet1[[#This Row],[days_to_process]]&lt;=30,"Fast","Slow")</f>
        <v>Slow</v>
      </c>
    </row>
    <row r="316" spans="1:13" x14ac:dyDescent="0.3">
      <c r="A316" t="s">
        <v>633</v>
      </c>
      <c r="B316" s="2" t="s">
        <v>634</v>
      </c>
      <c r="C316" s="1">
        <v>45067</v>
      </c>
      <c r="D316" s="35">
        <v>345592.82</v>
      </c>
      <c r="E316" s="2" t="s">
        <v>15</v>
      </c>
      <c r="F316" s="2" t="s">
        <v>11</v>
      </c>
      <c r="G316" s="2" t="s">
        <v>24</v>
      </c>
      <c r="H316">
        <v>29</v>
      </c>
      <c r="I316" s="2" t="str">
        <f>TEXT(Sheet1[[#This Row],[claim_date]],"mmmm")</f>
        <v>May</v>
      </c>
      <c r="J316" s="2">
        <f>YEAR(Sheet1[[#This Row],[claim_date]])</f>
        <v>2023</v>
      </c>
      <c r="K316" s="2" t="str">
        <f>"Q"&amp;ROUNDUP(MONTH(Sheet1[[#This Row],[claim_date]])/3,0)</f>
        <v>Q2</v>
      </c>
      <c r="L316" s="2" t="str">
        <f>IF(Sheet1[[#This Row],[claim_amount]]&lt;100000,"Low",IF(Sheet1[[#This Row],[claim_amount]]&lt;200000,"Medium","High"))</f>
        <v>High</v>
      </c>
      <c r="M316" s="2" t="str">
        <f>IF(Sheet1[[#This Row],[days_to_process]]&lt;=30,"Fast","Slow")</f>
        <v>Fast</v>
      </c>
    </row>
    <row r="317" spans="1:13" x14ac:dyDescent="0.3">
      <c r="A317" t="s">
        <v>635</v>
      </c>
      <c r="B317" s="2" t="s">
        <v>636</v>
      </c>
      <c r="C317" s="1">
        <v>45104</v>
      </c>
      <c r="D317" s="35">
        <v>61637.25</v>
      </c>
      <c r="E317" s="2" t="s">
        <v>19</v>
      </c>
      <c r="F317" s="2" t="s">
        <v>23</v>
      </c>
      <c r="G317" s="2" t="s">
        <v>24</v>
      </c>
      <c r="H317">
        <v>42</v>
      </c>
      <c r="I317" s="2" t="str">
        <f>TEXT(Sheet1[[#This Row],[claim_date]],"mmmm")</f>
        <v>June</v>
      </c>
      <c r="J317" s="2">
        <f>YEAR(Sheet1[[#This Row],[claim_date]])</f>
        <v>2023</v>
      </c>
      <c r="K317" s="2" t="str">
        <f>"Q"&amp;ROUNDUP(MONTH(Sheet1[[#This Row],[claim_date]])/3,0)</f>
        <v>Q2</v>
      </c>
      <c r="L317" s="2" t="str">
        <f>IF(Sheet1[[#This Row],[claim_amount]]&lt;100000,"Low",IF(Sheet1[[#This Row],[claim_amount]]&lt;200000,"Medium","High"))</f>
        <v>Low</v>
      </c>
      <c r="M317" s="2" t="str">
        <f>IF(Sheet1[[#This Row],[days_to_process]]&lt;=30,"Fast","Slow")</f>
        <v>Slow</v>
      </c>
    </row>
    <row r="318" spans="1:13" x14ac:dyDescent="0.3">
      <c r="A318" t="s">
        <v>637</v>
      </c>
      <c r="B318" s="2" t="s">
        <v>638</v>
      </c>
      <c r="C318" s="1">
        <v>44745</v>
      </c>
      <c r="D318" s="35">
        <v>372045.44</v>
      </c>
      <c r="E318" s="2" t="s">
        <v>10</v>
      </c>
      <c r="F318" s="2" t="s">
        <v>23</v>
      </c>
      <c r="G318" s="2" t="s">
        <v>24</v>
      </c>
      <c r="H318">
        <v>39</v>
      </c>
      <c r="I318" s="2" t="str">
        <f>TEXT(Sheet1[[#This Row],[claim_date]],"mmmm")</f>
        <v>July</v>
      </c>
      <c r="J318" s="2">
        <f>YEAR(Sheet1[[#This Row],[claim_date]])</f>
        <v>2022</v>
      </c>
      <c r="K318" s="2" t="str">
        <f>"Q"&amp;ROUNDUP(MONTH(Sheet1[[#This Row],[claim_date]])/3,0)</f>
        <v>Q3</v>
      </c>
      <c r="L318" s="2" t="str">
        <f>IF(Sheet1[[#This Row],[claim_amount]]&lt;100000,"Low",IF(Sheet1[[#This Row],[claim_amount]]&lt;200000,"Medium","High"))</f>
        <v>High</v>
      </c>
      <c r="M318" s="2" t="str">
        <f>IF(Sheet1[[#This Row],[days_to_process]]&lt;=30,"Fast","Slow")</f>
        <v>Slow</v>
      </c>
    </row>
    <row r="319" spans="1:13" x14ac:dyDescent="0.3">
      <c r="A319" t="s">
        <v>639</v>
      </c>
      <c r="B319" s="2" t="s">
        <v>274</v>
      </c>
      <c r="C319" s="1">
        <v>45045</v>
      </c>
      <c r="D319" s="35">
        <v>208271.16</v>
      </c>
      <c r="E319" s="2" t="s">
        <v>15</v>
      </c>
      <c r="F319" s="2" t="s">
        <v>16</v>
      </c>
      <c r="G319" s="2" t="s">
        <v>12</v>
      </c>
      <c r="H319">
        <v>29</v>
      </c>
      <c r="I319" s="2" t="str">
        <f>TEXT(Sheet1[[#This Row],[claim_date]],"mmmm")</f>
        <v>April</v>
      </c>
      <c r="J319" s="2">
        <f>YEAR(Sheet1[[#This Row],[claim_date]])</f>
        <v>2023</v>
      </c>
      <c r="K319" s="2" t="str">
        <f>"Q"&amp;ROUNDUP(MONTH(Sheet1[[#This Row],[claim_date]])/3,0)</f>
        <v>Q2</v>
      </c>
      <c r="L319" s="2" t="str">
        <f>IF(Sheet1[[#This Row],[claim_amount]]&lt;100000,"Low",IF(Sheet1[[#This Row],[claim_amount]]&lt;200000,"Medium","High"))</f>
        <v>High</v>
      </c>
      <c r="M319" s="2" t="str">
        <f>IF(Sheet1[[#This Row],[days_to_process]]&lt;=30,"Fast","Slow")</f>
        <v>Fast</v>
      </c>
    </row>
    <row r="320" spans="1:13" x14ac:dyDescent="0.3">
      <c r="A320" t="s">
        <v>640</v>
      </c>
      <c r="B320" s="2" t="s">
        <v>641</v>
      </c>
      <c r="C320" s="1">
        <v>44910</v>
      </c>
      <c r="D320" s="35">
        <v>354897.64</v>
      </c>
      <c r="E320" s="2" t="s">
        <v>15</v>
      </c>
      <c r="F320" s="2" t="s">
        <v>16</v>
      </c>
      <c r="G320" s="2" t="s">
        <v>24</v>
      </c>
      <c r="H320">
        <v>47</v>
      </c>
      <c r="I320" s="2" t="str">
        <f>TEXT(Sheet1[[#This Row],[claim_date]],"mmmm")</f>
        <v>December</v>
      </c>
      <c r="J320" s="2">
        <f>YEAR(Sheet1[[#This Row],[claim_date]])</f>
        <v>2022</v>
      </c>
      <c r="K320" s="2" t="str">
        <f>"Q"&amp;ROUNDUP(MONTH(Sheet1[[#This Row],[claim_date]])/3,0)</f>
        <v>Q4</v>
      </c>
      <c r="L320" s="2" t="str">
        <f>IF(Sheet1[[#This Row],[claim_amount]]&lt;100000,"Low",IF(Sheet1[[#This Row],[claim_amount]]&lt;200000,"Medium","High"))</f>
        <v>High</v>
      </c>
      <c r="M320" s="2" t="str">
        <f>IF(Sheet1[[#This Row],[days_to_process]]&lt;=30,"Fast","Slow")</f>
        <v>Slow</v>
      </c>
    </row>
    <row r="321" spans="1:13" x14ac:dyDescent="0.3">
      <c r="A321" t="s">
        <v>642</v>
      </c>
      <c r="B321" s="2" t="s">
        <v>570</v>
      </c>
      <c r="C321" s="1">
        <v>45570</v>
      </c>
      <c r="D321" s="35">
        <v>76140.63</v>
      </c>
      <c r="E321" s="2" t="s">
        <v>15</v>
      </c>
      <c r="F321" s="2" t="s">
        <v>11</v>
      </c>
      <c r="G321" s="2" t="s">
        <v>24</v>
      </c>
      <c r="H321">
        <v>18</v>
      </c>
      <c r="I321" s="2" t="str">
        <f>TEXT(Sheet1[[#This Row],[claim_date]],"mmmm")</f>
        <v>October</v>
      </c>
      <c r="J321" s="2">
        <f>YEAR(Sheet1[[#This Row],[claim_date]])</f>
        <v>2024</v>
      </c>
      <c r="K321" s="2" t="str">
        <f>"Q"&amp;ROUNDUP(MONTH(Sheet1[[#This Row],[claim_date]])/3,0)</f>
        <v>Q4</v>
      </c>
      <c r="L321" s="2" t="str">
        <f>IF(Sheet1[[#This Row],[claim_amount]]&lt;100000,"Low",IF(Sheet1[[#This Row],[claim_amount]]&lt;200000,"Medium","High"))</f>
        <v>Low</v>
      </c>
      <c r="M321" s="2" t="str">
        <f>IF(Sheet1[[#This Row],[days_to_process]]&lt;=30,"Fast","Slow")</f>
        <v>Fast</v>
      </c>
    </row>
    <row r="322" spans="1:13" x14ac:dyDescent="0.3">
      <c r="A322" t="s">
        <v>643</v>
      </c>
      <c r="B322" s="2" t="s">
        <v>644</v>
      </c>
      <c r="C322" s="1">
        <v>44585</v>
      </c>
      <c r="D322" s="35">
        <v>371289.11</v>
      </c>
      <c r="E322" s="2" t="s">
        <v>10</v>
      </c>
      <c r="F322" s="2" t="s">
        <v>23</v>
      </c>
      <c r="G322" s="2" t="s">
        <v>12</v>
      </c>
      <c r="H322">
        <v>57</v>
      </c>
      <c r="I322" s="2" t="str">
        <f>TEXT(Sheet1[[#This Row],[claim_date]],"mmmm")</f>
        <v>January</v>
      </c>
      <c r="J322" s="2">
        <f>YEAR(Sheet1[[#This Row],[claim_date]])</f>
        <v>2022</v>
      </c>
      <c r="K322" s="2" t="str">
        <f>"Q"&amp;ROUNDUP(MONTH(Sheet1[[#This Row],[claim_date]])/3,0)</f>
        <v>Q1</v>
      </c>
      <c r="L322" s="2" t="str">
        <f>IF(Sheet1[[#This Row],[claim_amount]]&lt;100000,"Low",IF(Sheet1[[#This Row],[claim_amount]]&lt;200000,"Medium","High"))</f>
        <v>High</v>
      </c>
      <c r="M322" s="2" t="str">
        <f>IF(Sheet1[[#This Row],[days_to_process]]&lt;=30,"Fast","Slow")</f>
        <v>Slow</v>
      </c>
    </row>
    <row r="323" spans="1:13" x14ac:dyDescent="0.3">
      <c r="A323" t="s">
        <v>645</v>
      </c>
      <c r="B323" s="2" t="s">
        <v>646</v>
      </c>
      <c r="C323" s="1">
        <v>45762</v>
      </c>
      <c r="D323" s="35">
        <v>164222.81</v>
      </c>
      <c r="E323" s="2" t="s">
        <v>19</v>
      </c>
      <c r="F323" s="2" t="s">
        <v>11</v>
      </c>
      <c r="G323" s="2" t="s">
        <v>24</v>
      </c>
      <c r="H323">
        <v>34</v>
      </c>
      <c r="I323" s="2" t="str">
        <f>TEXT(Sheet1[[#This Row],[claim_date]],"mmmm")</f>
        <v>April</v>
      </c>
      <c r="J323" s="2">
        <f>YEAR(Sheet1[[#This Row],[claim_date]])</f>
        <v>2025</v>
      </c>
      <c r="K323" s="2" t="str">
        <f>"Q"&amp;ROUNDUP(MONTH(Sheet1[[#This Row],[claim_date]])/3,0)</f>
        <v>Q2</v>
      </c>
      <c r="L323" s="2" t="str">
        <f>IF(Sheet1[[#This Row],[claim_amount]]&lt;100000,"Low",IF(Sheet1[[#This Row],[claim_amount]]&lt;200000,"Medium","High"))</f>
        <v>Medium</v>
      </c>
      <c r="M323" s="2" t="str">
        <f>IF(Sheet1[[#This Row],[days_to_process]]&lt;=30,"Fast","Slow")</f>
        <v>Slow</v>
      </c>
    </row>
    <row r="324" spans="1:13" x14ac:dyDescent="0.3">
      <c r="A324" t="s">
        <v>647</v>
      </c>
      <c r="B324" s="2" t="s">
        <v>648</v>
      </c>
      <c r="C324" s="1">
        <v>45053</v>
      </c>
      <c r="D324" s="35">
        <v>398322</v>
      </c>
      <c r="E324" s="2" t="s">
        <v>10</v>
      </c>
      <c r="F324" s="2" t="s">
        <v>11</v>
      </c>
      <c r="G324" s="2" t="s">
        <v>12</v>
      </c>
      <c r="H324">
        <v>58</v>
      </c>
      <c r="I324" s="2" t="str">
        <f>TEXT(Sheet1[[#This Row],[claim_date]],"mmmm")</f>
        <v>May</v>
      </c>
      <c r="J324" s="2">
        <f>YEAR(Sheet1[[#This Row],[claim_date]])</f>
        <v>2023</v>
      </c>
      <c r="K324" s="2" t="str">
        <f>"Q"&amp;ROUNDUP(MONTH(Sheet1[[#This Row],[claim_date]])/3,0)</f>
        <v>Q2</v>
      </c>
      <c r="L324" s="2" t="str">
        <f>IF(Sheet1[[#This Row],[claim_amount]]&lt;100000,"Low",IF(Sheet1[[#This Row],[claim_amount]]&lt;200000,"Medium","High"))</f>
        <v>High</v>
      </c>
      <c r="M324" s="2" t="str">
        <f>IF(Sheet1[[#This Row],[days_to_process]]&lt;=30,"Fast","Slow")</f>
        <v>Slow</v>
      </c>
    </row>
    <row r="325" spans="1:13" x14ac:dyDescent="0.3">
      <c r="A325" t="s">
        <v>649</v>
      </c>
      <c r="B325" s="2" t="s">
        <v>650</v>
      </c>
      <c r="C325" s="1">
        <v>45032</v>
      </c>
      <c r="D325" s="35">
        <v>61320.62</v>
      </c>
      <c r="E325" s="2" t="s">
        <v>10</v>
      </c>
      <c r="F325" s="2" t="s">
        <v>20</v>
      </c>
      <c r="G325" s="2" t="s">
        <v>24</v>
      </c>
      <c r="H325">
        <v>44</v>
      </c>
      <c r="I325" s="2" t="str">
        <f>TEXT(Sheet1[[#This Row],[claim_date]],"mmmm")</f>
        <v>April</v>
      </c>
      <c r="J325" s="2">
        <f>YEAR(Sheet1[[#This Row],[claim_date]])</f>
        <v>2023</v>
      </c>
      <c r="K325" s="2" t="str">
        <f>"Q"&amp;ROUNDUP(MONTH(Sheet1[[#This Row],[claim_date]])/3,0)</f>
        <v>Q2</v>
      </c>
      <c r="L325" s="2" t="str">
        <f>IF(Sheet1[[#This Row],[claim_amount]]&lt;100000,"Low",IF(Sheet1[[#This Row],[claim_amount]]&lt;200000,"Medium","High"))</f>
        <v>Low</v>
      </c>
      <c r="M325" s="2" t="str">
        <f>IF(Sheet1[[#This Row],[days_to_process]]&lt;=30,"Fast","Slow")</f>
        <v>Slow</v>
      </c>
    </row>
    <row r="326" spans="1:13" x14ac:dyDescent="0.3">
      <c r="A326" t="s">
        <v>651</v>
      </c>
      <c r="B326" s="2" t="s">
        <v>652</v>
      </c>
      <c r="C326" s="1">
        <v>45094</v>
      </c>
      <c r="D326" s="35">
        <v>345929.62</v>
      </c>
      <c r="E326" s="2" t="s">
        <v>15</v>
      </c>
      <c r="F326" s="2" t="s">
        <v>23</v>
      </c>
      <c r="G326" s="2" t="s">
        <v>24</v>
      </c>
      <c r="H326">
        <v>12</v>
      </c>
      <c r="I326" s="2" t="str">
        <f>TEXT(Sheet1[[#This Row],[claim_date]],"mmmm")</f>
        <v>June</v>
      </c>
      <c r="J326" s="2">
        <f>YEAR(Sheet1[[#This Row],[claim_date]])</f>
        <v>2023</v>
      </c>
      <c r="K326" s="2" t="str">
        <f>"Q"&amp;ROUNDUP(MONTH(Sheet1[[#This Row],[claim_date]])/3,0)</f>
        <v>Q2</v>
      </c>
      <c r="L326" s="2" t="str">
        <f>IF(Sheet1[[#This Row],[claim_amount]]&lt;100000,"Low",IF(Sheet1[[#This Row],[claim_amount]]&lt;200000,"Medium","High"))</f>
        <v>High</v>
      </c>
      <c r="M326" s="2" t="str">
        <f>IF(Sheet1[[#This Row],[days_to_process]]&lt;=30,"Fast","Slow")</f>
        <v>Fast</v>
      </c>
    </row>
    <row r="327" spans="1:13" x14ac:dyDescent="0.3">
      <c r="A327" t="s">
        <v>653</v>
      </c>
      <c r="B327" s="2" t="s">
        <v>654</v>
      </c>
      <c r="C327" s="1">
        <v>44853</v>
      </c>
      <c r="D327" s="35">
        <v>310183.83</v>
      </c>
      <c r="E327" s="2" t="s">
        <v>10</v>
      </c>
      <c r="F327" s="2" t="s">
        <v>34</v>
      </c>
      <c r="G327" s="2" t="s">
        <v>24</v>
      </c>
      <c r="H327">
        <v>48</v>
      </c>
      <c r="I327" s="2" t="str">
        <f>TEXT(Sheet1[[#This Row],[claim_date]],"mmmm")</f>
        <v>October</v>
      </c>
      <c r="J327" s="2">
        <f>YEAR(Sheet1[[#This Row],[claim_date]])</f>
        <v>2022</v>
      </c>
      <c r="K327" s="2" t="str">
        <f>"Q"&amp;ROUNDUP(MONTH(Sheet1[[#This Row],[claim_date]])/3,0)</f>
        <v>Q4</v>
      </c>
      <c r="L327" s="2" t="str">
        <f>IF(Sheet1[[#This Row],[claim_amount]]&lt;100000,"Low",IF(Sheet1[[#This Row],[claim_amount]]&lt;200000,"Medium","High"))</f>
        <v>High</v>
      </c>
      <c r="M327" s="2" t="str">
        <f>IF(Sheet1[[#This Row],[days_to_process]]&lt;=30,"Fast","Slow")</f>
        <v>Slow</v>
      </c>
    </row>
    <row r="328" spans="1:13" x14ac:dyDescent="0.3">
      <c r="A328" t="s">
        <v>655</v>
      </c>
      <c r="B328" s="2" t="s">
        <v>656</v>
      </c>
      <c r="C328" s="1">
        <v>45244</v>
      </c>
      <c r="D328" s="35">
        <v>409652.99</v>
      </c>
      <c r="E328" s="2" t="s">
        <v>10</v>
      </c>
      <c r="F328" s="2" t="s">
        <v>23</v>
      </c>
      <c r="G328" s="2" t="s">
        <v>24</v>
      </c>
      <c r="H328">
        <v>59</v>
      </c>
      <c r="I328" s="2" t="str">
        <f>TEXT(Sheet1[[#This Row],[claim_date]],"mmmm")</f>
        <v>November</v>
      </c>
      <c r="J328" s="2">
        <f>YEAR(Sheet1[[#This Row],[claim_date]])</f>
        <v>2023</v>
      </c>
      <c r="K328" s="2" t="str">
        <f>"Q"&amp;ROUNDUP(MONTH(Sheet1[[#This Row],[claim_date]])/3,0)</f>
        <v>Q4</v>
      </c>
      <c r="L328" s="2" t="str">
        <f>IF(Sheet1[[#This Row],[claim_amount]]&lt;100000,"Low",IF(Sheet1[[#This Row],[claim_amount]]&lt;200000,"Medium","High"))</f>
        <v>High</v>
      </c>
      <c r="M328" s="2" t="str">
        <f>IF(Sheet1[[#This Row],[days_to_process]]&lt;=30,"Fast","Slow")</f>
        <v>Slow</v>
      </c>
    </row>
    <row r="329" spans="1:13" x14ac:dyDescent="0.3">
      <c r="A329" t="s">
        <v>657</v>
      </c>
      <c r="B329" s="2" t="s">
        <v>658</v>
      </c>
      <c r="C329" s="1">
        <v>44647</v>
      </c>
      <c r="D329" s="35">
        <v>260675.02</v>
      </c>
      <c r="E329" s="2" t="s">
        <v>15</v>
      </c>
      <c r="F329" s="2" t="s">
        <v>23</v>
      </c>
      <c r="G329" s="2" t="s">
        <v>24</v>
      </c>
      <c r="H329">
        <v>20</v>
      </c>
      <c r="I329" s="2" t="str">
        <f>TEXT(Sheet1[[#This Row],[claim_date]],"mmmm")</f>
        <v>March</v>
      </c>
      <c r="J329" s="2">
        <f>YEAR(Sheet1[[#This Row],[claim_date]])</f>
        <v>2022</v>
      </c>
      <c r="K329" s="2" t="str">
        <f>"Q"&amp;ROUNDUP(MONTH(Sheet1[[#This Row],[claim_date]])/3,0)</f>
        <v>Q1</v>
      </c>
      <c r="L329" s="2" t="str">
        <f>IF(Sheet1[[#This Row],[claim_amount]]&lt;100000,"Low",IF(Sheet1[[#This Row],[claim_amount]]&lt;200000,"Medium","High"))</f>
        <v>High</v>
      </c>
      <c r="M329" s="2" t="str">
        <f>IF(Sheet1[[#This Row],[days_to_process]]&lt;=30,"Fast","Slow")</f>
        <v>Fast</v>
      </c>
    </row>
    <row r="330" spans="1:13" x14ac:dyDescent="0.3">
      <c r="A330" t="s">
        <v>659</v>
      </c>
      <c r="B330" s="2" t="s">
        <v>660</v>
      </c>
      <c r="C330" s="1">
        <v>44382</v>
      </c>
      <c r="D330" s="35">
        <v>252516.55</v>
      </c>
      <c r="E330" s="2" t="s">
        <v>19</v>
      </c>
      <c r="F330" s="2" t="s">
        <v>16</v>
      </c>
      <c r="G330" s="2" t="s">
        <v>12</v>
      </c>
      <c r="H330">
        <v>31</v>
      </c>
      <c r="I330" s="2" t="str">
        <f>TEXT(Sheet1[[#This Row],[claim_date]],"mmmm")</f>
        <v>July</v>
      </c>
      <c r="J330" s="2">
        <f>YEAR(Sheet1[[#This Row],[claim_date]])</f>
        <v>2021</v>
      </c>
      <c r="K330" s="2" t="str">
        <f>"Q"&amp;ROUNDUP(MONTH(Sheet1[[#This Row],[claim_date]])/3,0)</f>
        <v>Q3</v>
      </c>
      <c r="L330" s="2" t="str">
        <f>IF(Sheet1[[#This Row],[claim_amount]]&lt;100000,"Low",IF(Sheet1[[#This Row],[claim_amount]]&lt;200000,"Medium","High"))</f>
        <v>High</v>
      </c>
      <c r="M330" s="2" t="str">
        <f>IF(Sheet1[[#This Row],[days_to_process]]&lt;=30,"Fast","Slow")</f>
        <v>Slow</v>
      </c>
    </row>
    <row r="331" spans="1:13" x14ac:dyDescent="0.3">
      <c r="A331" t="s">
        <v>661</v>
      </c>
      <c r="B331" s="2" t="s">
        <v>662</v>
      </c>
      <c r="C331" s="1">
        <v>45346</v>
      </c>
      <c r="D331" s="35">
        <v>288512.78999999998</v>
      </c>
      <c r="E331" s="2" t="s">
        <v>19</v>
      </c>
      <c r="F331" s="2" t="s">
        <v>11</v>
      </c>
      <c r="G331" s="2" t="s">
        <v>12</v>
      </c>
      <c r="H331">
        <v>10</v>
      </c>
      <c r="I331" s="2" t="str">
        <f>TEXT(Sheet1[[#This Row],[claim_date]],"mmmm")</f>
        <v>February</v>
      </c>
      <c r="J331" s="2">
        <f>YEAR(Sheet1[[#This Row],[claim_date]])</f>
        <v>2024</v>
      </c>
      <c r="K331" s="2" t="str">
        <f>"Q"&amp;ROUNDUP(MONTH(Sheet1[[#This Row],[claim_date]])/3,0)</f>
        <v>Q1</v>
      </c>
      <c r="L331" s="2" t="str">
        <f>IF(Sheet1[[#This Row],[claim_amount]]&lt;100000,"Low",IF(Sheet1[[#This Row],[claim_amount]]&lt;200000,"Medium","High"))</f>
        <v>High</v>
      </c>
      <c r="M331" s="2" t="str">
        <f>IF(Sheet1[[#This Row],[days_to_process]]&lt;=30,"Fast","Slow")</f>
        <v>Fast</v>
      </c>
    </row>
    <row r="332" spans="1:13" x14ac:dyDescent="0.3">
      <c r="A332" t="s">
        <v>663</v>
      </c>
      <c r="B332" s="2" t="s">
        <v>664</v>
      </c>
      <c r="C332" s="1">
        <v>45368</v>
      </c>
      <c r="D332" s="35">
        <v>309774.02</v>
      </c>
      <c r="E332" s="2" t="s">
        <v>15</v>
      </c>
      <c r="F332" s="2" t="s">
        <v>11</v>
      </c>
      <c r="G332" s="2" t="s">
        <v>12</v>
      </c>
      <c r="H332">
        <v>8</v>
      </c>
      <c r="I332" s="2" t="str">
        <f>TEXT(Sheet1[[#This Row],[claim_date]],"mmmm")</f>
        <v>March</v>
      </c>
      <c r="J332" s="2">
        <f>YEAR(Sheet1[[#This Row],[claim_date]])</f>
        <v>2024</v>
      </c>
      <c r="K332" s="2" t="str">
        <f>"Q"&amp;ROUNDUP(MONTH(Sheet1[[#This Row],[claim_date]])/3,0)</f>
        <v>Q1</v>
      </c>
      <c r="L332" s="2" t="str">
        <f>IF(Sheet1[[#This Row],[claim_amount]]&lt;100000,"Low",IF(Sheet1[[#This Row],[claim_amount]]&lt;200000,"Medium","High"))</f>
        <v>High</v>
      </c>
      <c r="M332" s="2" t="str">
        <f>IF(Sheet1[[#This Row],[days_to_process]]&lt;=30,"Fast","Slow")</f>
        <v>Fast</v>
      </c>
    </row>
    <row r="333" spans="1:13" x14ac:dyDescent="0.3">
      <c r="A333" t="s">
        <v>665</v>
      </c>
      <c r="B333" s="2" t="s">
        <v>666</v>
      </c>
      <c r="C333" s="1">
        <v>45552</v>
      </c>
      <c r="D333" s="35">
        <v>324348.58</v>
      </c>
      <c r="E333" s="2" t="s">
        <v>10</v>
      </c>
      <c r="F333" s="2" t="s">
        <v>16</v>
      </c>
      <c r="G333" s="2" t="s">
        <v>24</v>
      </c>
      <c r="H333">
        <v>31</v>
      </c>
      <c r="I333" s="2" t="str">
        <f>TEXT(Sheet1[[#This Row],[claim_date]],"mmmm")</f>
        <v>September</v>
      </c>
      <c r="J333" s="2">
        <f>YEAR(Sheet1[[#This Row],[claim_date]])</f>
        <v>2024</v>
      </c>
      <c r="K333" s="2" t="str">
        <f>"Q"&amp;ROUNDUP(MONTH(Sheet1[[#This Row],[claim_date]])/3,0)</f>
        <v>Q3</v>
      </c>
      <c r="L333" s="2" t="str">
        <f>IF(Sheet1[[#This Row],[claim_amount]]&lt;100000,"Low",IF(Sheet1[[#This Row],[claim_amount]]&lt;200000,"Medium","High"))</f>
        <v>High</v>
      </c>
      <c r="M333" s="2" t="str">
        <f>IF(Sheet1[[#This Row],[days_to_process]]&lt;=30,"Fast","Slow")</f>
        <v>Slow</v>
      </c>
    </row>
    <row r="334" spans="1:13" x14ac:dyDescent="0.3">
      <c r="A334" t="s">
        <v>667</v>
      </c>
      <c r="B334" s="2" t="s">
        <v>668</v>
      </c>
      <c r="C334" s="1">
        <v>44503</v>
      </c>
      <c r="D334" s="35">
        <v>125802.81</v>
      </c>
      <c r="E334" s="2" t="s">
        <v>19</v>
      </c>
      <c r="F334" s="2" t="s">
        <v>34</v>
      </c>
      <c r="G334" s="2" t="s">
        <v>12</v>
      </c>
      <c r="H334">
        <v>5</v>
      </c>
      <c r="I334" s="2" t="str">
        <f>TEXT(Sheet1[[#This Row],[claim_date]],"mmmm")</f>
        <v>November</v>
      </c>
      <c r="J334" s="2">
        <f>YEAR(Sheet1[[#This Row],[claim_date]])</f>
        <v>2021</v>
      </c>
      <c r="K334" s="2" t="str">
        <f>"Q"&amp;ROUNDUP(MONTH(Sheet1[[#This Row],[claim_date]])/3,0)</f>
        <v>Q4</v>
      </c>
      <c r="L334" s="2" t="str">
        <f>IF(Sheet1[[#This Row],[claim_amount]]&lt;100000,"Low",IF(Sheet1[[#This Row],[claim_amount]]&lt;200000,"Medium","High"))</f>
        <v>Medium</v>
      </c>
      <c r="M334" s="2" t="str">
        <f>IF(Sheet1[[#This Row],[days_to_process]]&lt;=30,"Fast","Slow")</f>
        <v>Fast</v>
      </c>
    </row>
    <row r="335" spans="1:13" x14ac:dyDescent="0.3">
      <c r="A335" t="s">
        <v>669</v>
      </c>
      <c r="B335" s="2" t="s">
        <v>670</v>
      </c>
      <c r="C335" s="1">
        <v>45306</v>
      </c>
      <c r="D335" s="35">
        <v>383293.96</v>
      </c>
      <c r="E335" s="2" t="s">
        <v>10</v>
      </c>
      <c r="F335" s="2" t="s">
        <v>23</v>
      </c>
      <c r="G335" s="2" t="s">
        <v>12</v>
      </c>
      <c r="H335">
        <v>47</v>
      </c>
      <c r="I335" s="2" t="str">
        <f>TEXT(Sheet1[[#This Row],[claim_date]],"mmmm")</f>
        <v>January</v>
      </c>
      <c r="J335" s="2">
        <f>YEAR(Sheet1[[#This Row],[claim_date]])</f>
        <v>2024</v>
      </c>
      <c r="K335" s="2" t="str">
        <f>"Q"&amp;ROUNDUP(MONTH(Sheet1[[#This Row],[claim_date]])/3,0)</f>
        <v>Q1</v>
      </c>
      <c r="L335" s="2" t="str">
        <f>IF(Sheet1[[#This Row],[claim_amount]]&lt;100000,"Low",IF(Sheet1[[#This Row],[claim_amount]]&lt;200000,"Medium","High"))</f>
        <v>High</v>
      </c>
      <c r="M335" s="2" t="str">
        <f>IF(Sheet1[[#This Row],[days_to_process]]&lt;=30,"Fast","Slow")</f>
        <v>Slow</v>
      </c>
    </row>
    <row r="336" spans="1:13" x14ac:dyDescent="0.3">
      <c r="A336" t="s">
        <v>671</v>
      </c>
      <c r="B336" s="2" t="s">
        <v>672</v>
      </c>
      <c r="C336" s="1">
        <v>44573</v>
      </c>
      <c r="D336" s="35">
        <v>238127.82</v>
      </c>
      <c r="E336" s="2" t="s">
        <v>10</v>
      </c>
      <c r="F336" s="2" t="s">
        <v>23</v>
      </c>
      <c r="G336" s="2" t="s">
        <v>24</v>
      </c>
      <c r="H336">
        <v>18</v>
      </c>
      <c r="I336" s="2" t="str">
        <f>TEXT(Sheet1[[#This Row],[claim_date]],"mmmm")</f>
        <v>January</v>
      </c>
      <c r="J336" s="2">
        <f>YEAR(Sheet1[[#This Row],[claim_date]])</f>
        <v>2022</v>
      </c>
      <c r="K336" s="2" t="str">
        <f>"Q"&amp;ROUNDUP(MONTH(Sheet1[[#This Row],[claim_date]])/3,0)</f>
        <v>Q1</v>
      </c>
      <c r="L336" s="2" t="str">
        <f>IF(Sheet1[[#This Row],[claim_amount]]&lt;100000,"Low",IF(Sheet1[[#This Row],[claim_amount]]&lt;200000,"Medium","High"))</f>
        <v>High</v>
      </c>
      <c r="M336" s="2" t="str">
        <f>IF(Sheet1[[#This Row],[days_to_process]]&lt;=30,"Fast","Slow")</f>
        <v>Fast</v>
      </c>
    </row>
    <row r="337" spans="1:13" x14ac:dyDescent="0.3">
      <c r="A337" t="s">
        <v>673</v>
      </c>
      <c r="B337" s="2" t="s">
        <v>674</v>
      </c>
      <c r="C337" s="1">
        <v>44282</v>
      </c>
      <c r="D337" s="35">
        <v>362798.82</v>
      </c>
      <c r="E337" s="2" t="s">
        <v>10</v>
      </c>
      <c r="F337" s="2" t="s">
        <v>16</v>
      </c>
      <c r="G337" s="2" t="s">
        <v>24</v>
      </c>
      <c r="H337">
        <v>53</v>
      </c>
      <c r="I337" s="2" t="str">
        <f>TEXT(Sheet1[[#This Row],[claim_date]],"mmmm")</f>
        <v>March</v>
      </c>
      <c r="J337" s="2">
        <f>YEAR(Sheet1[[#This Row],[claim_date]])</f>
        <v>2021</v>
      </c>
      <c r="K337" s="2" t="str">
        <f>"Q"&amp;ROUNDUP(MONTH(Sheet1[[#This Row],[claim_date]])/3,0)</f>
        <v>Q1</v>
      </c>
      <c r="L337" s="2" t="str">
        <f>IF(Sheet1[[#This Row],[claim_amount]]&lt;100000,"Low",IF(Sheet1[[#This Row],[claim_amount]]&lt;200000,"Medium","High"))</f>
        <v>High</v>
      </c>
      <c r="M337" s="2" t="str">
        <f>IF(Sheet1[[#This Row],[days_to_process]]&lt;=30,"Fast","Slow")</f>
        <v>Slow</v>
      </c>
    </row>
    <row r="338" spans="1:13" x14ac:dyDescent="0.3">
      <c r="A338" t="s">
        <v>675</v>
      </c>
      <c r="B338" s="2" t="s">
        <v>676</v>
      </c>
      <c r="C338" s="1">
        <v>45439</v>
      </c>
      <c r="D338" s="35">
        <v>59022.83</v>
      </c>
      <c r="E338" s="2" t="s">
        <v>15</v>
      </c>
      <c r="F338" s="2" t="s">
        <v>34</v>
      </c>
      <c r="G338" s="2" t="s">
        <v>24</v>
      </c>
      <c r="H338">
        <v>46</v>
      </c>
      <c r="I338" s="2" t="str">
        <f>TEXT(Sheet1[[#This Row],[claim_date]],"mmmm")</f>
        <v>May</v>
      </c>
      <c r="J338" s="2">
        <f>YEAR(Sheet1[[#This Row],[claim_date]])</f>
        <v>2024</v>
      </c>
      <c r="K338" s="2" t="str">
        <f>"Q"&amp;ROUNDUP(MONTH(Sheet1[[#This Row],[claim_date]])/3,0)</f>
        <v>Q2</v>
      </c>
      <c r="L338" s="2" t="str">
        <f>IF(Sheet1[[#This Row],[claim_amount]]&lt;100000,"Low",IF(Sheet1[[#This Row],[claim_amount]]&lt;200000,"Medium","High"))</f>
        <v>Low</v>
      </c>
      <c r="M338" s="2" t="str">
        <f>IF(Sheet1[[#This Row],[days_to_process]]&lt;=30,"Fast","Slow")</f>
        <v>Slow</v>
      </c>
    </row>
    <row r="339" spans="1:13" x14ac:dyDescent="0.3">
      <c r="A339" t="s">
        <v>677</v>
      </c>
      <c r="B339" s="2" t="s">
        <v>380</v>
      </c>
      <c r="C339" s="1">
        <v>45699</v>
      </c>
      <c r="D339" s="35">
        <v>50727.56</v>
      </c>
      <c r="E339" s="2" t="s">
        <v>15</v>
      </c>
      <c r="F339" s="2" t="s">
        <v>11</v>
      </c>
      <c r="G339" s="2" t="s">
        <v>12</v>
      </c>
      <c r="H339">
        <v>24</v>
      </c>
      <c r="I339" s="2" t="str">
        <f>TEXT(Sheet1[[#This Row],[claim_date]],"mmmm")</f>
        <v>February</v>
      </c>
      <c r="J339" s="2">
        <f>YEAR(Sheet1[[#This Row],[claim_date]])</f>
        <v>2025</v>
      </c>
      <c r="K339" s="2" t="str">
        <f>"Q"&amp;ROUNDUP(MONTH(Sheet1[[#This Row],[claim_date]])/3,0)</f>
        <v>Q1</v>
      </c>
      <c r="L339" s="2" t="str">
        <f>IF(Sheet1[[#This Row],[claim_amount]]&lt;100000,"Low",IF(Sheet1[[#This Row],[claim_amount]]&lt;200000,"Medium","High"))</f>
        <v>Low</v>
      </c>
      <c r="M339" s="2" t="str">
        <f>IF(Sheet1[[#This Row],[days_to_process]]&lt;=30,"Fast","Slow")</f>
        <v>Fast</v>
      </c>
    </row>
    <row r="340" spans="1:13" x14ac:dyDescent="0.3">
      <c r="A340" t="s">
        <v>678</v>
      </c>
      <c r="B340" s="2" t="s">
        <v>679</v>
      </c>
      <c r="C340" s="1">
        <v>44751</v>
      </c>
      <c r="D340" s="35">
        <v>441455.45</v>
      </c>
      <c r="E340" s="2" t="s">
        <v>10</v>
      </c>
      <c r="F340" s="2" t="s">
        <v>23</v>
      </c>
      <c r="G340" s="2" t="s">
        <v>12</v>
      </c>
      <c r="H340">
        <v>28</v>
      </c>
      <c r="I340" s="2" t="str">
        <f>TEXT(Sheet1[[#This Row],[claim_date]],"mmmm")</f>
        <v>July</v>
      </c>
      <c r="J340" s="2">
        <f>YEAR(Sheet1[[#This Row],[claim_date]])</f>
        <v>2022</v>
      </c>
      <c r="K340" s="2" t="str">
        <f>"Q"&amp;ROUNDUP(MONTH(Sheet1[[#This Row],[claim_date]])/3,0)</f>
        <v>Q3</v>
      </c>
      <c r="L340" s="2" t="str">
        <f>IF(Sheet1[[#This Row],[claim_amount]]&lt;100000,"Low",IF(Sheet1[[#This Row],[claim_amount]]&lt;200000,"Medium","High"))</f>
        <v>High</v>
      </c>
      <c r="M340" s="2" t="str">
        <f>IF(Sheet1[[#This Row],[days_to_process]]&lt;=30,"Fast","Slow")</f>
        <v>Fast</v>
      </c>
    </row>
    <row r="341" spans="1:13" x14ac:dyDescent="0.3">
      <c r="A341" t="s">
        <v>680</v>
      </c>
      <c r="B341" s="2" t="s">
        <v>681</v>
      </c>
      <c r="C341" s="1">
        <v>45549</v>
      </c>
      <c r="D341" s="35">
        <v>381091.48</v>
      </c>
      <c r="E341" s="2" t="s">
        <v>15</v>
      </c>
      <c r="F341" s="2" t="s">
        <v>20</v>
      </c>
      <c r="G341" s="2" t="s">
        <v>24</v>
      </c>
      <c r="H341">
        <v>27</v>
      </c>
      <c r="I341" s="2" t="str">
        <f>TEXT(Sheet1[[#This Row],[claim_date]],"mmmm")</f>
        <v>September</v>
      </c>
      <c r="J341" s="2">
        <f>YEAR(Sheet1[[#This Row],[claim_date]])</f>
        <v>2024</v>
      </c>
      <c r="K341" s="2" t="str">
        <f>"Q"&amp;ROUNDUP(MONTH(Sheet1[[#This Row],[claim_date]])/3,0)</f>
        <v>Q3</v>
      </c>
      <c r="L341" s="2" t="str">
        <f>IF(Sheet1[[#This Row],[claim_amount]]&lt;100000,"Low",IF(Sheet1[[#This Row],[claim_amount]]&lt;200000,"Medium","High"))</f>
        <v>High</v>
      </c>
      <c r="M341" s="2" t="str">
        <f>IF(Sheet1[[#This Row],[days_to_process]]&lt;=30,"Fast","Slow")</f>
        <v>Fast</v>
      </c>
    </row>
    <row r="342" spans="1:13" x14ac:dyDescent="0.3">
      <c r="A342" t="s">
        <v>682</v>
      </c>
      <c r="B342" s="2" t="s">
        <v>683</v>
      </c>
      <c r="C342" s="1">
        <v>44836</v>
      </c>
      <c r="D342" s="35">
        <v>237731.86</v>
      </c>
      <c r="E342" s="2" t="s">
        <v>19</v>
      </c>
      <c r="F342" s="2" t="s">
        <v>11</v>
      </c>
      <c r="G342" s="2" t="s">
        <v>12</v>
      </c>
      <c r="H342">
        <v>13</v>
      </c>
      <c r="I342" s="2" t="str">
        <f>TEXT(Sheet1[[#This Row],[claim_date]],"mmmm")</f>
        <v>October</v>
      </c>
      <c r="J342" s="2">
        <f>YEAR(Sheet1[[#This Row],[claim_date]])</f>
        <v>2022</v>
      </c>
      <c r="K342" s="2" t="str">
        <f>"Q"&amp;ROUNDUP(MONTH(Sheet1[[#This Row],[claim_date]])/3,0)</f>
        <v>Q4</v>
      </c>
      <c r="L342" s="2" t="str">
        <f>IF(Sheet1[[#This Row],[claim_amount]]&lt;100000,"Low",IF(Sheet1[[#This Row],[claim_amount]]&lt;200000,"Medium","High"))</f>
        <v>High</v>
      </c>
      <c r="M342" s="2" t="str">
        <f>IF(Sheet1[[#This Row],[days_to_process]]&lt;=30,"Fast","Slow")</f>
        <v>Fast</v>
      </c>
    </row>
    <row r="343" spans="1:13" x14ac:dyDescent="0.3">
      <c r="A343" t="s">
        <v>684</v>
      </c>
      <c r="B343" s="2" t="s">
        <v>685</v>
      </c>
      <c r="C343" s="1">
        <v>45639</v>
      </c>
      <c r="D343" s="35">
        <v>422720.39</v>
      </c>
      <c r="E343" s="2" t="s">
        <v>15</v>
      </c>
      <c r="F343" s="2" t="s">
        <v>34</v>
      </c>
      <c r="G343" s="2" t="s">
        <v>12</v>
      </c>
      <c r="H343">
        <v>48</v>
      </c>
      <c r="I343" s="2" t="str">
        <f>TEXT(Sheet1[[#This Row],[claim_date]],"mmmm")</f>
        <v>December</v>
      </c>
      <c r="J343" s="2">
        <f>YEAR(Sheet1[[#This Row],[claim_date]])</f>
        <v>2024</v>
      </c>
      <c r="K343" s="2" t="str">
        <f>"Q"&amp;ROUNDUP(MONTH(Sheet1[[#This Row],[claim_date]])/3,0)</f>
        <v>Q4</v>
      </c>
      <c r="L343" s="2" t="str">
        <f>IF(Sheet1[[#This Row],[claim_amount]]&lt;100000,"Low",IF(Sheet1[[#This Row],[claim_amount]]&lt;200000,"Medium","High"))</f>
        <v>High</v>
      </c>
      <c r="M343" s="2" t="str">
        <f>IF(Sheet1[[#This Row],[days_to_process]]&lt;=30,"Fast","Slow")</f>
        <v>Slow</v>
      </c>
    </row>
    <row r="344" spans="1:13" x14ac:dyDescent="0.3">
      <c r="A344" t="s">
        <v>686</v>
      </c>
      <c r="B344" s="2" t="s">
        <v>687</v>
      </c>
      <c r="C344" s="1">
        <v>45047</v>
      </c>
      <c r="D344" s="35">
        <v>491666.16</v>
      </c>
      <c r="E344" s="2" t="s">
        <v>19</v>
      </c>
      <c r="F344" s="2" t="s">
        <v>11</v>
      </c>
      <c r="G344" s="2" t="s">
        <v>24</v>
      </c>
      <c r="H344">
        <v>42</v>
      </c>
      <c r="I344" s="2" t="str">
        <f>TEXT(Sheet1[[#This Row],[claim_date]],"mmmm")</f>
        <v>May</v>
      </c>
      <c r="J344" s="2">
        <f>YEAR(Sheet1[[#This Row],[claim_date]])</f>
        <v>2023</v>
      </c>
      <c r="K344" s="2" t="str">
        <f>"Q"&amp;ROUNDUP(MONTH(Sheet1[[#This Row],[claim_date]])/3,0)</f>
        <v>Q2</v>
      </c>
      <c r="L344" s="2" t="str">
        <f>IF(Sheet1[[#This Row],[claim_amount]]&lt;100000,"Low",IF(Sheet1[[#This Row],[claim_amount]]&lt;200000,"Medium","High"))</f>
        <v>High</v>
      </c>
      <c r="M344" s="2" t="str">
        <f>IF(Sheet1[[#This Row],[days_to_process]]&lt;=30,"Fast","Slow")</f>
        <v>Slow</v>
      </c>
    </row>
    <row r="345" spans="1:13" x14ac:dyDescent="0.3">
      <c r="A345" t="s">
        <v>688</v>
      </c>
      <c r="B345" s="2" t="s">
        <v>689</v>
      </c>
      <c r="C345" s="1">
        <v>44518</v>
      </c>
      <c r="D345" s="35">
        <v>372154.55</v>
      </c>
      <c r="E345" s="2" t="s">
        <v>10</v>
      </c>
      <c r="F345" s="2" t="s">
        <v>20</v>
      </c>
      <c r="G345" s="2" t="s">
        <v>24</v>
      </c>
      <c r="H345">
        <v>26</v>
      </c>
      <c r="I345" s="2" t="str">
        <f>TEXT(Sheet1[[#This Row],[claim_date]],"mmmm")</f>
        <v>November</v>
      </c>
      <c r="J345" s="2">
        <f>YEAR(Sheet1[[#This Row],[claim_date]])</f>
        <v>2021</v>
      </c>
      <c r="K345" s="2" t="str">
        <f>"Q"&amp;ROUNDUP(MONTH(Sheet1[[#This Row],[claim_date]])/3,0)</f>
        <v>Q4</v>
      </c>
      <c r="L345" s="2" t="str">
        <f>IF(Sheet1[[#This Row],[claim_amount]]&lt;100000,"Low",IF(Sheet1[[#This Row],[claim_amount]]&lt;200000,"Medium","High"))</f>
        <v>High</v>
      </c>
      <c r="M345" s="2" t="str">
        <f>IF(Sheet1[[#This Row],[days_to_process]]&lt;=30,"Fast","Slow")</f>
        <v>Fast</v>
      </c>
    </row>
    <row r="346" spans="1:13" x14ac:dyDescent="0.3">
      <c r="A346" t="s">
        <v>690</v>
      </c>
      <c r="B346" s="2" t="s">
        <v>149</v>
      </c>
      <c r="C346" s="1">
        <v>45443</v>
      </c>
      <c r="D346" s="35">
        <v>128668.89</v>
      </c>
      <c r="E346" s="2" t="s">
        <v>10</v>
      </c>
      <c r="F346" s="2" t="s">
        <v>16</v>
      </c>
      <c r="G346" s="2" t="s">
        <v>24</v>
      </c>
      <c r="H346">
        <v>16</v>
      </c>
      <c r="I346" s="2" t="str">
        <f>TEXT(Sheet1[[#This Row],[claim_date]],"mmmm")</f>
        <v>May</v>
      </c>
      <c r="J346" s="2">
        <f>YEAR(Sheet1[[#This Row],[claim_date]])</f>
        <v>2024</v>
      </c>
      <c r="K346" s="2" t="str">
        <f>"Q"&amp;ROUNDUP(MONTH(Sheet1[[#This Row],[claim_date]])/3,0)</f>
        <v>Q2</v>
      </c>
      <c r="L346" s="2" t="str">
        <f>IF(Sheet1[[#This Row],[claim_amount]]&lt;100000,"Low",IF(Sheet1[[#This Row],[claim_amount]]&lt;200000,"Medium","High"))</f>
        <v>Medium</v>
      </c>
      <c r="M346" s="2" t="str">
        <f>IF(Sheet1[[#This Row],[days_to_process]]&lt;=30,"Fast","Slow")</f>
        <v>Fast</v>
      </c>
    </row>
    <row r="347" spans="1:13" x14ac:dyDescent="0.3">
      <c r="A347" t="s">
        <v>691</v>
      </c>
      <c r="B347" s="2" t="s">
        <v>44</v>
      </c>
      <c r="C347" s="1">
        <v>45412</v>
      </c>
      <c r="D347" s="35">
        <v>112055.12</v>
      </c>
      <c r="E347" s="2" t="s">
        <v>15</v>
      </c>
      <c r="F347" s="2" t="s">
        <v>11</v>
      </c>
      <c r="G347" s="2" t="s">
        <v>12</v>
      </c>
      <c r="H347">
        <v>52</v>
      </c>
      <c r="I347" s="2" t="str">
        <f>TEXT(Sheet1[[#This Row],[claim_date]],"mmmm")</f>
        <v>April</v>
      </c>
      <c r="J347" s="2">
        <f>YEAR(Sheet1[[#This Row],[claim_date]])</f>
        <v>2024</v>
      </c>
      <c r="K347" s="2" t="str">
        <f>"Q"&amp;ROUNDUP(MONTH(Sheet1[[#This Row],[claim_date]])/3,0)</f>
        <v>Q2</v>
      </c>
      <c r="L347" s="2" t="str">
        <f>IF(Sheet1[[#This Row],[claim_amount]]&lt;100000,"Low",IF(Sheet1[[#This Row],[claim_amount]]&lt;200000,"Medium","High"))</f>
        <v>Medium</v>
      </c>
      <c r="M347" s="2" t="str">
        <f>IF(Sheet1[[#This Row],[days_to_process]]&lt;=30,"Fast","Slow")</f>
        <v>Slow</v>
      </c>
    </row>
    <row r="348" spans="1:13" x14ac:dyDescent="0.3">
      <c r="A348" t="s">
        <v>692</v>
      </c>
      <c r="B348" s="2" t="s">
        <v>693</v>
      </c>
      <c r="C348" s="1">
        <v>45532</v>
      </c>
      <c r="D348" s="35">
        <v>123096.32000000001</v>
      </c>
      <c r="E348" s="2" t="s">
        <v>10</v>
      </c>
      <c r="F348" s="2" t="s">
        <v>23</v>
      </c>
      <c r="G348" s="2" t="s">
        <v>24</v>
      </c>
      <c r="H348">
        <v>53</v>
      </c>
      <c r="I348" s="2" t="str">
        <f>TEXT(Sheet1[[#This Row],[claim_date]],"mmmm")</f>
        <v>August</v>
      </c>
      <c r="J348" s="2">
        <f>YEAR(Sheet1[[#This Row],[claim_date]])</f>
        <v>2024</v>
      </c>
      <c r="K348" s="2" t="str">
        <f>"Q"&amp;ROUNDUP(MONTH(Sheet1[[#This Row],[claim_date]])/3,0)</f>
        <v>Q3</v>
      </c>
      <c r="L348" s="2" t="str">
        <f>IF(Sheet1[[#This Row],[claim_amount]]&lt;100000,"Low",IF(Sheet1[[#This Row],[claim_amount]]&lt;200000,"Medium","High"))</f>
        <v>Medium</v>
      </c>
      <c r="M348" s="2" t="str">
        <f>IF(Sheet1[[#This Row],[days_to_process]]&lt;=30,"Fast","Slow")</f>
        <v>Slow</v>
      </c>
    </row>
    <row r="349" spans="1:13" x14ac:dyDescent="0.3">
      <c r="A349" t="s">
        <v>694</v>
      </c>
      <c r="B349" s="2" t="s">
        <v>695</v>
      </c>
      <c r="C349" s="1">
        <v>45622</v>
      </c>
      <c r="D349" s="35">
        <v>187074.71</v>
      </c>
      <c r="E349" s="2" t="s">
        <v>10</v>
      </c>
      <c r="F349" s="2" t="s">
        <v>34</v>
      </c>
      <c r="G349" s="2" t="s">
        <v>12</v>
      </c>
      <c r="H349">
        <v>7</v>
      </c>
      <c r="I349" s="2" t="str">
        <f>TEXT(Sheet1[[#This Row],[claim_date]],"mmmm")</f>
        <v>November</v>
      </c>
      <c r="J349" s="2">
        <f>YEAR(Sheet1[[#This Row],[claim_date]])</f>
        <v>2024</v>
      </c>
      <c r="K349" s="2" t="str">
        <f>"Q"&amp;ROUNDUP(MONTH(Sheet1[[#This Row],[claim_date]])/3,0)</f>
        <v>Q4</v>
      </c>
      <c r="L349" s="2" t="str">
        <f>IF(Sheet1[[#This Row],[claim_amount]]&lt;100000,"Low",IF(Sheet1[[#This Row],[claim_amount]]&lt;200000,"Medium","High"))</f>
        <v>Medium</v>
      </c>
      <c r="M349" s="2" t="str">
        <f>IF(Sheet1[[#This Row],[days_to_process]]&lt;=30,"Fast","Slow")</f>
        <v>Fast</v>
      </c>
    </row>
    <row r="350" spans="1:13" x14ac:dyDescent="0.3">
      <c r="A350" t="s">
        <v>696</v>
      </c>
      <c r="B350" s="2" t="s">
        <v>697</v>
      </c>
      <c r="C350" s="1">
        <v>45625</v>
      </c>
      <c r="D350" s="35">
        <v>460933.82</v>
      </c>
      <c r="E350" s="2" t="s">
        <v>10</v>
      </c>
      <c r="F350" s="2" t="s">
        <v>34</v>
      </c>
      <c r="G350" s="2" t="s">
        <v>12</v>
      </c>
      <c r="H350">
        <v>32</v>
      </c>
      <c r="I350" s="2" t="str">
        <f>TEXT(Sheet1[[#This Row],[claim_date]],"mmmm")</f>
        <v>November</v>
      </c>
      <c r="J350" s="2">
        <f>YEAR(Sheet1[[#This Row],[claim_date]])</f>
        <v>2024</v>
      </c>
      <c r="K350" s="2" t="str">
        <f>"Q"&amp;ROUNDUP(MONTH(Sheet1[[#This Row],[claim_date]])/3,0)</f>
        <v>Q4</v>
      </c>
      <c r="L350" s="2" t="str">
        <f>IF(Sheet1[[#This Row],[claim_amount]]&lt;100000,"Low",IF(Sheet1[[#This Row],[claim_amount]]&lt;200000,"Medium","High"))</f>
        <v>High</v>
      </c>
      <c r="M350" s="2" t="str">
        <f>IF(Sheet1[[#This Row],[days_to_process]]&lt;=30,"Fast","Slow")</f>
        <v>Slow</v>
      </c>
    </row>
    <row r="351" spans="1:13" x14ac:dyDescent="0.3">
      <c r="A351" t="s">
        <v>698</v>
      </c>
      <c r="B351" s="2" t="s">
        <v>699</v>
      </c>
      <c r="C351" s="1">
        <v>44657</v>
      </c>
      <c r="D351" s="35">
        <v>409627.62</v>
      </c>
      <c r="E351" s="2" t="s">
        <v>10</v>
      </c>
      <c r="F351" s="2" t="s">
        <v>34</v>
      </c>
      <c r="G351" s="2" t="s">
        <v>24</v>
      </c>
      <c r="H351">
        <v>41</v>
      </c>
      <c r="I351" s="2" t="str">
        <f>TEXT(Sheet1[[#This Row],[claim_date]],"mmmm")</f>
        <v>April</v>
      </c>
      <c r="J351" s="2">
        <f>YEAR(Sheet1[[#This Row],[claim_date]])</f>
        <v>2022</v>
      </c>
      <c r="K351" s="2" t="str">
        <f>"Q"&amp;ROUNDUP(MONTH(Sheet1[[#This Row],[claim_date]])/3,0)</f>
        <v>Q2</v>
      </c>
      <c r="L351" s="2" t="str">
        <f>IF(Sheet1[[#This Row],[claim_amount]]&lt;100000,"Low",IF(Sheet1[[#This Row],[claim_amount]]&lt;200000,"Medium","High"))</f>
        <v>High</v>
      </c>
      <c r="M351" s="2" t="str">
        <f>IF(Sheet1[[#This Row],[days_to_process]]&lt;=30,"Fast","Slow")</f>
        <v>Slow</v>
      </c>
    </row>
    <row r="352" spans="1:13" x14ac:dyDescent="0.3">
      <c r="A352" t="s">
        <v>700</v>
      </c>
      <c r="B352" s="2" t="s">
        <v>701</v>
      </c>
      <c r="C352" s="1">
        <v>44963</v>
      </c>
      <c r="D352" s="35">
        <v>87555.19</v>
      </c>
      <c r="E352" s="2" t="s">
        <v>10</v>
      </c>
      <c r="F352" s="2" t="s">
        <v>23</v>
      </c>
      <c r="G352" s="2" t="s">
        <v>24</v>
      </c>
      <c r="H352">
        <v>31</v>
      </c>
      <c r="I352" s="2" t="str">
        <f>TEXT(Sheet1[[#This Row],[claim_date]],"mmmm")</f>
        <v>February</v>
      </c>
      <c r="J352" s="2">
        <f>YEAR(Sheet1[[#This Row],[claim_date]])</f>
        <v>2023</v>
      </c>
      <c r="K352" s="2" t="str">
        <f>"Q"&amp;ROUNDUP(MONTH(Sheet1[[#This Row],[claim_date]])/3,0)</f>
        <v>Q1</v>
      </c>
      <c r="L352" s="2" t="str">
        <f>IF(Sheet1[[#This Row],[claim_amount]]&lt;100000,"Low",IF(Sheet1[[#This Row],[claim_amount]]&lt;200000,"Medium","High"))</f>
        <v>Low</v>
      </c>
      <c r="M352" s="2" t="str">
        <f>IF(Sheet1[[#This Row],[days_to_process]]&lt;=30,"Fast","Slow")</f>
        <v>Slow</v>
      </c>
    </row>
    <row r="353" spans="1:13" x14ac:dyDescent="0.3">
      <c r="A353" t="s">
        <v>702</v>
      </c>
      <c r="B353" s="2" t="s">
        <v>703</v>
      </c>
      <c r="C353" s="1">
        <v>45430</v>
      </c>
      <c r="D353" s="35">
        <v>91520.639999999999</v>
      </c>
      <c r="E353" s="2" t="s">
        <v>10</v>
      </c>
      <c r="F353" s="2" t="s">
        <v>11</v>
      </c>
      <c r="G353" s="2" t="s">
        <v>12</v>
      </c>
      <c r="H353">
        <v>13</v>
      </c>
      <c r="I353" s="2" t="str">
        <f>TEXT(Sheet1[[#This Row],[claim_date]],"mmmm")</f>
        <v>May</v>
      </c>
      <c r="J353" s="2">
        <f>YEAR(Sheet1[[#This Row],[claim_date]])</f>
        <v>2024</v>
      </c>
      <c r="K353" s="2" t="str">
        <f>"Q"&amp;ROUNDUP(MONTH(Sheet1[[#This Row],[claim_date]])/3,0)</f>
        <v>Q2</v>
      </c>
      <c r="L353" s="2" t="str">
        <f>IF(Sheet1[[#This Row],[claim_amount]]&lt;100000,"Low",IF(Sheet1[[#This Row],[claim_amount]]&lt;200000,"Medium","High"))</f>
        <v>Low</v>
      </c>
      <c r="M353" s="2" t="str">
        <f>IF(Sheet1[[#This Row],[days_to_process]]&lt;=30,"Fast","Slow")</f>
        <v>Fast</v>
      </c>
    </row>
    <row r="354" spans="1:13" x14ac:dyDescent="0.3">
      <c r="A354" t="s">
        <v>704</v>
      </c>
      <c r="B354" s="2" t="s">
        <v>705</v>
      </c>
      <c r="C354" s="1">
        <v>45646</v>
      </c>
      <c r="D354" s="35">
        <v>440418.6</v>
      </c>
      <c r="E354" s="2" t="s">
        <v>10</v>
      </c>
      <c r="F354" s="2" t="s">
        <v>11</v>
      </c>
      <c r="G354" s="2" t="s">
        <v>24</v>
      </c>
      <c r="H354">
        <v>8</v>
      </c>
      <c r="I354" s="2" t="str">
        <f>TEXT(Sheet1[[#This Row],[claim_date]],"mmmm")</f>
        <v>December</v>
      </c>
      <c r="J354" s="2">
        <f>YEAR(Sheet1[[#This Row],[claim_date]])</f>
        <v>2024</v>
      </c>
      <c r="K354" s="2" t="str">
        <f>"Q"&amp;ROUNDUP(MONTH(Sheet1[[#This Row],[claim_date]])/3,0)</f>
        <v>Q4</v>
      </c>
      <c r="L354" s="2" t="str">
        <f>IF(Sheet1[[#This Row],[claim_amount]]&lt;100000,"Low",IF(Sheet1[[#This Row],[claim_amount]]&lt;200000,"Medium","High"))</f>
        <v>High</v>
      </c>
      <c r="M354" s="2" t="str">
        <f>IF(Sheet1[[#This Row],[days_to_process]]&lt;=30,"Fast","Slow")</f>
        <v>Fast</v>
      </c>
    </row>
    <row r="355" spans="1:13" x14ac:dyDescent="0.3">
      <c r="A355" t="s">
        <v>706</v>
      </c>
      <c r="B355" s="2" t="s">
        <v>707</v>
      </c>
      <c r="C355" s="1">
        <v>45081</v>
      </c>
      <c r="D355" s="35">
        <v>336445.04</v>
      </c>
      <c r="E355" s="2" t="s">
        <v>19</v>
      </c>
      <c r="F355" s="2" t="s">
        <v>16</v>
      </c>
      <c r="G355" s="2" t="s">
        <v>24</v>
      </c>
      <c r="H355">
        <v>15</v>
      </c>
      <c r="I355" s="2" t="str">
        <f>TEXT(Sheet1[[#This Row],[claim_date]],"mmmm")</f>
        <v>June</v>
      </c>
      <c r="J355" s="2">
        <f>YEAR(Sheet1[[#This Row],[claim_date]])</f>
        <v>2023</v>
      </c>
      <c r="K355" s="2" t="str">
        <f>"Q"&amp;ROUNDUP(MONTH(Sheet1[[#This Row],[claim_date]])/3,0)</f>
        <v>Q2</v>
      </c>
      <c r="L355" s="2" t="str">
        <f>IF(Sheet1[[#This Row],[claim_amount]]&lt;100000,"Low",IF(Sheet1[[#This Row],[claim_amount]]&lt;200000,"Medium","High"))</f>
        <v>High</v>
      </c>
      <c r="M355" s="2" t="str">
        <f>IF(Sheet1[[#This Row],[days_to_process]]&lt;=30,"Fast","Slow")</f>
        <v>Fast</v>
      </c>
    </row>
    <row r="356" spans="1:13" x14ac:dyDescent="0.3">
      <c r="A356" t="s">
        <v>708</v>
      </c>
      <c r="B356" s="2" t="s">
        <v>709</v>
      </c>
      <c r="C356" s="1">
        <v>45534</v>
      </c>
      <c r="D356" s="35">
        <v>98554.05</v>
      </c>
      <c r="E356" s="2" t="s">
        <v>19</v>
      </c>
      <c r="F356" s="2" t="s">
        <v>34</v>
      </c>
      <c r="G356" s="2" t="s">
        <v>12</v>
      </c>
      <c r="H356">
        <v>22</v>
      </c>
      <c r="I356" s="2" t="str">
        <f>TEXT(Sheet1[[#This Row],[claim_date]],"mmmm")</f>
        <v>August</v>
      </c>
      <c r="J356" s="2">
        <f>YEAR(Sheet1[[#This Row],[claim_date]])</f>
        <v>2024</v>
      </c>
      <c r="K356" s="2" t="str">
        <f>"Q"&amp;ROUNDUP(MONTH(Sheet1[[#This Row],[claim_date]])/3,0)</f>
        <v>Q3</v>
      </c>
      <c r="L356" s="2" t="str">
        <f>IF(Sheet1[[#This Row],[claim_amount]]&lt;100000,"Low",IF(Sheet1[[#This Row],[claim_amount]]&lt;200000,"Medium","High"))</f>
        <v>Low</v>
      </c>
      <c r="M356" s="2" t="str">
        <f>IF(Sheet1[[#This Row],[days_to_process]]&lt;=30,"Fast","Slow")</f>
        <v>Fast</v>
      </c>
    </row>
    <row r="357" spans="1:13" x14ac:dyDescent="0.3">
      <c r="A357" t="s">
        <v>710</v>
      </c>
      <c r="B357" s="2" t="s">
        <v>711</v>
      </c>
      <c r="C357" s="1">
        <v>44973</v>
      </c>
      <c r="D357" s="35">
        <v>128223.46</v>
      </c>
      <c r="E357" s="2" t="s">
        <v>10</v>
      </c>
      <c r="F357" s="2" t="s">
        <v>20</v>
      </c>
      <c r="G357" s="2" t="s">
        <v>12</v>
      </c>
      <c r="H357">
        <v>42</v>
      </c>
      <c r="I357" s="2" t="str">
        <f>TEXT(Sheet1[[#This Row],[claim_date]],"mmmm")</f>
        <v>February</v>
      </c>
      <c r="J357" s="2">
        <f>YEAR(Sheet1[[#This Row],[claim_date]])</f>
        <v>2023</v>
      </c>
      <c r="K357" s="2" t="str">
        <f>"Q"&amp;ROUNDUP(MONTH(Sheet1[[#This Row],[claim_date]])/3,0)</f>
        <v>Q1</v>
      </c>
      <c r="L357" s="2" t="str">
        <f>IF(Sheet1[[#This Row],[claim_amount]]&lt;100000,"Low",IF(Sheet1[[#This Row],[claim_amount]]&lt;200000,"Medium","High"))</f>
        <v>Medium</v>
      </c>
      <c r="M357" s="2" t="str">
        <f>IF(Sheet1[[#This Row],[days_to_process]]&lt;=30,"Fast","Slow")</f>
        <v>Slow</v>
      </c>
    </row>
    <row r="358" spans="1:13" x14ac:dyDescent="0.3">
      <c r="A358" t="s">
        <v>712</v>
      </c>
      <c r="B358" s="2" t="s">
        <v>713</v>
      </c>
      <c r="C358" s="1">
        <v>45531</v>
      </c>
      <c r="D358" s="35">
        <v>143477.29999999999</v>
      </c>
      <c r="E358" s="2" t="s">
        <v>10</v>
      </c>
      <c r="F358" s="2" t="s">
        <v>11</v>
      </c>
      <c r="G358" s="2" t="s">
        <v>24</v>
      </c>
      <c r="H358">
        <v>45</v>
      </c>
      <c r="I358" s="2" t="str">
        <f>TEXT(Sheet1[[#This Row],[claim_date]],"mmmm")</f>
        <v>August</v>
      </c>
      <c r="J358" s="2">
        <f>YEAR(Sheet1[[#This Row],[claim_date]])</f>
        <v>2024</v>
      </c>
      <c r="K358" s="2" t="str">
        <f>"Q"&amp;ROUNDUP(MONTH(Sheet1[[#This Row],[claim_date]])/3,0)</f>
        <v>Q3</v>
      </c>
      <c r="L358" s="2" t="str">
        <f>IF(Sheet1[[#This Row],[claim_amount]]&lt;100000,"Low",IF(Sheet1[[#This Row],[claim_amount]]&lt;200000,"Medium","High"))</f>
        <v>Medium</v>
      </c>
      <c r="M358" s="2" t="str">
        <f>IF(Sheet1[[#This Row],[days_to_process]]&lt;=30,"Fast","Slow")</f>
        <v>Slow</v>
      </c>
    </row>
    <row r="359" spans="1:13" x14ac:dyDescent="0.3">
      <c r="A359" t="s">
        <v>714</v>
      </c>
      <c r="B359" s="2" t="s">
        <v>715</v>
      </c>
      <c r="C359" s="1">
        <v>45207</v>
      </c>
      <c r="D359" s="35">
        <v>33015.050000000003</v>
      </c>
      <c r="E359" s="2" t="s">
        <v>15</v>
      </c>
      <c r="F359" s="2" t="s">
        <v>23</v>
      </c>
      <c r="G359" s="2" t="s">
        <v>24</v>
      </c>
      <c r="H359">
        <v>35</v>
      </c>
      <c r="I359" s="2" t="str">
        <f>TEXT(Sheet1[[#This Row],[claim_date]],"mmmm")</f>
        <v>October</v>
      </c>
      <c r="J359" s="2">
        <f>YEAR(Sheet1[[#This Row],[claim_date]])</f>
        <v>2023</v>
      </c>
      <c r="K359" s="2" t="str">
        <f>"Q"&amp;ROUNDUP(MONTH(Sheet1[[#This Row],[claim_date]])/3,0)</f>
        <v>Q4</v>
      </c>
      <c r="L359" s="2" t="str">
        <f>IF(Sheet1[[#This Row],[claim_amount]]&lt;100000,"Low",IF(Sheet1[[#This Row],[claim_amount]]&lt;200000,"Medium","High"))</f>
        <v>Low</v>
      </c>
      <c r="M359" s="2" t="str">
        <f>IF(Sheet1[[#This Row],[days_to_process]]&lt;=30,"Fast","Slow")</f>
        <v>Slow</v>
      </c>
    </row>
    <row r="360" spans="1:13" x14ac:dyDescent="0.3">
      <c r="A360" t="s">
        <v>716</v>
      </c>
      <c r="B360" s="2" t="s">
        <v>316</v>
      </c>
      <c r="C360" s="1">
        <v>44847</v>
      </c>
      <c r="D360" s="35">
        <v>13690.15</v>
      </c>
      <c r="E360" s="2" t="s">
        <v>15</v>
      </c>
      <c r="F360" s="2" t="s">
        <v>34</v>
      </c>
      <c r="G360" s="2" t="s">
        <v>24</v>
      </c>
      <c r="H360">
        <v>18</v>
      </c>
      <c r="I360" s="2" t="str">
        <f>TEXT(Sheet1[[#This Row],[claim_date]],"mmmm")</f>
        <v>October</v>
      </c>
      <c r="J360" s="2">
        <f>YEAR(Sheet1[[#This Row],[claim_date]])</f>
        <v>2022</v>
      </c>
      <c r="K360" s="2" t="str">
        <f>"Q"&amp;ROUNDUP(MONTH(Sheet1[[#This Row],[claim_date]])/3,0)</f>
        <v>Q4</v>
      </c>
      <c r="L360" s="2" t="str">
        <f>IF(Sheet1[[#This Row],[claim_amount]]&lt;100000,"Low",IF(Sheet1[[#This Row],[claim_amount]]&lt;200000,"Medium","High"))</f>
        <v>Low</v>
      </c>
      <c r="M360" s="2" t="str">
        <f>IF(Sheet1[[#This Row],[days_to_process]]&lt;=30,"Fast","Slow")</f>
        <v>Fast</v>
      </c>
    </row>
    <row r="361" spans="1:13" x14ac:dyDescent="0.3">
      <c r="A361" t="s">
        <v>717</v>
      </c>
      <c r="B361" s="2" t="s">
        <v>718</v>
      </c>
      <c r="C361" s="1">
        <v>45275</v>
      </c>
      <c r="D361" s="35">
        <v>46957.15</v>
      </c>
      <c r="E361" s="2" t="s">
        <v>19</v>
      </c>
      <c r="F361" s="2" t="s">
        <v>11</v>
      </c>
      <c r="G361" s="2" t="s">
        <v>24</v>
      </c>
      <c r="H361">
        <v>25</v>
      </c>
      <c r="I361" s="2" t="str">
        <f>TEXT(Sheet1[[#This Row],[claim_date]],"mmmm")</f>
        <v>December</v>
      </c>
      <c r="J361" s="2">
        <f>YEAR(Sheet1[[#This Row],[claim_date]])</f>
        <v>2023</v>
      </c>
      <c r="K361" s="2" t="str">
        <f>"Q"&amp;ROUNDUP(MONTH(Sheet1[[#This Row],[claim_date]])/3,0)</f>
        <v>Q4</v>
      </c>
      <c r="L361" s="2" t="str">
        <f>IF(Sheet1[[#This Row],[claim_amount]]&lt;100000,"Low",IF(Sheet1[[#This Row],[claim_amount]]&lt;200000,"Medium","High"))</f>
        <v>Low</v>
      </c>
      <c r="M361" s="2" t="str">
        <f>IF(Sheet1[[#This Row],[days_to_process]]&lt;=30,"Fast","Slow")</f>
        <v>Fast</v>
      </c>
    </row>
    <row r="362" spans="1:13" x14ac:dyDescent="0.3">
      <c r="A362" t="s">
        <v>719</v>
      </c>
      <c r="B362" s="2" t="s">
        <v>720</v>
      </c>
      <c r="C362" s="1">
        <v>45409</v>
      </c>
      <c r="D362" s="35">
        <v>10149.32</v>
      </c>
      <c r="E362" s="2" t="s">
        <v>10</v>
      </c>
      <c r="F362" s="2" t="s">
        <v>16</v>
      </c>
      <c r="G362" s="2" t="s">
        <v>24</v>
      </c>
      <c r="H362">
        <v>11</v>
      </c>
      <c r="I362" s="2" t="str">
        <f>TEXT(Sheet1[[#This Row],[claim_date]],"mmmm")</f>
        <v>April</v>
      </c>
      <c r="J362" s="2">
        <f>YEAR(Sheet1[[#This Row],[claim_date]])</f>
        <v>2024</v>
      </c>
      <c r="K362" s="2" t="str">
        <f>"Q"&amp;ROUNDUP(MONTH(Sheet1[[#This Row],[claim_date]])/3,0)</f>
        <v>Q2</v>
      </c>
      <c r="L362" s="2" t="str">
        <f>IF(Sheet1[[#This Row],[claim_amount]]&lt;100000,"Low",IF(Sheet1[[#This Row],[claim_amount]]&lt;200000,"Medium","High"))</f>
        <v>Low</v>
      </c>
      <c r="M362" s="2" t="str">
        <f>IF(Sheet1[[#This Row],[days_to_process]]&lt;=30,"Fast","Slow")</f>
        <v>Fast</v>
      </c>
    </row>
    <row r="363" spans="1:13" x14ac:dyDescent="0.3">
      <c r="A363" t="s">
        <v>721</v>
      </c>
      <c r="B363" s="2" t="s">
        <v>722</v>
      </c>
      <c r="C363" s="1">
        <v>44845</v>
      </c>
      <c r="D363" s="35">
        <v>11207.66</v>
      </c>
      <c r="E363" s="2" t="s">
        <v>19</v>
      </c>
      <c r="F363" s="2" t="s">
        <v>23</v>
      </c>
      <c r="G363" s="2" t="s">
        <v>12</v>
      </c>
      <c r="H363">
        <v>5</v>
      </c>
      <c r="I363" s="2" t="str">
        <f>TEXT(Sheet1[[#This Row],[claim_date]],"mmmm")</f>
        <v>October</v>
      </c>
      <c r="J363" s="2">
        <f>YEAR(Sheet1[[#This Row],[claim_date]])</f>
        <v>2022</v>
      </c>
      <c r="K363" s="2" t="str">
        <f>"Q"&amp;ROUNDUP(MONTH(Sheet1[[#This Row],[claim_date]])/3,0)</f>
        <v>Q4</v>
      </c>
      <c r="L363" s="2" t="str">
        <f>IF(Sheet1[[#This Row],[claim_amount]]&lt;100000,"Low",IF(Sheet1[[#This Row],[claim_amount]]&lt;200000,"Medium","High"))</f>
        <v>Low</v>
      </c>
      <c r="M363" s="2" t="str">
        <f>IF(Sheet1[[#This Row],[days_to_process]]&lt;=30,"Fast","Slow")</f>
        <v>Fast</v>
      </c>
    </row>
    <row r="364" spans="1:13" x14ac:dyDescent="0.3">
      <c r="A364" t="s">
        <v>723</v>
      </c>
      <c r="B364" s="2" t="s">
        <v>724</v>
      </c>
      <c r="C364" s="1">
        <v>45421</v>
      </c>
      <c r="D364" s="35">
        <v>324749.94</v>
      </c>
      <c r="E364" s="2" t="s">
        <v>10</v>
      </c>
      <c r="F364" s="2" t="s">
        <v>23</v>
      </c>
      <c r="G364" s="2" t="s">
        <v>24</v>
      </c>
      <c r="H364">
        <v>48</v>
      </c>
      <c r="I364" s="2" t="str">
        <f>TEXT(Sheet1[[#This Row],[claim_date]],"mmmm")</f>
        <v>May</v>
      </c>
      <c r="J364" s="2">
        <f>YEAR(Sheet1[[#This Row],[claim_date]])</f>
        <v>2024</v>
      </c>
      <c r="K364" s="2" t="str">
        <f>"Q"&amp;ROUNDUP(MONTH(Sheet1[[#This Row],[claim_date]])/3,0)</f>
        <v>Q2</v>
      </c>
      <c r="L364" s="2" t="str">
        <f>IF(Sheet1[[#This Row],[claim_amount]]&lt;100000,"Low",IF(Sheet1[[#This Row],[claim_amount]]&lt;200000,"Medium","High"))</f>
        <v>High</v>
      </c>
      <c r="M364" s="2" t="str">
        <f>IF(Sheet1[[#This Row],[days_to_process]]&lt;=30,"Fast","Slow")</f>
        <v>Slow</v>
      </c>
    </row>
    <row r="365" spans="1:13" x14ac:dyDescent="0.3">
      <c r="A365" t="s">
        <v>725</v>
      </c>
      <c r="B365" s="2" t="s">
        <v>726</v>
      </c>
      <c r="C365" s="1">
        <v>44832</v>
      </c>
      <c r="D365" s="35">
        <v>284541.81</v>
      </c>
      <c r="E365" s="2" t="s">
        <v>19</v>
      </c>
      <c r="F365" s="2" t="s">
        <v>16</v>
      </c>
      <c r="G365" s="2" t="s">
        <v>24</v>
      </c>
      <c r="H365">
        <v>3</v>
      </c>
      <c r="I365" s="2" t="str">
        <f>TEXT(Sheet1[[#This Row],[claim_date]],"mmmm")</f>
        <v>September</v>
      </c>
      <c r="J365" s="2">
        <f>YEAR(Sheet1[[#This Row],[claim_date]])</f>
        <v>2022</v>
      </c>
      <c r="K365" s="2" t="str">
        <f>"Q"&amp;ROUNDUP(MONTH(Sheet1[[#This Row],[claim_date]])/3,0)</f>
        <v>Q3</v>
      </c>
      <c r="L365" s="2" t="str">
        <f>IF(Sheet1[[#This Row],[claim_amount]]&lt;100000,"Low",IF(Sheet1[[#This Row],[claim_amount]]&lt;200000,"Medium","High"))</f>
        <v>High</v>
      </c>
      <c r="M365" s="2" t="str">
        <f>IF(Sheet1[[#This Row],[days_to_process]]&lt;=30,"Fast","Slow")</f>
        <v>Fast</v>
      </c>
    </row>
    <row r="366" spans="1:13" x14ac:dyDescent="0.3">
      <c r="A366" t="s">
        <v>727</v>
      </c>
      <c r="B366" s="2" t="s">
        <v>728</v>
      </c>
      <c r="C366" s="1">
        <v>44474</v>
      </c>
      <c r="D366" s="35">
        <v>422592.4</v>
      </c>
      <c r="E366" s="2" t="s">
        <v>10</v>
      </c>
      <c r="F366" s="2" t="s">
        <v>23</v>
      </c>
      <c r="G366" s="2" t="s">
        <v>12</v>
      </c>
      <c r="H366">
        <v>51</v>
      </c>
      <c r="I366" s="2" t="str">
        <f>TEXT(Sheet1[[#This Row],[claim_date]],"mmmm")</f>
        <v>October</v>
      </c>
      <c r="J366" s="2">
        <f>YEAR(Sheet1[[#This Row],[claim_date]])</f>
        <v>2021</v>
      </c>
      <c r="K366" s="2" t="str">
        <f>"Q"&amp;ROUNDUP(MONTH(Sheet1[[#This Row],[claim_date]])/3,0)</f>
        <v>Q4</v>
      </c>
      <c r="L366" s="2" t="str">
        <f>IF(Sheet1[[#This Row],[claim_amount]]&lt;100000,"Low",IF(Sheet1[[#This Row],[claim_amount]]&lt;200000,"Medium","High"))</f>
        <v>High</v>
      </c>
      <c r="M366" s="2" t="str">
        <f>IF(Sheet1[[#This Row],[days_to_process]]&lt;=30,"Fast","Slow")</f>
        <v>Slow</v>
      </c>
    </row>
    <row r="367" spans="1:13" x14ac:dyDescent="0.3">
      <c r="A367" t="s">
        <v>729</v>
      </c>
      <c r="B367" s="2" t="s">
        <v>730</v>
      </c>
      <c r="C367" s="1">
        <v>45167</v>
      </c>
      <c r="D367" s="35">
        <v>218857.44</v>
      </c>
      <c r="E367" s="2" t="s">
        <v>15</v>
      </c>
      <c r="F367" s="2" t="s">
        <v>20</v>
      </c>
      <c r="G367" s="2" t="s">
        <v>24</v>
      </c>
      <c r="H367">
        <v>56</v>
      </c>
      <c r="I367" s="2" t="str">
        <f>TEXT(Sheet1[[#This Row],[claim_date]],"mmmm")</f>
        <v>August</v>
      </c>
      <c r="J367" s="2">
        <f>YEAR(Sheet1[[#This Row],[claim_date]])</f>
        <v>2023</v>
      </c>
      <c r="K367" s="2" t="str">
        <f>"Q"&amp;ROUNDUP(MONTH(Sheet1[[#This Row],[claim_date]])/3,0)</f>
        <v>Q3</v>
      </c>
      <c r="L367" s="2" t="str">
        <f>IF(Sheet1[[#This Row],[claim_amount]]&lt;100000,"Low",IF(Sheet1[[#This Row],[claim_amount]]&lt;200000,"Medium","High"))</f>
        <v>High</v>
      </c>
      <c r="M367" s="2" t="str">
        <f>IF(Sheet1[[#This Row],[days_to_process]]&lt;=30,"Fast","Slow")</f>
        <v>Slow</v>
      </c>
    </row>
    <row r="368" spans="1:13" x14ac:dyDescent="0.3">
      <c r="A368" t="s">
        <v>731</v>
      </c>
      <c r="B368" s="2" t="s">
        <v>732</v>
      </c>
      <c r="C368" s="1">
        <v>45528</v>
      </c>
      <c r="D368" s="35">
        <v>454521</v>
      </c>
      <c r="E368" s="2" t="s">
        <v>19</v>
      </c>
      <c r="F368" s="2" t="s">
        <v>34</v>
      </c>
      <c r="G368" s="2" t="s">
        <v>12</v>
      </c>
      <c r="H368">
        <v>43</v>
      </c>
      <c r="I368" s="2" t="str">
        <f>TEXT(Sheet1[[#This Row],[claim_date]],"mmmm")</f>
        <v>August</v>
      </c>
      <c r="J368" s="2">
        <f>YEAR(Sheet1[[#This Row],[claim_date]])</f>
        <v>2024</v>
      </c>
      <c r="K368" s="2" t="str">
        <f>"Q"&amp;ROUNDUP(MONTH(Sheet1[[#This Row],[claim_date]])/3,0)</f>
        <v>Q3</v>
      </c>
      <c r="L368" s="2" t="str">
        <f>IF(Sheet1[[#This Row],[claim_amount]]&lt;100000,"Low",IF(Sheet1[[#This Row],[claim_amount]]&lt;200000,"Medium","High"))</f>
        <v>High</v>
      </c>
      <c r="M368" s="2" t="str">
        <f>IF(Sheet1[[#This Row],[days_to_process]]&lt;=30,"Fast","Slow")</f>
        <v>Slow</v>
      </c>
    </row>
    <row r="369" spans="1:13" x14ac:dyDescent="0.3">
      <c r="A369" t="s">
        <v>733</v>
      </c>
      <c r="B369" s="2" t="s">
        <v>734</v>
      </c>
      <c r="C369" s="1">
        <v>45355</v>
      </c>
      <c r="D369" s="35">
        <v>478942.04</v>
      </c>
      <c r="E369" s="2" t="s">
        <v>15</v>
      </c>
      <c r="F369" s="2" t="s">
        <v>16</v>
      </c>
      <c r="G369" s="2" t="s">
        <v>24</v>
      </c>
      <c r="H369">
        <v>50</v>
      </c>
      <c r="I369" s="2" t="str">
        <f>TEXT(Sheet1[[#This Row],[claim_date]],"mmmm")</f>
        <v>March</v>
      </c>
      <c r="J369" s="2">
        <f>YEAR(Sheet1[[#This Row],[claim_date]])</f>
        <v>2024</v>
      </c>
      <c r="K369" s="2" t="str">
        <f>"Q"&amp;ROUNDUP(MONTH(Sheet1[[#This Row],[claim_date]])/3,0)</f>
        <v>Q1</v>
      </c>
      <c r="L369" s="2" t="str">
        <f>IF(Sheet1[[#This Row],[claim_amount]]&lt;100000,"Low",IF(Sheet1[[#This Row],[claim_amount]]&lt;200000,"Medium","High"))</f>
        <v>High</v>
      </c>
      <c r="M369" s="2" t="str">
        <f>IF(Sheet1[[#This Row],[days_to_process]]&lt;=30,"Fast","Slow")</f>
        <v>Slow</v>
      </c>
    </row>
    <row r="370" spans="1:13" x14ac:dyDescent="0.3">
      <c r="A370" t="s">
        <v>735</v>
      </c>
      <c r="B370" s="2" t="s">
        <v>736</v>
      </c>
      <c r="C370" s="1">
        <v>45544</v>
      </c>
      <c r="D370" s="35">
        <v>31159.05</v>
      </c>
      <c r="E370" s="2" t="s">
        <v>19</v>
      </c>
      <c r="F370" s="2" t="s">
        <v>23</v>
      </c>
      <c r="G370" s="2" t="s">
        <v>12</v>
      </c>
      <c r="H370">
        <v>11</v>
      </c>
      <c r="I370" s="2" t="str">
        <f>TEXT(Sheet1[[#This Row],[claim_date]],"mmmm")</f>
        <v>September</v>
      </c>
      <c r="J370" s="2">
        <f>YEAR(Sheet1[[#This Row],[claim_date]])</f>
        <v>2024</v>
      </c>
      <c r="K370" s="2" t="str">
        <f>"Q"&amp;ROUNDUP(MONTH(Sheet1[[#This Row],[claim_date]])/3,0)</f>
        <v>Q3</v>
      </c>
      <c r="L370" s="2" t="str">
        <f>IF(Sheet1[[#This Row],[claim_amount]]&lt;100000,"Low",IF(Sheet1[[#This Row],[claim_amount]]&lt;200000,"Medium","High"))</f>
        <v>Low</v>
      </c>
      <c r="M370" s="2" t="str">
        <f>IF(Sheet1[[#This Row],[days_to_process]]&lt;=30,"Fast","Slow")</f>
        <v>Fast</v>
      </c>
    </row>
    <row r="371" spans="1:13" x14ac:dyDescent="0.3">
      <c r="A371" t="s">
        <v>737</v>
      </c>
      <c r="B371" s="2" t="s">
        <v>738</v>
      </c>
      <c r="C371" s="1">
        <v>44922</v>
      </c>
      <c r="D371" s="35">
        <v>348822.23</v>
      </c>
      <c r="E371" s="2" t="s">
        <v>10</v>
      </c>
      <c r="F371" s="2" t="s">
        <v>20</v>
      </c>
      <c r="G371" s="2" t="s">
        <v>12</v>
      </c>
      <c r="H371">
        <v>35</v>
      </c>
      <c r="I371" s="2" t="str">
        <f>TEXT(Sheet1[[#This Row],[claim_date]],"mmmm")</f>
        <v>December</v>
      </c>
      <c r="J371" s="2">
        <f>YEAR(Sheet1[[#This Row],[claim_date]])</f>
        <v>2022</v>
      </c>
      <c r="K371" s="2" t="str">
        <f>"Q"&amp;ROUNDUP(MONTH(Sheet1[[#This Row],[claim_date]])/3,0)</f>
        <v>Q4</v>
      </c>
      <c r="L371" s="2" t="str">
        <f>IF(Sheet1[[#This Row],[claim_amount]]&lt;100000,"Low",IF(Sheet1[[#This Row],[claim_amount]]&lt;200000,"Medium","High"))</f>
        <v>High</v>
      </c>
      <c r="M371" s="2" t="str">
        <f>IF(Sheet1[[#This Row],[days_to_process]]&lt;=30,"Fast","Slow")</f>
        <v>Slow</v>
      </c>
    </row>
    <row r="372" spans="1:13" x14ac:dyDescent="0.3">
      <c r="A372" t="s">
        <v>739</v>
      </c>
      <c r="B372" s="2" t="s">
        <v>740</v>
      </c>
      <c r="C372" s="1">
        <v>45601</v>
      </c>
      <c r="D372" s="35">
        <v>41176.01</v>
      </c>
      <c r="E372" s="2" t="s">
        <v>19</v>
      </c>
      <c r="F372" s="2" t="s">
        <v>11</v>
      </c>
      <c r="G372" s="2" t="s">
        <v>12</v>
      </c>
      <c r="H372">
        <v>58</v>
      </c>
      <c r="I372" s="2" t="str">
        <f>TEXT(Sheet1[[#This Row],[claim_date]],"mmmm")</f>
        <v>November</v>
      </c>
      <c r="J372" s="2">
        <f>YEAR(Sheet1[[#This Row],[claim_date]])</f>
        <v>2024</v>
      </c>
      <c r="K372" s="2" t="str">
        <f>"Q"&amp;ROUNDUP(MONTH(Sheet1[[#This Row],[claim_date]])/3,0)</f>
        <v>Q4</v>
      </c>
      <c r="L372" s="2" t="str">
        <f>IF(Sheet1[[#This Row],[claim_amount]]&lt;100000,"Low",IF(Sheet1[[#This Row],[claim_amount]]&lt;200000,"Medium","High"))</f>
        <v>Low</v>
      </c>
      <c r="M372" s="2" t="str">
        <f>IF(Sheet1[[#This Row],[days_to_process]]&lt;=30,"Fast","Slow")</f>
        <v>Slow</v>
      </c>
    </row>
    <row r="373" spans="1:13" x14ac:dyDescent="0.3">
      <c r="A373" t="s">
        <v>741</v>
      </c>
      <c r="B373" s="2" t="s">
        <v>742</v>
      </c>
      <c r="C373" s="1">
        <v>44155</v>
      </c>
      <c r="D373" s="35">
        <v>344850.77</v>
      </c>
      <c r="E373" s="2" t="s">
        <v>15</v>
      </c>
      <c r="F373" s="2" t="s">
        <v>11</v>
      </c>
      <c r="G373" s="2" t="s">
        <v>12</v>
      </c>
      <c r="H373">
        <v>58</v>
      </c>
      <c r="I373" s="2" t="str">
        <f>TEXT(Sheet1[[#This Row],[claim_date]],"mmmm")</f>
        <v>November</v>
      </c>
      <c r="J373" s="2">
        <f>YEAR(Sheet1[[#This Row],[claim_date]])</f>
        <v>2020</v>
      </c>
      <c r="K373" s="2" t="str">
        <f>"Q"&amp;ROUNDUP(MONTH(Sheet1[[#This Row],[claim_date]])/3,0)</f>
        <v>Q4</v>
      </c>
      <c r="L373" s="2" t="str">
        <f>IF(Sheet1[[#This Row],[claim_amount]]&lt;100000,"Low",IF(Sheet1[[#This Row],[claim_amount]]&lt;200000,"Medium","High"))</f>
        <v>High</v>
      </c>
      <c r="M373" s="2" t="str">
        <f>IF(Sheet1[[#This Row],[days_to_process]]&lt;=30,"Fast","Slow")</f>
        <v>Slow</v>
      </c>
    </row>
    <row r="374" spans="1:13" x14ac:dyDescent="0.3">
      <c r="A374" t="s">
        <v>743</v>
      </c>
      <c r="B374" s="2" t="s">
        <v>309</v>
      </c>
      <c r="C374" s="1">
        <v>44686</v>
      </c>
      <c r="D374" s="35">
        <v>274916.26</v>
      </c>
      <c r="E374" s="2" t="s">
        <v>10</v>
      </c>
      <c r="F374" s="2" t="s">
        <v>23</v>
      </c>
      <c r="G374" s="2" t="s">
        <v>12</v>
      </c>
      <c r="H374">
        <v>49</v>
      </c>
      <c r="I374" s="2" t="str">
        <f>TEXT(Sheet1[[#This Row],[claim_date]],"mmmm")</f>
        <v>May</v>
      </c>
      <c r="J374" s="2">
        <f>YEAR(Sheet1[[#This Row],[claim_date]])</f>
        <v>2022</v>
      </c>
      <c r="K374" s="2" t="str">
        <f>"Q"&amp;ROUNDUP(MONTH(Sheet1[[#This Row],[claim_date]])/3,0)</f>
        <v>Q2</v>
      </c>
      <c r="L374" s="2" t="str">
        <f>IF(Sheet1[[#This Row],[claim_amount]]&lt;100000,"Low",IF(Sheet1[[#This Row],[claim_amount]]&lt;200000,"Medium","High"))</f>
        <v>High</v>
      </c>
      <c r="M374" s="2" t="str">
        <f>IF(Sheet1[[#This Row],[days_to_process]]&lt;=30,"Fast","Slow")</f>
        <v>Slow</v>
      </c>
    </row>
    <row r="375" spans="1:13" x14ac:dyDescent="0.3">
      <c r="A375" t="s">
        <v>744</v>
      </c>
      <c r="B375" s="2" t="s">
        <v>745</v>
      </c>
      <c r="C375" s="1">
        <v>44999</v>
      </c>
      <c r="D375" s="35">
        <v>305318.71000000002</v>
      </c>
      <c r="E375" s="2" t="s">
        <v>15</v>
      </c>
      <c r="F375" s="2" t="s">
        <v>34</v>
      </c>
      <c r="G375" s="2" t="s">
        <v>12</v>
      </c>
      <c r="H375">
        <v>12</v>
      </c>
      <c r="I375" s="2" t="str">
        <f>TEXT(Sheet1[[#This Row],[claim_date]],"mmmm")</f>
        <v>March</v>
      </c>
      <c r="J375" s="2">
        <f>YEAR(Sheet1[[#This Row],[claim_date]])</f>
        <v>2023</v>
      </c>
      <c r="K375" s="2" t="str">
        <f>"Q"&amp;ROUNDUP(MONTH(Sheet1[[#This Row],[claim_date]])/3,0)</f>
        <v>Q1</v>
      </c>
      <c r="L375" s="2" t="str">
        <f>IF(Sheet1[[#This Row],[claim_amount]]&lt;100000,"Low",IF(Sheet1[[#This Row],[claim_amount]]&lt;200000,"Medium","High"))</f>
        <v>High</v>
      </c>
      <c r="M375" s="2" t="str">
        <f>IF(Sheet1[[#This Row],[days_to_process]]&lt;=30,"Fast","Slow")</f>
        <v>Fast</v>
      </c>
    </row>
    <row r="376" spans="1:13" x14ac:dyDescent="0.3">
      <c r="A376" t="s">
        <v>746</v>
      </c>
      <c r="B376" s="2" t="s">
        <v>747</v>
      </c>
      <c r="C376" s="1">
        <v>45068</v>
      </c>
      <c r="D376" s="35">
        <v>173395.14</v>
      </c>
      <c r="E376" s="2" t="s">
        <v>10</v>
      </c>
      <c r="F376" s="2" t="s">
        <v>23</v>
      </c>
      <c r="G376" s="2" t="s">
        <v>24</v>
      </c>
      <c r="H376">
        <v>5</v>
      </c>
      <c r="I376" s="2" t="str">
        <f>TEXT(Sheet1[[#This Row],[claim_date]],"mmmm")</f>
        <v>May</v>
      </c>
      <c r="J376" s="2">
        <f>YEAR(Sheet1[[#This Row],[claim_date]])</f>
        <v>2023</v>
      </c>
      <c r="K376" s="2" t="str">
        <f>"Q"&amp;ROUNDUP(MONTH(Sheet1[[#This Row],[claim_date]])/3,0)</f>
        <v>Q2</v>
      </c>
      <c r="L376" s="2" t="str">
        <f>IF(Sheet1[[#This Row],[claim_amount]]&lt;100000,"Low",IF(Sheet1[[#This Row],[claim_amount]]&lt;200000,"Medium","High"))</f>
        <v>Medium</v>
      </c>
      <c r="M376" s="2" t="str">
        <f>IF(Sheet1[[#This Row],[days_to_process]]&lt;=30,"Fast","Slow")</f>
        <v>Fast</v>
      </c>
    </row>
    <row r="377" spans="1:13" x14ac:dyDescent="0.3">
      <c r="A377" t="s">
        <v>748</v>
      </c>
      <c r="B377" s="2" t="s">
        <v>749</v>
      </c>
      <c r="C377" s="1">
        <v>45381</v>
      </c>
      <c r="D377" s="35">
        <v>454027.59</v>
      </c>
      <c r="E377" s="2" t="s">
        <v>15</v>
      </c>
      <c r="F377" s="2" t="s">
        <v>11</v>
      </c>
      <c r="G377" s="2" t="s">
        <v>12</v>
      </c>
      <c r="H377">
        <v>19</v>
      </c>
      <c r="I377" s="2" t="str">
        <f>TEXT(Sheet1[[#This Row],[claim_date]],"mmmm")</f>
        <v>March</v>
      </c>
      <c r="J377" s="2">
        <f>YEAR(Sheet1[[#This Row],[claim_date]])</f>
        <v>2024</v>
      </c>
      <c r="K377" s="2" t="str">
        <f>"Q"&amp;ROUNDUP(MONTH(Sheet1[[#This Row],[claim_date]])/3,0)</f>
        <v>Q1</v>
      </c>
      <c r="L377" s="2" t="str">
        <f>IF(Sheet1[[#This Row],[claim_amount]]&lt;100000,"Low",IF(Sheet1[[#This Row],[claim_amount]]&lt;200000,"Medium","High"))</f>
        <v>High</v>
      </c>
      <c r="M377" s="2" t="str">
        <f>IF(Sheet1[[#This Row],[days_to_process]]&lt;=30,"Fast","Slow")</f>
        <v>Fast</v>
      </c>
    </row>
    <row r="378" spans="1:13" x14ac:dyDescent="0.3">
      <c r="A378" t="s">
        <v>750</v>
      </c>
      <c r="B378" s="2" t="s">
        <v>751</v>
      </c>
      <c r="C378" s="1">
        <v>45055</v>
      </c>
      <c r="D378" s="35">
        <v>425834.29</v>
      </c>
      <c r="E378" s="2" t="s">
        <v>15</v>
      </c>
      <c r="F378" s="2" t="s">
        <v>16</v>
      </c>
      <c r="G378" s="2" t="s">
        <v>12</v>
      </c>
      <c r="H378">
        <v>44</v>
      </c>
      <c r="I378" s="2" t="str">
        <f>TEXT(Sheet1[[#This Row],[claim_date]],"mmmm")</f>
        <v>May</v>
      </c>
      <c r="J378" s="2">
        <f>YEAR(Sheet1[[#This Row],[claim_date]])</f>
        <v>2023</v>
      </c>
      <c r="K378" s="2" t="str">
        <f>"Q"&amp;ROUNDUP(MONTH(Sheet1[[#This Row],[claim_date]])/3,0)</f>
        <v>Q2</v>
      </c>
      <c r="L378" s="2" t="str">
        <f>IF(Sheet1[[#This Row],[claim_amount]]&lt;100000,"Low",IF(Sheet1[[#This Row],[claim_amount]]&lt;200000,"Medium","High"))</f>
        <v>High</v>
      </c>
      <c r="M378" s="2" t="str">
        <f>IF(Sheet1[[#This Row],[days_to_process]]&lt;=30,"Fast","Slow")</f>
        <v>Slow</v>
      </c>
    </row>
    <row r="379" spans="1:13" x14ac:dyDescent="0.3">
      <c r="A379" t="s">
        <v>752</v>
      </c>
      <c r="B379" s="2" t="s">
        <v>753</v>
      </c>
      <c r="C379" s="1">
        <v>45064</v>
      </c>
      <c r="D379" s="35">
        <v>394241.52</v>
      </c>
      <c r="E379" s="2" t="s">
        <v>19</v>
      </c>
      <c r="F379" s="2" t="s">
        <v>34</v>
      </c>
      <c r="G379" s="2" t="s">
        <v>24</v>
      </c>
      <c r="H379">
        <v>58</v>
      </c>
      <c r="I379" s="2" t="str">
        <f>TEXT(Sheet1[[#This Row],[claim_date]],"mmmm")</f>
        <v>May</v>
      </c>
      <c r="J379" s="2">
        <f>YEAR(Sheet1[[#This Row],[claim_date]])</f>
        <v>2023</v>
      </c>
      <c r="K379" s="2" t="str">
        <f>"Q"&amp;ROUNDUP(MONTH(Sheet1[[#This Row],[claim_date]])/3,0)</f>
        <v>Q2</v>
      </c>
      <c r="L379" s="2" t="str">
        <f>IF(Sheet1[[#This Row],[claim_amount]]&lt;100000,"Low",IF(Sheet1[[#This Row],[claim_amount]]&lt;200000,"Medium","High"))</f>
        <v>High</v>
      </c>
      <c r="M379" s="2" t="str">
        <f>IF(Sheet1[[#This Row],[days_to_process]]&lt;=30,"Fast","Slow")</f>
        <v>Slow</v>
      </c>
    </row>
    <row r="380" spans="1:13" x14ac:dyDescent="0.3">
      <c r="A380" t="s">
        <v>754</v>
      </c>
      <c r="B380" s="2" t="s">
        <v>623</v>
      </c>
      <c r="C380" s="1">
        <v>45152</v>
      </c>
      <c r="D380" s="35">
        <v>312296.73</v>
      </c>
      <c r="E380" s="2" t="s">
        <v>15</v>
      </c>
      <c r="F380" s="2" t="s">
        <v>34</v>
      </c>
      <c r="G380" s="2" t="s">
        <v>24</v>
      </c>
      <c r="H380">
        <v>33</v>
      </c>
      <c r="I380" s="2" t="str">
        <f>TEXT(Sheet1[[#This Row],[claim_date]],"mmmm")</f>
        <v>August</v>
      </c>
      <c r="J380" s="2">
        <f>YEAR(Sheet1[[#This Row],[claim_date]])</f>
        <v>2023</v>
      </c>
      <c r="K380" s="2" t="str">
        <f>"Q"&amp;ROUNDUP(MONTH(Sheet1[[#This Row],[claim_date]])/3,0)</f>
        <v>Q3</v>
      </c>
      <c r="L380" s="2" t="str">
        <f>IF(Sheet1[[#This Row],[claim_amount]]&lt;100000,"Low",IF(Sheet1[[#This Row],[claim_amount]]&lt;200000,"Medium","High"))</f>
        <v>High</v>
      </c>
      <c r="M380" s="2" t="str">
        <f>IF(Sheet1[[#This Row],[days_to_process]]&lt;=30,"Fast","Slow")</f>
        <v>Slow</v>
      </c>
    </row>
    <row r="381" spans="1:13" x14ac:dyDescent="0.3">
      <c r="A381" t="s">
        <v>755</v>
      </c>
      <c r="B381" s="2" t="s">
        <v>681</v>
      </c>
      <c r="C381" s="1">
        <v>45146</v>
      </c>
      <c r="D381" s="35">
        <v>14155.31</v>
      </c>
      <c r="E381" s="2" t="s">
        <v>15</v>
      </c>
      <c r="F381" s="2" t="s">
        <v>20</v>
      </c>
      <c r="G381" s="2" t="s">
        <v>12</v>
      </c>
      <c r="H381">
        <v>55</v>
      </c>
      <c r="I381" s="2" t="str">
        <f>TEXT(Sheet1[[#This Row],[claim_date]],"mmmm")</f>
        <v>August</v>
      </c>
      <c r="J381" s="2">
        <f>YEAR(Sheet1[[#This Row],[claim_date]])</f>
        <v>2023</v>
      </c>
      <c r="K381" s="2" t="str">
        <f>"Q"&amp;ROUNDUP(MONTH(Sheet1[[#This Row],[claim_date]])/3,0)</f>
        <v>Q3</v>
      </c>
      <c r="L381" s="2" t="str">
        <f>IF(Sheet1[[#This Row],[claim_amount]]&lt;100000,"Low",IF(Sheet1[[#This Row],[claim_amount]]&lt;200000,"Medium","High"))</f>
        <v>Low</v>
      </c>
      <c r="M381" s="2" t="str">
        <f>IF(Sheet1[[#This Row],[days_to_process]]&lt;=30,"Fast","Slow")</f>
        <v>Slow</v>
      </c>
    </row>
    <row r="382" spans="1:13" x14ac:dyDescent="0.3">
      <c r="A382" t="s">
        <v>756</v>
      </c>
      <c r="B382" s="2" t="s">
        <v>757</v>
      </c>
      <c r="C382" s="1">
        <v>45538</v>
      </c>
      <c r="D382" s="35">
        <v>76100.73</v>
      </c>
      <c r="E382" s="2" t="s">
        <v>15</v>
      </c>
      <c r="F382" s="2" t="s">
        <v>20</v>
      </c>
      <c r="G382" s="2" t="s">
        <v>12</v>
      </c>
      <c r="H382">
        <v>33</v>
      </c>
      <c r="I382" s="2" t="str">
        <f>TEXT(Sheet1[[#This Row],[claim_date]],"mmmm")</f>
        <v>September</v>
      </c>
      <c r="J382" s="2">
        <f>YEAR(Sheet1[[#This Row],[claim_date]])</f>
        <v>2024</v>
      </c>
      <c r="K382" s="2" t="str">
        <f>"Q"&amp;ROUNDUP(MONTH(Sheet1[[#This Row],[claim_date]])/3,0)</f>
        <v>Q3</v>
      </c>
      <c r="L382" s="2" t="str">
        <f>IF(Sheet1[[#This Row],[claim_amount]]&lt;100000,"Low",IF(Sheet1[[#This Row],[claim_amount]]&lt;200000,"Medium","High"))</f>
        <v>Low</v>
      </c>
      <c r="M382" s="2" t="str">
        <f>IF(Sheet1[[#This Row],[days_to_process]]&lt;=30,"Fast","Slow")</f>
        <v>Slow</v>
      </c>
    </row>
    <row r="383" spans="1:13" x14ac:dyDescent="0.3">
      <c r="A383" t="s">
        <v>758</v>
      </c>
      <c r="B383" s="2" t="s">
        <v>759</v>
      </c>
      <c r="C383" s="1">
        <v>45218</v>
      </c>
      <c r="D383" s="35">
        <v>488183.98</v>
      </c>
      <c r="E383" s="2" t="s">
        <v>19</v>
      </c>
      <c r="F383" s="2" t="s">
        <v>34</v>
      </c>
      <c r="G383" s="2" t="s">
        <v>24</v>
      </c>
      <c r="H383">
        <v>19</v>
      </c>
      <c r="I383" s="2" t="str">
        <f>TEXT(Sheet1[[#This Row],[claim_date]],"mmmm")</f>
        <v>October</v>
      </c>
      <c r="J383" s="2">
        <f>YEAR(Sheet1[[#This Row],[claim_date]])</f>
        <v>2023</v>
      </c>
      <c r="K383" s="2" t="str">
        <f>"Q"&amp;ROUNDUP(MONTH(Sheet1[[#This Row],[claim_date]])/3,0)</f>
        <v>Q4</v>
      </c>
      <c r="L383" s="2" t="str">
        <f>IF(Sheet1[[#This Row],[claim_amount]]&lt;100000,"Low",IF(Sheet1[[#This Row],[claim_amount]]&lt;200000,"Medium","High"))</f>
        <v>High</v>
      </c>
      <c r="M383" s="2" t="str">
        <f>IF(Sheet1[[#This Row],[days_to_process]]&lt;=30,"Fast","Slow")</f>
        <v>Fast</v>
      </c>
    </row>
    <row r="384" spans="1:13" x14ac:dyDescent="0.3">
      <c r="A384" t="s">
        <v>760</v>
      </c>
      <c r="B384" s="2" t="s">
        <v>761</v>
      </c>
      <c r="C384" s="1">
        <v>45462</v>
      </c>
      <c r="D384" s="35">
        <v>402924.1</v>
      </c>
      <c r="E384" s="2" t="s">
        <v>10</v>
      </c>
      <c r="F384" s="2" t="s">
        <v>34</v>
      </c>
      <c r="G384" s="2" t="s">
        <v>12</v>
      </c>
      <c r="H384">
        <v>31</v>
      </c>
      <c r="I384" s="2" t="str">
        <f>TEXT(Sheet1[[#This Row],[claim_date]],"mmmm")</f>
        <v>June</v>
      </c>
      <c r="J384" s="2">
        <f>YEAR(Sheet1[[#This Row],[claim_date]])</f>
        <v>2024</v>
      </c>
      <c r="K384" s="2" t="str">
        <f>"Q"&amp;ROUNDUP(MONTH(Sheet1[[#This Row],[claim_date]])/3,0)</f>
        <v>Q2</v>
      </c>
      <c r="L384" s="2" t="str">
        <f>IF(Sheet1[[#This Row],[claim_amount]]&lt;100000,"Low",IF(Sheet1[[#This Row],[claim_amount]]&lt;200000,"Medium","High"))</f>
        <v>High</v>
      </c>
      <c r="M384" s="2" t="str">
        <f>IF(Sheet1[[#This Row],[days_to_process]]&lt;=30,"Fast","Slow")</f>
        <v>Slow</v>
      </c>
    </row>
    <row r="385" spans="1:13" x14ac:dyDescent="0.3">
      <c r="A385" t="s">
        <v>762</v>
      </c>
      <c r="B385" s="2" t="s">
        <v>763</v>
      </c>
      <c r="C385" s="1">
        <v>45135</v>
      </c>
      <c r="D385" s="35">
        <v>283843.20000000001</v>
      </c>
      <c r="E385" s="2" t="s">
        <v>10</v>
      </c>
      <c r="F385" s="2" t="s">
        <v>16</v>
      </c>
      <c r="G385" s="2" t="s">
        <v>12</v>
      </c>
      <c r="H385">
        <v>46</v>
      </c>
      <c r="I385" s="2" t="str">
        <f>TEXT(Sheet1[[#This Row],[claim_date]],"mmmm")</f>
        <v>July</v>
      </c>
      <c r="J385" s="2">
        <f>YEAR(Sheet1[[#This Row],[claim_date]])</f>
        <v>2023</v>
      </c>
      <c r="K385" s="2" t="str">
        <f>"Q"&amp;ROUNDUP(MONTH(Sheet1[[#This Row],[claim_date]])/3,0)</f>
        <v>Q3</v>
      </c>
      <c r="L385" s="2" t="str">
        <f>IF(Sheet1[[#This Row],[claim_amount]]&lt;100000,"Low",IF(Sheet1[[#This Row],[claim_amount]]&lt;200000,"Medium","High"))</f>
        <v>High</v>
      </c>
      <c r="M385" s="2" t="str">
        <f>IF(Sheet1[[#This Row],[days_to_process]]&lt;=30,"Fast","Slow")</f>
        <v>Slow</v>
      </c>
    </row>
    <row r="386" spans="1:13" x14ac:dyDescent="0.3">
      <c r="A386" t="s">
        <v>764</v>
      </c>
      <c r="B386" s="2" t="s">
        <v>765</v>
      </c>
      <c r="C386" s="1">
        <v>45555</v>
      </c>
      <c r="D386" s="35">
        <v>86631.74</v>
      </c>
      <c r="E386" s="2" t="s">
        <v>10</v>
      </c>
      <c r="F386" s="2" t="s">
        <v>11</v>
      </c>
      <c r="G386" s="2" t="s">
        <v>12</v>
      </c>
      <c r="H386">
        <v>42</v>
      </c>
      <c r="I386" s="2" t="str">
        <f>TEXT(Sheet1[[#This Row],[claim_date]],"mmmm")</f>
        <v>September</v>
      </c>
      <c r="J386" s="2">
        <f>YEAR(Sheet1[[#This Row],[claim_date]])</f>
        <v>2024</v>
      </c>
      <c r="K386" s="2" t="str">
        <f>"Q"&amp;ROUNDUP(MONTH(Sheet1[[#This Row],[claim_date]])/3,0)</f>
        <v>Q3</v>
      </c>
      <c r="L386" s="2" t="str">
        <f>IF(Sheet1[[#This Row],[claim_amount]]&lt;100000,"Low",IF(Sheet1[[#This Row],[claim_amount]]&lt;200000,"Medium","High"))</f>
        <v>Low</v>
      </c>
      <c r="M386" s="2" t="str">
        <f>IF(Sheet1[[#This Row],[days_to_process]]&lt;=30,"Fast","Slow")</f>
        <v>Slow</v>
      </c>
    </row>
    <row r="387" spans="1:13" x14ac:dyDescent="0.3">
      <c r="A387" t="s">
        <v>766</v>
      </c>
      <c r="B387" s="2" t="s">
        <v>767</v>
      </c>
      <c r="C387" s="1">
        <v>44405</v>
      </c>
      <c r="D387" s="35">
        <v>343108.68</v>
      </c>
      <c r="E387" s="2" t="s">
        <v>19</v>
      </c>
      <c r="F387" s="2" t="s">
        <v>23</v>
      </c>
      <c r="G387" s="2" t="s">
        <v>12</v>
      </c>
      <c r="H387">
        <v>59</v>
      </c>
      <c r="I387" s="2" t="str">
        <f>TEXT(Sheet1[[#This Row],[claim_date]],"mmmm")</f>
        <v>July</v>
      </c>
      <c r="J387" s="2">
        <f>YEAR(Sheet1[[#This Row],[claim_date]])</f>
        <v>2021</v>
      </c>
      <c r="K387" s="2" t="str">
        <f>"Q"&amp;ROUNDUP(MONTH(Sheet1[[#This Row],[claim_date]])/3,0)</f>
        <v>Q3</v>
      </c>
      <c r="L387" s="2" t="str">
        <f>IF(Sheet1[[#This Row],[claim_amount]]&lt;100000,"Low",IF(Sheet1[[#This Row],[claim_amount]]&lt;200000,"Medium","High"))</f>
        <v>High</v>
      </c>
      <c r="M387" s="2" t="str">
        <f>IF(Sheet1[[#This Row],[days_to_process]]&lt;=30,"Fast","Slow")</f>
        <v>Slow</v>
      </c>
    </row>
    <row r="388" spans="1:13" x14ac:dyDescent="0.3">
      <c r="A388" t="s">
        <v>768</v>
      </c>
      <c r="B388" s="2" t="s">
        <v>769</v>
      </c>
      <c r="C388" s="1">
        <v>45437</v>
      </c>
      <c r="D388" s="35">
        <v>235657.28</v>
      </c>
      <c r="E388" s="2" t="s">
        <v>15</v>
      </c>
      <c r="F388" s="2" t="s">
        <v>23</v>
      </c>
      <c r="G388" s="2" t="s">
        <v>24</v>
      </c>
      <c r="H388">
        <v>10</v>
      </c>
      <c r="I388" s="2" t="str">
        <f>TEXT(Sheet1[[#This Row],[claim_date]],"mmmm")</f>
        <v>May</v>
      </c>
      <c r="J388" s="2">
        <f>YEAR(Sheet1[[#This Row],[claim_date]])</f>
        <v>2024</v>
      </c>
      <c r="K388" s="2" t="str">
        <f>"Q"&amp;ROUNDUP(MONTH(Sheet1[[#This Row],[claim_date]])/3,0)</f>
        <v>Q2</v>
      </c>
      <c r="L388" s="2" t="str">
        <f>IF(Sheet1[[#This Row],[claim_amount]]&lt;100000,"Low",IF(Sheet1[[#This Row],[claim_amount]]&lt;200000,"Medium","High"))</f>
        <v>High</v>
      </c>
      <c r="M388" s="2" t="str">
        <f>IF(Sheet1[[#This Row],[days_to_process]]&lt;=30,"Fast","Slow")</f>
        <v>Fast</v>
      </c>
    </row>
    <row r="389" spans="1:13" x14ac:dyDescent="0.3">
      <c r="A389" t="s">
        <v>770</v>
      </c>
      <c r="B389" s="2" t="s">
        <v>771</v>
      </c>
      <c r="C389" s="1">
        <v>45276</v>
      </c>
      <c r="D389" s="35">
        <v>434969.59</v>
      </c>
      <c r="E389" s="2" t="s">
        <v>10</v>
      </c>
      <c r="F389" s="2" t="s">
        <v>34</v>
      </c>
      <c r="G389" s="2" t="s">
        <v>12</v>
      </c>
      <c r="H389">
        <v>49</v>
      </c>
      <c r="I389" s="2" t="str">
        <f>TEXT(Sheet1[[#This Row],[claim_date]],"mmmm")</f>
        <v>December</v>
      </c>
      <c r="J389" s="2">
        <f>YEAR(Sheet1[[#This Row],[claim_date]])</f>
        <v>2023</v>
      </c>
      <c r="K389" s="2" t="str">
        <f>"Q"&amp;ROUNDUP(MONTH(Sheet1[[#This Row],[claim_date]])/3,0)</f>
        <v>Q4</v>
      </c>
      <c r="L389" s="2" t="str">
        <f>IF(Sheet1[[#This Row],[claim_amount]]&lt;100000,"Low",IF(Sheet1[[#This Row],[claim_amount]]&lt;200000,"Medium","High"))</f>
        <v>High</v>
      </c>
      <c r="M389" s="2" t="str">
        <f>IF(Sheet1[[#This Row],[days_to_process]]&lt;=30,"Fast","Slow")</f>
        <v>Slow</v>
      </c>
    </row>
    <row r="390" spans="1:13" x14ac:dyDescent="0.3">
      <c r="A390" t="s">
        <v>772</v>
      </c>
      <c r="B390" s="2" t="s">
        <v>773</v>
      </c>
      <c r="C390" s="1">
        <v>45458</v>
      </c>
      <c r="D390" s="35">
        <v>448471.85</v>
      </c>
      <c r="E390" s="2" t="s">
        <v>19</v>
      </c>
      <c r="F390" s="2" t="s">
        <v>16</v>
      </c>
      <c r="G390" s="2" t="s">
        <v>24</v>
      </c>
      <c r="H390">
        <v>8</v>
      </c>
      <c r="I390" s="2" t="str">
        <f>TEXT(Sheet1[[#This Row],[claim_date]],"mmmm")</f>
        <v>June</v>
      </c>
      <c r="J390" s="2">
        <f>YEAR(Sheet1[[#This Row],[claim_date]])</f>
        <v>2024</v>
      </c>
      <c r="K390" s="2" t="str">
        <f>"Q"&amp;ROUNDUP(MONTH(Sheet1[[#This Row],[claim_date]])/3,0)</f>
        <v>Q2</v>
      </c>
      <c r="L390" s="2" t="str">
        <f>IF(Sheet1[[#This Row],[claim_amount]]&lt;100000,"Low",IF(Sheet1[[#This Row],[claim_amount]]&lt;200000,"Medium","High"))</f>
        <v>High</v>
      </c>
      <c r="M390" s="2" t="str">
        <f>IF(Sheet1[[#This Row],[days_to_process]]&lt;=30,"Fast","Slow")</f>
        <v>Fast</v>
      </c>
    </row>
    <row r="391" spans="1:13" x14ac:dyDescent="0.3">
      <c r="A391" t="s">
        <v>774</v>
      </c>
      <c r="B391" s="2" t="s">
        <v>745</v>
      </c>
      <c r="C391" s="1">
        <v>45224</v>
      </c>
      <c r="D391" s="35">
        <v>152745.71</v>
      </c>
      <c r="E391" s="2" t="s">
        <v>15</v>
      </c>
      <c r="F391" s="2" t="s">
        <v>23</v>
      </c>
      <c r="G391" s="2" t="s">
        <v>12</v>
      </c>
      <c r="H391">
        <v>59</v>
      </c>
      <c r="I391" s="2" t="str">
        <f>TEXT(Sheet1[[#This Row],[claim_date]],"mmmm")</f>
        <v>October</v>
      </c>
      <c r="J391" s="2">
        <f>YEAR(Sheet1[[#This Row],[claim_date]])</f>
        <v>2023</v>
      </c>
      <c r="K391" s="2" t="str">
        <f>"Q"&amp;ROUNDUP(MONTH(Sheet1[[#This Row],[claim_date]])/3,0)</f>
        <v>Q4</v>
      </c>
      <c r="L391" s="2" t="str">
        <f>IF(Sheet1[[#This Row],[claim_amount]]&lt;100000,"Low",IF(Sheet1[[#This Row],[claim_amount]]&lt;200000,"Medium","High"))</f>
        <v>Medium</v>
      </c>
      <c r="M391" s="2" t="str">
        <f>IF(Sheet1[[#This Row],[days_to_process]]&lt;=30,"Fast","Slow")</f>
        <v>Slow</v>
      </c>
    </row>
    <row r="392" spans="1:13" x14ac:dyDescent="0.3">
      <c r="A392" t="s">
        <v>775</v>
      </c>
      <c r="B392" s="2" t="s">
        <v>776</v>
      </c>
      <c r="C392" s="1">
        <v>44544</v>
      </c>
      <c r="D392" s="35">
        <v>326726.24</v>
      </c>
      <c r="E392" s="2" t="s">
        <v>10</v>
      </c>
      <c r="F392" s="2" t="s">
        <v>16</v>
      </c>
      <c r="G392" s="2" t="s">
        <v>24</v>
      </c>
      <c r="H392">
        <v>45</v>
      </c>
      <c r="I392" s="2" t="str">
        <f>TEXT(Sheet1[[#This Row],[claim_date]],"mmmm")</f>
        <v>December</v>
      </c>
      <c r="J392" s="2">
        <f>YEAR(Sheet1[[#This Row],[claim_date]])</f>
        <v>2021</v>
      </c>
      <c r="K392" s="2" t="str">
        <f>"Q"&amp;ROUNDUP(MONTH(Sheet1[[#This Row],[claim_date]])/3,0)</f>
        <v>Q4</v>
      </c>
      <c r="L392" s="2" t="str">
        <f>IF(Sheet1[[#This Row],[claim_amount]]&lt;100000,"Low",IF(Sheet1[[#This Row],[claim_amount]]&lt;200000,"Medium","High"))</f>
        <v>High</v>
      </c>
      <c r="M392" s="2" t="str">
        <f>IF(Sheet1[[#This Row],[days_to_process]]&lt;=30,"Fast","Slow")</f>
        <v>Slow</v>
      </c>
    </row>
    <row r="393" spans="1:13" x14ac:dyDescent="0.3">
      <c r="A393" t="s">
        <v>777</v>
      </c>
      <c r="B393" s="2" t="s">
        <v>778</v>
      </c>
      <c r="C393" s="1">
        <v>44777</v>
      </c>
      <c r="D393" s="35">
        <v>82619.67</v>
      </c>
      <c r="E393" s="2" t="s">
        <v>15</v>
      </c>
      <c r="F393" s="2" t="s">
        <v>11</v>
      </c>
      <c r="G393" s="2" t="s">
        <v>12</v>
      </c>
      <c r="H393">
        <v>48</v>
      </c>
      <c r="I393" s="2" t="str">
        <f>TEXT(Sheet1[[#This Row],[claim_date]],"mmmm")</f>
        <v>August</v>
      </c>
      <c r="J393" s="2">
        <f>YEAR(Sheet1[[#This Row],[claim_date]])</f>
        <v>2022</v>
      </c>
      <c r="K393" s="2" t="str">
        <f>"Q"&amp;ROUNDUP(MONTH(Sheet1[[#This Row],[claim_date]])/3,0)</f>
        <v>Q3</v>
      </c>
      <c r="L393" s="2" t="str">
        <f>IF(Sheet1[[#This Row],[claim_amount]]&lt;100000,"Low",IF(Sheet1[[#This Row],[claim_amount]]&lt;200000,"Medium","High"))</f>
        <v>Low</v>
      </c>
      <c r="M393" s="2" t="str">
        <f>IF(Sheet1[[#This Row],[days_to_process]]&lt;=30,"Fast","Slow")</f>
        <v>Slow</v>
      </c>
    </row>
    <row r="394" spans="1:13" x14ac:dyDescent="0.3">
      <c r="A394" t="s">
        <v>779</v>
      </c>
      <c r="B394" s="2" t="s">
        <v>780</v>
      </c>
      <c r="C394" s="1">
        <v>45468</v>
      </c>
      <c r="D394" s="35">
        <v>457294.86</v>
      </c>
      <c r="E394" s="2" t="s">
        <v>15</v>
      </c>
      <c r="F394" s="2" t="s">
        <v>16</v>
      </c>
      <c r="G394" s="2" t="s">
        <v>24</v>
      </c>
      <c r="H394">
        <v>43</v>
      </c>
      <c r="I394" s="2" t="str">
        <f>TEXT(Sheet1[[#This Row],[claim_date]],"mmmm")</f>
        <v>June</v>
      </c>
      <c r="J394" s="2">
        <f>YEAR(Sheet1[[#This Row],[claim_date]])</f>
        <v>2024</v>
      </c>
      <c r="K394" s="2" t="str">
        <f>"Q"&amp;ROUNDUP(MONTH(Sheet1[[#This Row],[claim_date]])/3,0)</f>
        <v>Q2</v>
      </c>
      <c r="L394" s="2" t="str">
        <f>IF(Sheet1[[#This Row],[claim_amount]]&lt;100000,"Low",IF(Sheet1[[#This Row],[claim_amount]]&lt;200000,"Medium","High"))</f>
        <v>High</v>
      </c>
      <c r="M394" s="2" t="str">
        <f>IF(Sheet1[[#This Row],[days_to_process]]&lt;=30,"Fast","Slow")</f>
        <v>Slow</v>
      </c>
    </row>
    <row r="395" spans="1:13" x14ac:dyDescent="0.3">
      <c r="A395" t="s">
        <v>781</v>
      </c>
      <c r="B395" s="2" t="s">
        <v>782</v>
      </c>
      <c r="C395" s="1">
        <v>44948</v>
      </c>
      <c r="D395" s="35">
        <v>429303.17</v>
      </c>
      <c r="E395" s="2" t="s">
        <v>19</v>
      </c>
      <c r="F395" s="2" t="s">
        <v>16</v>
      </c>
      <c r="G395" s="2" t="s">
        <v>12</v>
      </c>
      <c r="H395">
        <v>55</v>
      </c>
      <c r="I395" s="2" t="str">
        <f>TEXT(Sheet1[[#This Row],[claim_date]],"mmmm")</f>
        <v>January</v>
      </c>
      <c r="J395" s="2">
        <f>YEAR(Sheet1[[#This Row],[claim_date]])</f>
        <v>2023</v>
      </c>
      <c r="K395" s="2" t="str">
        <f>"Q"&amp;ROUNDUP(MONTH(Sheet1[[#This Row],[claim_date]])/3,0)</f>
        <v>Q1</v>
      </c>
      <c r="L395" s="2" t="str">
        <f>IF(Sheet1[[#This Row],[claim_amount]]&lt;100000,"Low",IF(Sheet1[[#This Row],[claim_amount]]&lt;200000,"Medium","High"))</f>
        <v>High</v>
      </c>
      <c r="M395" s="2" t="str">
        <f>IF(Sheet1[[#This Row],[days_to_process]]&lt;=30,"Fast","Slow")</f>
        <v>Slow</v>
      </c>
    </row>
    <row r="396" spans="1:13" x14ac:dyDescent="0.3">
      <c r="A396" t="s">
        <v>783</v>
      </c>
      <c r="B396" s="2" t="s">
        <v>784</v>
      </c>
      <c r="C396" s="1">
        <v>44391</v>
      </c>
      <c r="D396" s="35">
        <v>268811.09999999998</v>
      </c>
      <c r="E396" s="2" t="s">
        <v>15</v>
      </c>
      <c r="F396" s="2" t="s">
        <v>11</v>
      </c>
      <c r="G396" s="2" t="s">
        <v>12</v>
      </c>
      <c r="H396">
        <v>8</v>
      </c>
      <c r="I396" s="2" t="str">
        <f>TEXT(Sheet1[[#This Row],[claim_date]],"mmmm")</f>
        <v>July</v>
      </c>
      <c r="J396" s="2">
        <f>YEAR(Sheet1[[#This Row],[claim_date]])</f>
        <v>2021</v>
      </c>
      <c r="K396" s="2" t="str">
        <f>"Q"&amp;ROUNDUP(MONTH(Sheet1[[#This Row],[claim_date]])/3,0)</f>
        <v>Q3</v>
      </c>
      <c r="L396" s="2" t="str">
        <f>IF(Sheet1[[#This Row],[claim_amount]]&lt;100000,"Low",IF(Sheet1[[#This Row],[claim_amount]]&lt;200000,"Medium","High"))</f>
        <v>High</v>
      </c>
      <c r="M396" s="2" t="str">
        <f>IF(Sheet1[[#This Row],[days_to_process]]&lt;=30,"Fast","Slow")</f>
        <v>Fast</v>
      </c>
    </row>
    <row r="397" spans="1:13" x14ac:dyDescent="0.3">
      <c r="A397" t="s">
        <v>785</v>
      </c>
      <c r="B397" s="2" t="s">
        <v>786</v>
      </c>
      <c r="C397" s="1">
        <v>45148</v>
      </c>
      <c r="D397" s="35">
        <v>107906.6</v>
      </c>
      <c r="E397" s="2" t="s">
        <v>10</v>
      </c>
      <c r="F397" s="2" t="s">
        <v>16</v>
      </c>
      <c r="G397" s="2" t="s">
        <v>12</v>
      </c>
      <c r="H397">
        <v>13</v>
      </c>
      <c r="I397" s="2" t="str">
        <f>TEXT(Sheet1[[#This Row],[claim_date]],"mmmm")</f>
        <v>August</v>
      </c>
      <c r="J397" s="2">
        <f>YEAR(Sheet1[[#This Row],[claim_date]])</f>
        <v>2023</v>
      </c>
      <c r="K397" s="2" t="str">
        <f>"Q"&amp;ROUNDUP(MONTH(Sheet1[[#This Row],[claim_date]])/3,0)</f>
        <v>Q3</v>
      </c>
      <c r="L397" s="2" t="str">
        <f>IF(Sheet1[[#This Row],[claim_amount]]&lt;100000,"Low",IF(Sheet1[[#This Row],[claim_amount]]&lt;200000,"Medium","High"))</f>
        <v>Medium</v>
      </c>
      <c r="M397" s="2" t="str">
        <f>IF(Sheet1[[#This Row],[days_to_process]]&lt;=30,"Fast","Slow")</f>
        <v>Fast</v>
      </c>
    </row>
    <row r="398" spans="1:13" x14ac:dyDescent="0.3">
      <c r="A398" t="s">
        <v>787</v>
      </c>
      <c r="B398" s="2" t="s">
        <v>788</v>
      </c>
      <c r="C398" s="1">
        <v>44743</v>
      </c>
      <c r="D398" s="35">
        <v>73842.8</v>
      </c>
      <c r="E398" s="2" t="s">
        <v>15</v>
      </c>
      <c r="F398" s="2" t="s">
        <v>20</v>
      </c>
      <c r="G398" s="2" t="s">
        <v>24</v>
      </c>
      <c r="H398">
        <v>41</v>
      </c>
      <c r="I398" s="2" t="str">
        <f>TEXT(Sheet1[[#This Row],[claim_date]],"mmmm")</f>
        <v>July</v>
      </c>
      <c r="J398" s="2">
        <f>YEAR(Sheet1[[#This Row],[claim_date]])</f>
        <v>2022</v>
      </c>
      <c r="K398" s="2" t="str">
        <f>"Q"&amp;ROUNDUP(MONTH(Sheet1[[#This Row],[claim_date]])/3,0)</f>
        <v>Q3</v>
      </c>
      <c r="L398" s="2" t="str">
        <f>IF(Sheet1[[#This Row],[claim_amount]]&lt;100000,"Low",IF(Sheet1[[#This Row],[claim_amount]]&lt;200000,"Medium","High"))</f>
        <v>Low</v>
      </c>
      <c r="M398" s="2" t="str">
        <f>IF(Sheet1[[#This Row],[days_to_process]]&lt;=30,"Fast","Slow")</f>
        <v>Slow</v>
      </c>
    </row>
    <row r="399" spans="1:13" x14ac:dyDescent="0.3">
      <c r="A399" t="s">
        <v>789</v>
      </c>
      <c r="B399" s="2" t="s">
        <v>790</v>
      </c>
      <c r="C399" s="1">
        <v>45561</v>
      </c>
      <c r="D399" s="35">
        <v>168188.43</v>
      </c>
      <c r="E399" s="2" t="s">
        <v>19</v>
      </c>
      <c r="F399" s="2" t="s">
        <v>16</v>
      </c>
      <c r="G399" s="2" t="s">
        <v>12</v>
      </c>
      <c r="H399">
        <v>5</v>
      </c>
      <c r="I399" s="2" t="str">
        <f>TEXT(Sheet1[[#This Row],[claim_date]],"mmmm")</f>
        <v>September</v>
      </c>
      <c r="J399" s="2">
        <f>YEAR(Sheet1[[#This Row],[claim_date]])</f>
        <v>2024</v>
      </c>
      <c r="K399" s="2" t="str">
        <f>"Q"&amp;ROUNDUP(MONTH(Sheet1[[#This Row],[claim_date]])/3,0)</f>
        <v>Q3</v>
      </c>
      <c r="L399" s="2" t="str">
        <f>IF(Sheet1[[#This Row],[claim_amount]]&lt;100000,"Low",IF(Sheet1[[#This Row],[claim_amount]]&lt;200000,"Medium","High"))</f>
        <v>Medium</v>
      </c>
      <c r="M399" s="2" t="str">
        <f>IF(Sheet1[[#This Row],[days_to_process]]&lt;=30,"Fast","Slow")</f>
        <v>Fast</v>
      </c>
    </row>
    <row r="400" spans="1:13" x14ac:dyDescent="0.3">
      <c r="A400" t="s">
        <v>791</v>
      </c>
      <c r="B400" s="2" t="s">
        <v>792</v>
      </c>
      <c r="C400" s="1">
        <v>44211</v>
      </c>
      <c r="D400" s="35">
        <v>418126.19</v>
      </c>
      <c r="E400" s="2" t="s">
        <v>15</v>
      </c>
      <c r="F400" s="2" t="s">
        <v>20</v>
      </c>
      <c r="G400" s="2" t="s">
        <v>24</v>
      </c>
      <c r="H400">
        <v>8</v>
      </c>
      <c r="I400" s="2" t="str">
        <f>TEXT(Sheet1[[#This Row],[claim_date]],"mmmm")</f>
        <v>January</v>
      </c>
      <c r="J400" s="2">
        <f>YEAR(Sheet1[[#This Row],[claim_date]])</f>
        <v>2021</v>
      </c>
      <c r="K400" s="2" t="str">
        <f>"Q"&amp;ROUNDUP(MONTH(Sheet1[[#This Row],[claim_date]])/3,0)</f>
        <v>Q1</v>
      </c>
      <c r="L400" s="2" t="str">
        <f>IF(Sheet1[[#This Row],[claim_amount]]&lt;100000,"Low",IF(Sheet1[[#This Row],[claim_amount]]&lt;200000,"Medium","High"))</f>
        <v>High</v>
      </c>
      <c r="M400" s="2" t="str">
        <f>IF(Sheet1[[#This Row],[days_to_process]]&lt;=30,"Fast","Slow")</f>
        <v>Fast</v>
      </c>
    </row>
    <row r="401" spans="1:13" x14ac:dyDescent="0.3">
      <c r="A401" t="s">
        <v>793</v>
      </c>
      <c r="B401" s="2" t="s">
        <v>794</v>
      </c>
      <c r="C401" s="1">
        <v>45336</v>
      </c>
      <c r="D401" s="35">
        <v>369971.69</v>
      </c>
      <c r="E401" s="2" t="s">
        <v>10</v>
      </c>
      <c r="F401" s="2" t="s">
        <v>34</v>
      </c>
      <c r="G401" s="2" t="s">
        <v>24</v>
      </c>
      <c r="H401">
        <v>20</v>
      </c>
      <c r="I401" s="2" t="str">
        <f>TEXT(Sheet1[[#This Row],[claim_date]],"mmmm")</f>
        <v>February</v>
      </c>
      <c r="J401" s="2">
        <f>YEAR(Sheet1[[#This Row],[claim_date]])</f>
        <v>2024</v>
      </c>
      <c r="K401" s="2" t="str">
        <f>"Q"&amp;ROUNDUP(MONTH(Sheet1[[#This Row],[claim_date]])/3,0)</f>
        <v>Q1</v>
      </c>
      <c r="L401" s="2" t="str">
        <f>IF(Sheet1[[#This Row],[claim_amount]]&lt;100000,"Low",IF(Sheet1[[#This Row],[claim_amount]]&lt;200000,"Medium","High"))</f>
        <v>High</v>
      </c>
      <c r="M401" s="2" t="str">
        <f>IF(Sheet1[[#This Row],[days_to_process]]&lt;=30,"Fast","Slow")</f>
        <v>Fast</v>
      </c>
    </row>
    <row r="402" spans="1:13" x14ac:dyDescent="0.3">
      <c r="A402" t="s">
        <v>795</v>
      </c>
      <c r="B402" s="2" t="s">
        <v>796</v>
      </c>
      <c r="C402" s="1">
        <v>45164</v>
      </c>
      <c r="D402" s="35">
        <v>273625.53000000003</v>
      </c>
      <c r="E402" s="2" t="s">
        <v>19</v>
      </c>
      <c r="F402" s="2" t="s">
        <v>20</v>
      </c>
      <c r="G402" s="2" t="s">
        <v>12</v>
      </c>
      <c r="H402">
        <v>6</v>
      </c>
      <c r="I402" s="2" t="str">
        <f>TEXT(Sheet1[[#This Row],[claim_date]],"mmmm")</f>
        <v>August</v>
      </c>
      <c r="J402" s="2">
        <f>YEAR(Sheet1[[#This Row],[claim_date]])</f>
        <v>2023</v>
      </c>
      <c r="K402" s="2" t="str">
        <f>"Q"&amp;ROUNDUP(MONTH(Sheet1[[#This Row],[claim_date]])/3,0)</f>
        <v>Q3</v>
      </c>
      <c r="L402" s="2" t="str">
        <f>IF(Sheet1[[#This Row],[claim_amount]]&lt;100000,"Low",IF(Sheet1[[#This Row],[claim_amount]]&lt;200000,"Medium","High"))</f>
        <v>High</v>
      </c>
      <c r="M402" s="2" t="str">
        <f>IF(Sheet1[[#This Row],[days_to_process]]&lt;=30,"Fast","Slow")</f>
        <v>Fast</v>
      </c>
    </row>
    <row r="403" spans="1:13" x14ac:dyDescent="0.3">
      <c r="A403" t="s">
        <v>797</v>
      </c>
      <c r="B403" s="2" t="s">
        <v>798</v>
      </c>
      <c r="C403" s="1">
        <v>44621</v>
      </c>
      <c r="D403" s="35">
        <v>209834.07</v>
      </c>
      <c r="E403" s="2" t="s">
        <v>19</v>
      </c>
      <c r="F403" s="2" t="s">
        <v>20</v>
      </c>
      <c r="G403" s="2" t="s">
        <v>12</v>
      </c>
      <c r="H403">
        <v>11</v>
      </c>
      <c r="I403" s="2" t="str">
        <f>TEXT(Sheet1[[#This Row],[claim_date]],"mmmm")</f>
        <v>March</v>
      </c>
      <c r="J403" s="2">
        <f>YEAR(Sheet1[[#This Row],[claim_date]])</f>
        <v>2022</v>
      </c>
      <c r="K403" s="2" t="str">
        <f>"Q"&amp;ROUNDUP(MONTH(Sheet1[[#This Row],[claim_date]])/3,0)</f>
        <v>Q1</v>
      </c>
      <c r="L403" s="2" t="str">
        <f>IF(Sheet1[[#This Row],[claim_amount]]&lt;100000,"Low",IF(Sheet1[[#This Row],[claim_amount]]&lt;200000,"Medium","High"))</f>
        <v>High</v>
      </c>
      <c r="M403" s="2" t="str">
        <f>IF(Sheet1[[#This Row],[days_to_process]]&lt;=30,"Fast","Slow")</f>
        <v>Fast</v>
      </c>
    </row>
    <row r="404" spans="1:13" x14ac:dyDescent="0.3">
      <c r="A404" t="s">
        <v>799</v>
      </c>
      <c r="B404" s="2" t="s">
        <v>800</v>
      </c>
      <c r="C404" s="1">
        <v>45643</v>
      </c>
      <c r="D404" s="35">
        <v>370261.95</v>
      </c>
      <c r="E404" s="2" t="s">
        <v>19</v>
      </c>
      <c r="F404" s="2" t="s">
        <v>16</v>
      </c>
      <c r="G404" s="2" t="s">
        <v>24</v>
      </c>
      <c r="H404">
        <v>29</v>
      </c>
      <c r="I404" s="2" t="str">
        <f>TEXT(Sheet1[[#This Row],[claim_date]],"mmmm")</f>
        <v>December</v>
      </c>
      <c r="J404" s="2">
        <f>YEAR(Sheet1[[#This Row],[claim_date]])</f>
        <v>2024</v>
      </c>
      <c r="K404" s="2" t="str">
        <f>"Q"&amp;ROUNDUP(MONTH(Sheet1[[#This Row],[claim_date]])/3,0)</f>
        <v>Q4</v>
      </c>
      <c r="L404" s="2" t="str">
        <f>IF(Sheet1[[#This Row],[claim_amount]]&lt;100000,"Low",IF(Sheet1[[#This Row],[claim_amount]]&lt;200000,"Medium","High"))</f>
        <v>High</v>
      </c>
      <c r="M404" s="2" t="str">
        <f>IF(Sheet1[[#This Row],[days_to_process]]&lt;=30,"Fast","Slow")</f>
        <v>Fast</v>
      </c>
    </row>
    <row r="405" spans="1:13" x14ac:dyDescent="0.3">
      <c r="A405" t="s">
        <v>801</v>
      </c>
      <c r="B405" s="2" t="s">
        <v>802</v>
      </c>
      <c r="C405" s="1">
        <v>44423</v>
      </c>
      <c r="D405" s="35">
        <v>189336.57</v>
      </c>
      <c r="E405" s="2" t="s">
        <v>15</v>
      </c>
      <c r="F405" s="2" t="s">
        <v>20</v>
      </c>
      <c r="G405" s="2" t="s">
        <v>24</v>
      </c>
      <c r="H405">
        <v>38</v>
      </c>
      <c r="I405" s="2" t="str">
        <f>TEXT(Sheet1[[#This Row],[claim_date]],"mmmm")</f>
        <v>August</v>
      </c>
      <c r="J405" s="2">
        <f>YEAR(Sheet1[[#This Row],[claim_date]])</f>
        <v>2021</v>
      </c>
      <c r="K405" s="2" t="str">
        <f>"Q"&amp;ROUNDUP(MONTH(Sheet1[[#This Row],[claim_date]])/3,0)</f>
        <v>Q3</v>
      </c>
      <c r="L405" s="2" t="str">
        <f>IF(Sheet1[[#This Row],[claim_amount]]&lt;100000,"Low",IF(Sheet1[[#This Row],[claim_amount]]&lt;200000,"Medium","High"))</f>
        <v>Medium</v>
      </c>
      <c r="M405" s="2" t="str">
        <f>IF(Sheet1[[#This Row],[days_to_process]]&lt;=30,"Fast","Slow")</f>
        <v>Slow</v>
      </c>
    </row>
    <row r="406" spans="1:13" x14ac:dyDescent="0.3">
      <c r="A406" t="s">
        <v>803</v>
      </c>
      <c r="B406" s="2" t="s">
        <v>804</v>
      </c>
      <c r="C406" s="1">
        <v>44925</v>
      </c>
      <c r="D406" s="35">
        <v>324147.59000000003</v>
      </c>
      <c r="E406" s="2" t="s">
        <v>10</v>
      </c>
      <c r="F406" s="2" t="s">
        <v>16</v>
      </c>
      <c r="G406" s="2" t="s">
        <v>12</v>
      </c>
      <c r="H406">
        <v>57</v>
      </c>
      <c r="I406" s="2" t="str">
        <f>TEXT(Sheet1[[#This Row],[claim_date]],"mmmm")</f>
        <v>December</v>
      </c>
      <c r="J406" s="2">
        <f>YEAR(Sheet1[[#This Row],[claim_date]])</f>
        <v>2022</v>
      </c>
      <c r="K406" s="2" t="str">
        <f>"Q"&amp;ROUNDUP(MONTH(Sheet1[[#This Row],[claim_date]])/3,0)</f>
        <v>Q4</v>
      </c>
      <c r="L406" s="2" t="str">
        <f>IF(Sheet1[[#This Row],[claim_amount]]&lt;100000,"Low",IF(Sheet1[[#This Row],[claim_amount]]&lt;200000,"Medium","High"))</f>
        <v>High</v>
      </c>
      <c r="M406" s="2" t="str">
        <f>IF(Sheet1[[#This Row],[days_to_process]]&lt;=30,"Fast","Slow")</f>
        <v>Slow</v>
      </c>
    </row>
    <row r="407" spans="1:13" x14ac:dyDescent="0.3">
      <c r="A407" t="s">
        <v>805</v>
      </c>
      <c r="B407" s="2" t="s">
        <v>806</v>
      </c>
      <c r="C407" s="1">
        <v>45230</v>
      </c>
      <c r="D407" s="35">
        <v>406856.5</v>
      </c>
      <c r="E407" s="2" t="s">
        <v>10</v>
      </c>
      <c r="F407" s="2" t="s">
        <v>34</v>
      </c>
      <c r="G407" s="2" t="s">
        <v>12</v>
      </c>
      <c r="H407">
        <v>23</v>
      </c>
      <c r="I407" s="2" t="str">
        <f>TEXT(Sheet1[[#This Row],[claim_date]],"mmmm")</f>
        <v>October</v>
      </c>
      <c r="J407" s="2">
        <f>YEAR(Sheet1[[#This Row],[claim_date]])</f>
        <v>2023</v>
      </c>
      <c r="K407" s="2" t="str">
        <f>"Q"&amp;ROUNDUP(MONTH(Sheet1[[#This Row],[claim_date]])/3,0)</f>
        <v>Q4</v>
      </c>
      <c r="L407" s="2" t="str">
        <f>IF(Sheet1[[#This Row],[claim_amount]]&lt;100000,"Low",IF(Sheet1[[#This Row],[claim_amount]]&lt;200000,"Medium","High"))</f>
        <v>High</v>
      </c>
      <c r="M407" s="2" t="str">
        <f>IF(Sheet1[[#This Row],[days_to_process]]&lt;=30,"Fast","Slow")</f>
        <v>Fast</v>
      </c>
    </row>
    <row r="408" spans="1:13" x14ac:dyDescent="0.3">
      <c r="A408" t="s">
        <v>807</v>
      </c>
      <c r="B408" s="2" t="s">
        <v>808</v>
      </c>
      <c r="C408" s="1">
        <v>45246</v>
      </c>
      <c r="D408" s="35">
        <v>462707.64</v>
      </c>
      <c r="E408" s="2" t="s">
        <v>10</v>
      </c>
      <c r="F408" s="2" t="s">
        <v>16</v>
      </c>
      <c r="G408" s="2" t="s">
        <v>12</v>
      </c>
      <c r="H408">
        <v>37</v>
      </c>
      <c r="I408" s="2" t="str">
        <f>TEXT(Sheet1[[#This Row],[claim_date]],"mmmm")</f>
        <v>November</v>
      </c>
      <c r="J408" s="2">
        <f>YEAR(Sheet1[[#This Row],[claim_date]])</f>
        <v>2023</v>
      </c>
      <c r="K408" s="2" t="str">
        <f>"Q"&amp;ROUNDUP(MONTH(Sheet1[[#This Row],[claim_date]])/3,0)</f>
        <v>Q4</v>
      </c>
      <c r="L408" s="2" t="str">
        <f>IF(Sheet1[[#This Row],[claim_amount]]&lt;100000,"Low",IF(Sheet1[[#This Row],[claim_amount]]&lt;200000,"Medium","High"))</f>
        <v>High</v>
      </c>
      <c r="M408" s="2" t="str">
        <f>IF(Sheet1[[#This Row],[days_to_process]]&lt;=30,"Fast","Slow")</f>
        <v>Slow</v>
      </c>
    </row>
    <row r="409" spans="1:13" x14ac:dyDescent="0.3">
      <c r="A409" t="s">
        <v>809</v>
      </c>
      <c r="B409" s="2" t="s">
        <v>810</v>
      </c>
      <c r="C409" s="1">
        <v>45529</v>
      </c>
      <c r="D409" s="35">
        <v>94124.21</v>
      </c>
      <c r="E409" s="2" t="s">
        <v>15</v>
      </c>
      <c r="F409" s="2" t="s">
        <v>23</v>
      </c>
      <c r="G409" s="2" t="s">
        <v>24</v>
      </c>
      <c r="H409">
        <v>55</v>
      </c>
      <c r="I409" s="2" t="str">
        <f>TEXT(Sheet1[[#This Row],[claim_date]],"mmmm")</f>
        <v>August</v>
      </c>
      <c r="J409" s="2">
        <f>YEAR(Sheet1[[#This Row],[claim_date]])</f>
        <v>2024</v>
      </c>
      <c r="K409" s="2" t="str">
        <f>"Q"&amp;ROUNDUP(MONTH(Sheet1[[#This Row],[claim_date]])/3,0)</f>
        <v>Q3</v>
      </c>
      <c r="L409" s="2" t="str">
        <f>IF(Sheet1[[#This Row],[claim_amount]]&lt;100000,"Low",IF(Sheet1[[#This Row],[claim_amount]]&lt;200000,"Medium","High"))</f>
        <v>Low</v>
      </c>
      <c r="M409" s="2" t="str">
        <f>IF(Sheet1[[#This Row],[days_to_process]]&lt;=30,"Fast","Slow")</f>
        <v>Slow</v>
      </c>
    </row>
    <row r="410" spans="1:13" x14ac:dyDescent="0.3">
      <c r="A410" t="s">
        <v>811</v>
      </c>
      <c r="B410" s="2" t="s">
        <v>812</v>
      </c>
      <c r="C410" s="1">
        <v>45141</v>
      </c>
      <c r="D410" s="35">
        <v>262521.26</v>
      </c>
      <c r="E410" s="2" t="s">
        <v>10</v>
      </c>
      <c r="F410" s="2" t="s">
        <v>34</v>
      </c>
      <c r="G410" s="2" t="s">
        <v>12</v>
      </c>
      <c r="H410">
        <v>18</v>
      </c>
      <c r="I410" s="2" t="str">
        <f>TEXT(Sheet1[[#This Row],[claim_date]],"mmmm")</f>
        <v>August</v>
      </c>
      <c r="J410" s="2">
        <f>YEAR(Sheet1[[#This Row],[claim_date]])</f>
        <v>2023</v>
      </c>
      <c r="K410" s="2" t="str">
        <f>"Q"&amp;ROUNDUP(MONTH(Sheet1[[#This Row],[claim_date]])/3,0)</f>
        <v>Q3</v>
      </c>
      <c r="L410" s="2" t="str">
        <f>IF(Sheet1[[#This Row],[claim_amount]]&lt;100000,"Low",IF(Sheet1[[#This Row],[claim_amount]]&lt;200000,"Medium","High"))</f>
        <v>High</v>
      </c>
      <c r="M410" s="2" t="str">
        <f>IF(Sheet1[[#This Row],[days_to_process]]&lt;=30,"Fast","Slow")</f>
        <v>Fast</v>
      </c>
    </row>
    <row r="411" spans="1:13" x14ac:dyDescent="0.3">
      <c r="A411" t="s">
        <v>813</v>
      </c>
      <c r="B411" s="2" t="s">
        <v>382</v>
      </c>
      <c r="C411" s="1">
        <v>45450</v>
      </c>
      <c r="D411" s="35">
        <v>212519.8</v>
      </c>
      <c r="E411" s="2" t="s">
        <v>10</v>
      </c>
      <c r="F411" s="2" t="s">
        <v>20</v>
      </c>
      <c r="G411" s="2" t="s">
        <v>12</v>
      </c>
      <c r="H411">
        <v>53</v>
      </c>
      <c r="I411" s="2" t="str">
        <f>TEXT(Sheet1[[#This Row],[claim_date]],"mmmm")</f>
        <v>June</v>
      </c>
      <c r="J411" s="2">
        <f>YEAR(Sheet1[[#This Row],[claim_date]])</f>
        <v>2024</v>
      </c>
      <c r="K411" s="2" t="str">
        <f>"Q"&amp;ROUNDUP(MONTH(Sheet1[[#This Row],[claim_date]])/3,0)</f>
        <v>Q2</v>
      </c>
      <c r="L411" s="2" t="str">
        <f>IF(Sheet1[[#This Row],[claim_amount]]&lt;100000,"Low",IF(Sheet1[[#This Row],[claim_amount]]&lt;200000,"Medium","High"))</f>
        <v>High</v>
      </c>
      <c r="M411" s="2" t="str">
        <f>IF(Sheet1[[#This Row],[days_to_process]]&lt;=30,"Fast","Slow")</f>
        <v>Slow</v>
      </c>
    </row>
    <row r="412" spans="1:13" x14ac:dyDescent="0.3">
      <c r="A412" t="s">
        <v>814</v>
      </c>
      <c r="B412" s="2" t="s">
        <v>815</v>
      </c>
      <c r="C412" s="1">
        <v>45296</v>
      </c>
      <c r="D412" s="35">
        <v>34936.050000000003</v>
      </c>
      <c r="E412" s="2" t="s">
        <v>10</v>
      </c>
      <c r="F412" s="2" t="s">
        <v>16</v>
      </c>
      <c r="G412" s="2" t="s">
        <v>24</v>
      </c>
      <c r="H412">
        <v>6</v>
      </c>
      <c r="I412" s="2" t="str">
        <f>TEXT(Sheet1[[#This Row],[claim_date]],"mmmm")</f>
        <v>January</v>
      </c>
      <c r="J412" s="2">
        <f>YEAR(Sheet1[[#This Row],[claim_date]])</f>
        <v>2024</v>
      </c>
      <c r="K412" s="2" t="str">
        <f>"Q"&amp;ROUNDUP(MONTH(Sheet1[[#This Row],[claim_date]])/3,0)</f>
        <v>Q1</v>
      </c>
      <c r="L412" s="2" t="str">
        <f>IF(Sheet1[[#This Row],[claim_amount]]&lt;100000,"Low",IF(Sheet1[[#This Row],[claim_amount]]&lt;200000,"Medium","High"))</f>
        <v>Low</v>
      </c>
      <c r="M412" s="2" t="str">
        <f>IF(Sheet1[[#This Row],[days_to_process]]&lt;=30,"Fast","Slow")</f>
        <v>Fast</v>
      </c>
    </row>
    <row r="413" spans="1:13" x14ac:dyDescent="0.3">
      <c r="A413" t="s">
        <v>816</v>
      </c>
      <c r="B413" s="2" t="s">
        <v>817</v>
      </c>
      <c r="C413" s="1">
        <v>45089</v>
      </c>
      <c r="D413" s="35">
        <v>145347.51999999999</v>
      </c>
      <c r="E413" s="2" t="s">
        <v>19</v>
      </c>
      <c r="F413" s="2" t="s">
        <v>23</v>
      </c>
      <c r="G413" s="2" t="s">
        <v>12</v>
      </c>
      <c r="H413">
        <v>46</v>
      </c>
      <c r="I413" s="2" t="str">
        <f>TEXT(Sheet1[[#This Row],[claim_date]],"mmmm")</f>
        <v>June</v>
      </c>
      <c r="J413" s="2">
        <f>YEAR(Sheet1[[#This Row],[claim_date]])</f>
        <v>2023</v>
      </c>
      <c r="K413" s="2" t="str">
        <f>"Q"&amp;ROUNDUP(MONTH(Sheet1[[#This Row],[claim_date]])/3,0)</f>
        <v>Q2</v>
      </c>
      <c r="L413" s="2" t="str">
        <f>IF(Sheet1[[#This Row],[claim_amount]]&lt;100000,"Low",IF(Sheet1[[#This Row],[claim_amount]]&lt;200000,"Medium","High"))</f>
        <v>Medium</v>
      </c>
      <c r="M413" s="2" t="str">
        <f>IF(Sheet1[[#This Row],[days_to_process]]&lt;=30,"Fast","Slow")</f>
        <v>Slow</v>
      </c>
    </row>
    <row r="414" spans="1:13" x14ac:dyDescent="0.3">
      <c r="A414" t="s">
        <v>818</v>
      </c>
      <c r="B414" s="2" t="s">
        <v>819</v>
      </c>
      <c r="C414" s="1">
        <v>45728</v>
      </c>
      <c r="D414" s="35">
        <v>277762.19</v>
      </c>
      <c r="E414" s="2" t="s">
        <v>15</v>
      </c>
      <c r="F414" s="2" t="s">
        <v>23</v>
      </c>
      <c r="G414" s="2" t="s">
        <v>24</v>
      </c>
      <c r="H414">
        <v>40</v>
      </c>
      <c r="I414" s="2" t="str">
        <f>TEXT(Sheet1[[#This Row],[claim_date]],"mmmm")</f>
        <v>March</v>
      </c>
      <c r="J414" s="2">
        <f>YEAR(Sheet1[[#This Row],[claim_date]])</f>
        <v>2025</v>
      </c>
      <c r="K414" s="2" t="str">
        <f>"Q"&amp;ROUNDUP(MONTH(Sheet1[[#This Row],[claim_date]])/3,0)</f>
        <v>Q1</v>
      </c>
      <c r="L414" s="2" t="str">
        <f>IF(Sheet1[[#This Row],[claim_amount]]&lt;100000,"Low",IF(Sheet1[[#This Row],[claim_amount]]&lt;200000,"Medium","High"))</f>
        <v>High</v>
      </c>
      <c r="M414" s="2" t="str">
        <f>IF(Sheet1[[#This Row],[days_to_process]]&lt;=30,"Fast","Slow")</f>
        <v>Slow</v>
      </c>
    </row>
    <row r="415" spans="1:13" x14ac:dyDescent="0.3">
      <c r="A415" t="s">
        <v>820</v>
      </c>
      <c r="B415" s="2" t="s">
        <v>320</v>
      </c>
      <c r="C415" s="1">
        <v>45598</v>
      </c>
      <c r="D415" s="35">
        <v>300843.15999999997</v>
      </c>
      <c r="E415" s="2" t="s">
        <v>10</v>
      </c>
      <c r="F415" s="2" t="s">
        <v>20</v>
      </c>
      <c r="G415" s="2" t="s">
        <v>12</v>
      </c>
      <c r="H415">
        <v>39</v>
      </c>
      <c r="I415" s="2" t="str">
        <f>TEXT(Sheet1[[#This Row],[claim_date]],"mmmm")</f>
        <v>November</v>
      </c>
      <c r="J415" s="2">
        <f>YEAR(Sheet1[[#This Row],[claim_date]])</f>
        <v>2024</v>
      </c>
      <c r="K415" s="2" t="str">
        <f>"Q"&amp;ROUNDUP(MONTH(Sheet1[[#This Row],[claim_date]])/3,0)</f>
        <v>Q4</v>
      </c>
      <c r="L415" s="2" t="str">
        <f>IF(Sheet1[[#This Row],[claim_amount]]&lt;100000,"Low",IF(Sheet1[[#This Row],[claim_amount]]&lt;200000,"Medium","High"))</f>
        <v>High</v>
      </c>
      <c r="M415" s="2" t="str">
        <f>IF(Sheet1[[#This Row],[days_to_process]]&lt;=30,"Fast","Slow")</f>
        <v>Slow</v>
      </c>
    </row>
    <row r="416" spans="1:13" x14ac:dyDescent="0.3">
      <c r="A416" t="s">
        <v>821</v>
      </c>
      <c r="B416" s="2" t="s">
        <v>822</v>
      </c>
      <c r="C416" s="1">
        <v>45381</v>
      </c>
      <c r="D416" s="35">
        <v>309943.75</v>
      </c>
      <c r="E416" s="2" t="s">
        <v>19</v>
      </c>
      <c r="F416" s="2" t="s">
        <v>16</v>
      </c>
      <c r="G416" s="2" t="s">
        <v>24</v>
      </c>
      <c r="H416">
        <v>55</v>
      </c>
      <c r="I416" s="2" t="str">
        <f>TEXT(Sheet1[[#This Row],[claim_date]],"mmmm")</f>
        <v>March</v>
      </c>
      <c r="J416" s="2">
        <f>YEAR(Sheet1[[#This Row],[claim_date]])</f>
        <v>2024</v>
      </c>
      <c r="K416" s="2" t="str">
        <f>"Q"&amp;ROUNDUP(MONTH(Sheet1[[#This Row],[claim_date]])/3,0)</f>
        <v>Q1</v>
      </c>
      <c r="L416" s="2" t="str">
        <f>IF(Sheet1[[#This Row],[claim_amount]]&lt;100000,"Low",IF(Sheet1[[#This Row],[claim_amount]]&lt;200000,"Medium","High"))</f>
        <v>High</v>
      </c>
      <c r="M416" s="2" t="str">
        <f>IF(Sheet1[[#This Row],[days_to_process]]&lt;=30,"Fast","Slow")</f>
        <v>Slow</v>
      </c>
    </row>
    <row r="417" spans="1:13" x14ac:dyDescent="0.3">
      <c r="A417" t="s">
        <v>823</v>
      </c>
      <c r="B417" s="2" t="s">
        <v>824</v>
      </c>
      <c r="C417" s="1">
        <v>45237</v>
      </c>
      <c r="D417" s="35">
        <v>164012.60999999999</v>
      </c>
      <c r="E417" s="2" t="s">
        <v>19</v>
      </c>
      <c r="F417" s="2" t="s">
        <v>11</v>
      </c>
      <c r="G417" s="2" t="s">
        <v>24</v>
      </c>
      <c r="H417">
        <v>36</v>
      </c>
      <c r="I417" s="2" t="str">
        <f>TEXT(Sheet1[[#This Row],[claim_date]],"mmmm")</f>
        <v>November</v>
      </c>
      <c r="J417" s="2">
        <f>YEAR(Sheet1[[#This Row],[claim_date]])</f>
        <v>2023</v>
      </c>
      <c r="K417" s="2" t="str">
        <f>"Q"&amp;ROUNDUP(MONTH(Sheet1[[#This Row],[claim_date]])/3,0)</f>
        <v>Q4</v>
      </c>
      <c r="L417" s="2" t="str">
        <f>IF(Sheet1[[#This Row],[claim_amount]]&lt;100000,"Low",IF(Sheet1[[#This Row],[claim_amount]]&lt;200000,"Medium","High"))</f>
        <v>Medium</v>
      </c>
      <c r="M417" s="2" t="str">
        <f>IF(Sheet1[[#This Row],[days_to_process]]&lt;=30,"Fast","Slow")</f>
        <v>Slow</v>
      </c>
    </row>
    <row r="418" spans="1:13" x14ac:dyDescent="0.3">
      <c r="A418" t="s">
        <v>825</v>
      </c>
      <c r="B418" s="2" t="s">
        <v>826</v>
      </c>
      <c r="C418" s="1">
        <v>45088</v>
      </c>
      <c r="D418" s="35">
        <v>338026.94</v>
      </c>
      <c r="E418" s="2" t="s">
        <v>10</v>
      </c>
      <c r="F418" s="2" t="s">
        <v>11</v>
      </c>
      <c r="G418" s="2" t="s">
        <v>24</v>
      </c>
      <c r="H418">
        <v>26</v>
      </c>
      <c r="I418" s="2" t="str">
        <f>TEXT(Sheet1[[#This Row],[claim_date]],"mmmm")</f>
        <v>June</v>
      </c>
      <c r="J418" s="2">
        <f>YEAR(Sheet1[[#This Row],[claim_date]])</f>
        <v>2023</v>
      </c>
      <c r="K418" s="2" t="str">
        <f>"Q"&amp;ROUNDUP(MONTH(Sheet1[[#This Row],[claim_date]])/3,0)</f>
        <v>Q2</v>
      </c>
      <c r="L418" s="2" t="str">
        <f>IF(Sheet1[[#This Row],[claim_amount]]&lt;100000,"Low",IF(Sheet1[[#This Row],[claim_amount]]&lt;200000,"Medium","High"))</f>
        <v>High</v>
      </c>
      <c r="M418" s="2" t="str">
        <f>IF(Sheet1[[#This Row],[days_to_process]]&lt;=30,"Fast","Slow")</f>
        <v>Fast</v>
      </c>
    </row>
    <row r="419" spans="1:13" x14ac:dyDescent="0.3">
      <c r="A419" t="s">
        <v>827</v>
      </c>
      <c r="B419" s="2" t="s">
        <v>408</v>
      </c>
      <c r="C419" s="1">
        <v>45287</v>
      </c>
      <c r="D419" s="35">
        <v>372008.28</v>
      </c>
      <c r="E419" s="2" t="s">
        <v>19</v>
      </c>
      <c r="F419" s="2" t="s">
        <v>11</v>
      </c>
      <c r="G419" s="2" t="s">
        <v>24</v>
      </c>
      <c r="H419">
        <v>3</v>
      </c>
      <c r="I419" s="2" t="str">
        <f>TEXT(Sheet1[[#This Row],[claim_date]],"mmmm")</f>
        <v>December</v>
      </c>
      <c r="J419" s="2">
        <f>YEAR(Sheet1[[#This Row],[claim_date]])</f>
        <v>2023</v>
      </c>
      <c r="K419" s="2" t="str">
        <f>"Q"&amp;ROUNDUP(MONTH(Sheet1[[#This Row],[claim_date]])/3,0)</f>
        <v>Q4</v>
      </c>
      <c r="L419" s="2" t="str">
        <f>IF(Sheet1[[#This Row],[claim_amount]]&lt;100000,"Low",IF(Sheet1[[#This Row],[claim_amount]]&lt;200000,"Medium","High"))</f>
        <v>High</v>
      </c>
      <c r="M419" s="2" t="str">
        <f>IF(Sheet1[[#This Row],[days_to_process]]&lt;=30,"Fast","Slow")</f>
        <v>Fast</v>
      </c>
    </row>
    <row r="420" spans="1:13" x14ac:dyDescent="0.3">
      <c r="A420" t="s">
        <v>828</v>
      </c>
      <c r="B420" s="2" t="s">
        <v>608</v>
      </c>
      <c r="C420" s="1">
        <v>45345</v>
      </c>
      <c r="D420" s="35">
        <v>162644.79</v>
      </c>
      <c r="E420" s="2" t="s">
        <v>15</v>
      </c>
      <c r="F420" s="2" t="s">
        <v>16</v>
      </c>
      <c r="G420" s="2" t="s">
        <v>24</v>
      </c>
      <c r="H420">
        <v>21</v>
      </c>
      <c r="I420" s="2" t="str">
        <f>TEXT(Sheet1[[#This Row],[claim_date]],"mmmm")</f>
        <v>February</v>
      </c>
      <c r="J420" s="2">
        <f>YEAR(Sheet1[[#This Row],[claim_date]])</f>
        <v>2024</v>
      </c>
      <c r="K420" s="2" t="str">
        <f>"Q"&amp;ROUNDUP(MONTH(Sheet1[[#This Row],[claim_date]])/3,0)</f>
        <v>Q1</v>
      </c>
      <c r="L420" s="2" t="str">
        <f>IF(Sheet1[[#This Row],[claim_amount]]&lt;100000,"Low",IF(Sheet1[[#This Row],[claim_amount]]&lt;200000,"Medium","High"))</f>
        <v>Medium</v>
      </c>
      <c r="M420" s="2" t="str">
        <f>IF(Sheet1[[#This Row],[days_to_process]]&lt;=30,"Fast","Slow")</f>
        <v>Fast</v>
      </c>
    </row>
    <row r="421" spans="1:13" x14ac:dyDescent="0.3">
      <c r="A421" t="s">
        <v>829</v>
      </c>
      <c r="B421" s="2" t="s">
        <v>830</v>
      </c>
      <c r="C421" s="1">
        <v>45239</v>
      </c>
      <c r="D421" s="35">
        <v>201720.36</v>
      </c>
      <c r="E421" s="2" t="s">
        <v>15</v>
      </c>
      <c r="F421" s="2" t="s">
        <v>11</v>
      </c>
      <c r="G421" s="2" t="s">
        <v>24</v>
      </c>
      <c r="H421">
        <v>10</v>
      </c>
      <c r="I421" s="2" t="str">
        <f>TEXT(Sheet1[[#This Row],[claim_date]],"mmmm")</f>
        <v>November</v>
      </c>
      <c r="J421" s="2">
        <f>YEAR(Sheet1[[#This Row],[claim_date]])</f>
        <v>2023</v>
      </c>
      <c r="K421" s="2" t="str">
        <f>"Q"&amp;ROUNDUP(MONTH(Sheet1[[#This Row],[claim_date]])/3,0)</f>
        <v>Q4</v>
      </c>
      <c r="L421" s="2" t="str">
        <f>IF(Sheet1[[#This Row],[claim_amount]]&lt;100000,"Low",IF(Sheet1[[#This Row],[claim_amount]]&lt;200000,"Medium","High"))</f>
        <v>High</v>
      </c>
      <c r="M421" s="2" t="str">
        <f>IF(Sheet1[[#This Row],[days_to_process]]&lt;=30,"Fast","Slow")</f>
        <v>Fast</v>
      </c>
    </row>
    <row r="422" spans="1:13" x14ac:dyDescent="0.3">
      <c r="A422" t="s">
        <v>831</v>
      </c>
      <c r="B422" s="2" t="s">
        <v>832</v>
      </c>
      <c r="C422" s="1">
        <v>45444</v>
      </c>
      <c r="D422" s="35">
        <v>125216.18</v>
      </c>
      <c r="E422" s="2" t="s">
        <v>19</v>
      </c>
      <c r="F422" s="2" t="s">
        <v>34</v>
      </c>
      <c r="G422" s="2" t="s">
        <v>12</v>
      </c>
      <c r="H422">
        <v>57</v>
      </c>
      <c r="I422" s="2" t="str">
        <f>TEXT(Sheet1[[#This Row],[claim_date]],"mmmm")</f>
        <v>June</v>
      </c>
      <c r="J422" s="2">
        <f>YEAR(Sheet1[[#This Row],[claim_date]])</f>
        <v>2024</v>
      </c>
      <c r="K422" s="2" t="str">
        <f>"Q"&amp;ROUNDUP(MONTH(Sheet1[[#This Row],[claim_date]])/3,0)</f>
        <v>Q2</v>
      </c>
      <c r="L422" s="2" t="str">
        <f>IF(Sheet1[[#This Row],[claim_amount]]&lt;100000,"Low",IF(Sheet1[[#This Row],[claim_amount]]&lt;200000,"Medium","High"))</f>
        <v>Medium</v>
      </c>
      <c r="M422" s="2" t="str">
        <f>IF(Sheet1[[#This Row],[days_to_process]]&lt;=30,"Fast","Slow")</f>
        <v>Slow</v>
      </c>
    </row>
    <row r="423" spans="1:13" x14ac:dyDescent="0.3">
      <c r="A423" t="s">
        <v>833</v>
      </c>
      <c r="B423" s="2" t="s">
        <v>537</v>
      </c>
      <c r="C423" s="1">
        <v>44670</v>
      </c>
      <c r="D423" s="35">
        <v>365567.23</v>
      </c>
      <c r="E423" s="2" t="s">
        <v>15</v>
      </c>
      <c r="F423" s="2" t="s">
        <v>23</v>
      </c>
      <c r="G423" s="2" t="s">
        <v>24</v>
      </c>
      <c r="H423">
        <v>50</v>
      </c>
      <c r="I423" s="2" t="str">
        <f>TEXT(Sheet1[[#This Row],[claim_date]],"mmmm")</f>
        <v>April</v>
      </c>
      <c r="J423" s="2">
        <f>YEAR(Sheet1[[#This Row],[claim_date]])</f>
        <v>2022</v>
      </c>
      <c r="K423" s="2" t="str">
        <f>"Q"&amp;ROUNDUP(MONTH(Sheet1[[#This Row],[claim_date]])/3,0)</f>
        <v>Q2</v>
      </c>
      <c r="L423" s="2" t="str">
        <f>IF(Sheet1[[#This Row],[claim_amount]]&lt;100000,"Low",IF(Sheet1[[#This Row],[claim_amount]]&lt;200000,"Medium","High"))</f>
        <v>High</v>
      </c>
      <c r="M423" s="2" t="str">
        <f>IF(Sheet1[[#This Row],[days_to_process]]&lt;=30,"Fast","Slow")</f>
        <v>Slow</v>
      </c>
    </row>
    <row r="424" spans="1:13" x14ac:dyDescent="0.3">
      <c r="A424" t="s">
        <v>834</v>
      </c>
      <c r="B424" s="2" t="s">
        <v>835</v>
      </c>
      <c r="C424" s="1">
        <v>45412</v>
      </c>
      <c r="D424" s="35">
        <v>467636.33</v>
      </c>
      <c r="E424" s="2" t="s">
        <v>10</v>
      </c>
      <c r="F424" s="2" t="s">
        <v>23</v>
      </c>
      <c r="G424" s="2" t="s">
        <v>12</v>
      </c>
      <c r="H424">
        <v>37</v>
      </c>
      <c r="I424" s="2" t="str">
        <f>TEXT(Sheet1[[#This Row],[claim_date]],"mmmm")</f>
        <v>April</v>
      </c>
      <c r="J424" s="2">
        <f>YEAR(Sheet1[[#This Row],[claim_date]])</f>
        <v>2024</v>
      </c>
      <c r="K424" s="2" t="str">
        <f>"Q"&amp;ROUNDUP(MONTH(Sheet1[[#This Row],[claim_date]])/3,0)</f>
        <v>Q2</v>
      </c>
      <c r="L424" s="2" t="str">
        <f>IF(Sheet1[[#This Row],[claim_amount]]&lt;100000,"Low",IF(Sheet1[[#This Row],[claim_amount]]&lt;200000,"Medium","High"))</f>
        <v>High</v>
      </c>
      <c r="M424" s="2" t="str">
        <f>IF(Sheet1[[#This Row],[days_to_process]]&lt;=30,"Fast","Slow")</f>
        <v>Slow</v>
      </c>
    </row>
    <row r="425" spans="1:13" x14ac:dyDescent="0.3">
      <c r="A425" t="s">
        <v>836</v>
      </c>
      <c r="B425" s="2" t="s">
        <v>565</v>
      </c>
      <c r="C425" s="1">
        <v>45251</v>
      </c>
      <c r="D425" s="35">
        <v>320418.61</v>
      </c>
      <c r="E425" s="2" t="s">
        <v>19</v>
      </c>
      <c r="F425" s="2" t="s">
        <v>20</v>
      </c>
      <c r="G425" s="2" t="s">
        <v>24</v>
      </c>
      <c r="H425">
        <v>11</v>
      </c>
      <c r="I425" s="2" t="str">
        <f>TEXT(Sheet1[[#This Row],[claim_date]],"mmmm")</f>
        <v>November</v>
      </c>
      <c r="J425" s="2">
        <f>YEAR(Sheet1[[#This Row],[claim_date]])</f>
        <v>2023</v>
      </c>
      <c r="K425" s="2" t="str">
        <f>"Q"&amp;ROUNDUP(MONTH(Sheet1[[#This Row],[claim_date]])/3,0)</f>
        <v>Q4</v>
      </c>
      <c r="L425" s="2" t="str">
        <f>IF(Sheet1[[#This Row],[claim_amount]]&lt;100000,"Low",IF(Sheet1[[#This Row],[claim_amount]]&lt;200000,"Medium","High"))</f>
        <v>High</v>
      </c>
      <c r="M425" s="2" t="str">
        <f>IF(Sheet1[[#This Row],[days_to_process]]&lt;=30,"Fast","Slow")</f>
        <v>Fast</v>
      </c>
    </row>
    <row r="426" spans="1:13" x14ac:dyDescent="0.3">
      <c r="A426" t="s">
        <v>837</v>
      </c>
      <c r="B426" s="2" t="s">
        <v>838</v>
      </c>
      <c r="C426" s="1">
        <v>45300</v>
      </c>
      <c r="D426" s="35">
        <v>127801.51</v>
      </c>
      <c r="E426" s="2" t="s">
        <v>10</v>
      </c>
      <c r="F426" s="2" t="s">
        <v>11</v>
      </c>
      <c r="G426" s="2" t="s">
        <v>24</v>
      </c>
      <c r="H426">
        <v>29</v>
      </c>
      <c r="I426" s="2" t="str">
        <f>TEXT(Sheet1[[#This Row],[claim_date]],"mmmm")</f>
        <v>January</v>
      </c>
      <c r="J426" s="2">
        <f>YEAR(Sheet1[[#This Row],[claim_date]])</f>
        <v>2024</v>
      </c>
      <c r="K426" s="2" t="str">
        <f>"Q"&amp;ROUNDUP(MONTH(Sheet1[[#This Row],[claim_date]])/3,0)</f>
        <v>Q1</v>
      </c>
      <c r="L426" s="2" t="str">
        <f>IF(Sheet1[[#This Row],[claim_amount]]&lt;100000,"Low",IF(Sheet1[[#This Row],[claim_amount]]&lt;200000,"Medium","High"))</f>
        <v>Medium</v>
      </c>
      <c r="M426" s="2" t="str">
        <f>IF(Sheet1[[#This Row],[days_to_process]]&lt;=30,"Fast","Slow")</f>
        <v>Fast</v>
      </c>
    </row>
    <row r="427" spans="1:13" x14ac:dyDescent="0.3">
      <c r="A427" t="s">
        <v>839</v>
      </c>
      <c r="B427" s="2" t="s">
        <v>840</v>
      </c>
      <c r="C427" s="1">
        <v>44921</v>
      </c>
      <c r="D427" s="35">
        <v>224710.94</v>
      </c>
      <c r="E427" s="2" t="s">
        <v>15</v>
      </c>
      <c r="F427" s="2" t="s">
        <v>20</v>
      </c>
      <c r="G427" s="2" t="s">
        <v>24</v>
      </c>
      <c r="H427">
        <v>50</v>
      </c>
      <c r="I427" s="2" t="str">
        <f>TEXT(Sheet1[[#This Row],[claim_date]],"mmmm")</f>
        <v>December</v>
      </c>
      <c r="J427" s="2">
        <f>YEAR(Sheet1[[#This Row],[claim_date]])</f>
        <v>2022</v>
      </c>
      <c r="K427" s="2" t="str">
        <f>"Q"&amp;ROUNDUP(MONTH(Sheet1[[#This Row],[claim_date]])/3,0)</f>
        <v>Q4</v>
      </c>
      <c r="L427" s="2" t="str">
        <f>IF(Sheet1[[#This Row],[claim_amount]]&lt;100000,"Low",IF(Sheet1[[#This Row],[claim_amount]]&lt;200000,"Medium","High"))</f>
        <v>High</v>
      </c>
      <c r="M427" s="2" t="str">
        <f>IF(Sheet1[[#This Row],[days_to_process]]&lt;=30,"Fast","Slow")</f>
        <v>Slow</v>
      </c>
    </row>
    <row r="428" spans="1:13" x14ac:dyDescent="0.3">
      <c r="A428" t="s">
        <v>841</v>
      </c>
      <c r="B428" s="2" t="s">
        <v>842</v>
      </c>
      <c r="C428" s="1">
        <v>45379</v>
      </c>
      <c r="D428" s="35">
        <v>21169.35</v>
      </c>
      <c r="E428" s="2" t="s">
        <v>19</v>
      </c>
      <c r="F428" s="2" t="s">
        <v>20</v>
      </c>
      <c r="G428" s="2" t="s">
        <v>24</v>
      </c>
      <c r="H428">
        <v>21</v>
      </c>
      <c r="I428" s="2" t="str">
        <f>TEXT(Sheet1[[#This Row],[claim_date]],"mmmm")</f>
        <v>March</v>
      </c>
      <c r="J428" s="2">
        <f>YEAR(Sheet1[[#This Row],[claim_date]])</f>
        <v>2024</v>
      </c>
      <c r="K428" s="2" t="str">
        <f>"Q"&amp;ROUNDUP(MONTH(Sheet1[[#This Row],[claim_date]])/3,0)</f>
        <v>Q1</v>
      </c>
      <c r="L428" s="2" t="str">
        <f>IF(Sheet1[[#This Row],[claim_amount]]&lt;100000,"Low",IF(Sheet1[[#This Row],[claim_amount]]&lt;200000,"Medium","High"))</f>
        <v>Low</v>
      </c>
      <c r="M428" s="2" t="str">
        <f>IF(Sheet1[[#This Row],[days_to_process]]&lt;=30,"Fast","Slow")</f>
        <v>Fast</v>
      </c>
    </row>
    <row r="429" spans="1:13" x14ac:dyDescent="0.3">
      <c r="A429" t="s">
        <v>843</v>
      </c>
      <c r="B429" s="2" t="s">
        <v>485</v>
      </c>
      <c r="C429" s="1">
        <v>45059</v>
      </c>
      <c r="D429" s="35">
        <v>221909.33</v>
      </c>
      <c r="E429" s="2" t="s">
        <v>15</v>
      </c>
      <c r="F429" s="2" t="s">
        <v>16</v>
      </c>
      <c r="G429" s="2" t="s">
        <v>24</v>
      </c>
      <c r="H429">
        <v>17</v>
      </c>
      <c r="I429" s="2" t="str">
        <f>TEXT(Sheet1[[#This Row],[claim_date]],"mmmm")</f>
        <v>May</v>
      </c>
      <c r="J429" s="2">
        <f>YEAR(Sheet1[[#This Row],[claim_date]])</f>
        <v>2023</v>
      </c>
      <c r="K429" s="2" t="str">
        <f>"Q"&amp;ROUNDUP(MONTH(Sheet1[[#This Row],[claim_date]])/3,0)</f>
        <v>Q2</v>
      </c>
      <c r="L429" s="2" t="str">
        <f>IF(Sheet1[[#This Row],[claim_amount]]&lt;100000,"Low",IF(Sheet1[[#This Row],[claim_amount]]&lt;200000,"Medium","High"))</f>
        <v>High</v>
      </c>
      <c r="M429" s="2" t="str">
        <f>IF(Sheet1[[#This Row],[days_to_process]]&lt;=30,"Fast","Slow")</f>
        <v>Fast</v>
      </c>
    </row>
    <row r="430" spans="1:13" x14ac:dyDescent="0.3">
      <c r="A430" t="s">
        <v>844</v>
      </c>
      <c r="B430" s="2" t="s">
        <v>845</v>
      </c>
      <c r="C430" s="1">
        <v>45418</v>
      </c>
      <c r="D430" s="35">
        <v>431066.28</v>
      </c>
      <c r="E430" s="2" t="s">
        <v>15</v>
      </c>
      <c r="F430" s="2" t="s">
        <v>34</v>
      </c>
      <c r="G430" s="2" t="s">
        <v>12</v>
      </c>
      <c r="H430">
        <v>56</v>
      </c>
      <c r="I430" s="2" t="str">
        <f>TEXT(Sheet1[[#This Row],[claim_date]],"mmmm")</f>
        <v>May</v>
      </c>
      <c r="J430" s="2">
        <f>YEAR(Sheet1[[#This Row],[claim_date]])</f>
        <v>2024</v>
      </c>
      <c r="K430" s="2" t="str">
        <f>"Q"&amp;ROUNDUP(MONTH(Sheet1[[#This Row],[claim_date]])/3,0)</f>
        <v>Q2</v>
      </c>
      <c r="L430" s="2" t="str">
        <f>IF(Sheet1[[#This Row],[claim_amount]]&lt;100000,"Low",IF(Sheet1[[#This Row],[claim_amount]]&lt;200000,"Medium","High"))</f>
        <v>High</v>
      </c>
      <c r="M430" s="2" t="str">
        <f>IF(Sheet1[[#This Row],[days_to_process]]&lt;=30,"Fast","Slow")</f>
        <v>Slow</v>
      </c>
    </row>
    <row r="431" spans="1:13" x14ac:dyDescent="0.3">
      <c r="A431" t="s">
        <v>846</v>
      </c>
      <c r="B431" s="2" t="s">
        <v>582</v>
      </c>
      <c r="C431" s="1">
        <v>45535</v>
      </c>
      <c r="D431" s="35">
        <v>148753.84</v>
      </c>
      <c r="E431" s="2" t="s">
        <v>10</v>
      </c>
      <c r="F431" s="2" t="s">
        <v>20</v>
      </c>
      <c r="G431" s="2" t="s">
        <v>24</v>
      </c>
      <c r="H431">
        <v>37</v>
      </c>
      <c r="I431" s="2" t="str">
        <f>TEXT(Sheet1[[#This Row],[claim_date]],"mmmm")</f>
        <v>August</v>
      </c>
      <c r="J431" s="2">
        <f>YEAR(Sheet1[[#This Row],[claim_date]])</f>
        <v>2024</v>
      </c>
      <c r="K431" s="2" t="str">
        <f>"Q"&amp;ROUNDUP(MONTH(Sheet1[[#This Row],[claim_date]])/3,0)</f>
        <v>Q3</v>
      </c>
      <c r="L431" s="2" t="str">
        <f>IF(Sheet1[[#This Row],[claim_amount]]&lt;100000,"Low",IF(Sheet1[[#This Row],[claim_amount]]&lt;200000,"Medium","High"))</f>
        <v>Medium</v>
      </c>
      <c r="M431" s="2" t="str">
        <f>IF(Sheet1[[#This Row],[days_to_process]]&lt;=30,"Fast","Slow")</f>
        <v>Slow</v>
      </c>
    </row>
    <row r="432" spans="1:13" x14ac:dyDescent="0.3">
      <c r="A432" t="s">
        <v>847</v>
      </c>
      <c r="B432" s="2" t="s">
        <v>348</v>
      </c>
      <c r="C432" s="1">
        <v>45217</v>
      </c>
      <c r="D432" s="35">
        <v>172658.33</v>
      </c>
      <c r="E432" s="2" t="s">
        <v>10</v>
      </c>
      <c r="F432" s="2" t="s">
        <v>34</v>
      </c>
      <c r="G432" s="2" t="s">
        <v>12</v>
      </c>
      <c r="H432">
        <v>43</v>
      </c>
      <c r="I432" s="2" t="str">
        <f>TEXT(Sheet1[[#This Row],[claim_date]],"mmmm")</f>
        <v>October</v>
      </c>
      <c r="J432" s="2">
        <f>YEAR(Sheet1[[#This Row],[claim_date]])</f>
        <v>2023</v>
      </c>
      <c r="K432" s="2" t="str">
        <f>"Q"&amp;ROUNDUP(MONTH(Sheet1[[#This Row],[claim_date]])/3,0)</f>
        <v>Q4</v>
      </c>
      <c r="L432" s="2" t="str">
        <f>IF(Sheet1[[#This Row],[claim_amount]]&lt;100000,"Low",IF(Sheet1[[#This Row],[claim_amount]]&lt;200000,"Medium","High"))</f>
        <v>Medium</v>
      </c>
      <c r="M432" s="2" t="str">
        <f>IF(Sheet1[[#This Row],[days_to_process]]&lt;=30,"Fast","Slow")</f>
        <v>Slow</v>
      </c>
    </row>
    <row r="433" spans="1:13" x14ac:dyDescent="0.3">
      <c r="A433" t="s">
        <v>848</v>
      </c>
      <c r="B433" s="2" t="s">
        <v>849</v>
      </c>
      <c r="C433" s="1">
        <v>44612</v>
      </c>
      <c r="D433" s="35">
        <v>376116.12</v>
      </c>
      <c r="E433" s="2" t="s">
        <v>19</v>
      </c>
      <c r="F433" s="2" t="s">
        <v>11</v>
      </c>
      <c r="G433" s="2" t="s">
        <v>12</v>
      </c>
      <c r="H433">
        <v>59</v>
      </c>
      <c r="I433" s="2" t="str">
        <f>TEXT(Sheet1[[#This Row],[claim_date]],"mmmm")</f>
        <v>February</v>
      </c>
      <c r="J433" s="2">
        <f>YEAR(Sheet1[[#This Row],[claim_date]])</f>
        <v>2022</v>
      </c>
      <c r="K433" s="2" t="str">
        <f>"Q"&amp;ROUNDUP(MONTH(Sheet1[[#This Row],[claim_date]])/3,0)</f>
        <v>Q1</v>
      </c>
      <c r="L433" s="2" t="str">
        <f>IF(Sheet1[[#This Row],[claim_amount]]&lt;100000,"Low",IF(Sheet1[[#This Row],[claim_amount]]&lt;200000,"Medium","High"))</f>
        <v>High</v>
      </c>
      <c r="M433" s="2" t="str">
        <f>IF(Sheet1[[#This Row],[days_to_process]]&lt;=30,"Fast","Slow")</f>
        <v>Slow</v>
      </c>
    </row>
    <row r="434" spans="1:13" x14ac:dyDescent="0.3">
      <c r="A434" t="s">
        <v>850</v>
      </c>
      <c r="B434" s="2" t="s">
        <v>392</v>
      </c>
      <c r="C434" s="1">
        <v>45018</v>
      </c>
      <c r="D434" s="35">
        <v>37420.370000000003</v>
      </c>
      <c r="E434" s="2" t="s">
        <v>15</v>
      </c>
      <c r="F434" s="2" t="s">
        <v>23</v>
      </c>
      <c r="G434" s="2" t="s">
        <v>12</v>
      </c>
      <c r="H434">
        <v>33</v>
      </c>
      <c r="I434" s="2" t="str">
        <f>TEXT(Sheet1[[#This Row],[claim_date]],"mmmm")</f>
        <v>April</v>
      </c>
      <c r="J434" s="2">
        <f>YEAR(Sheet1[[#This Row],[claim_date]])</f>
        <v>2023</v>
      </c>
      <c r="K434" s="2" t="str">
        <f>"Q"&amp;ROUNDUP(MONTH(Sheet1[[#This Row],[claim_date]])/3,0)</f>
        <v>Q2</v>
      </c>
      <c r="L434" s="2" t="str">
        <f>IF(Sheet1[[#This Row],[claim_amount]]&lt;100000,"Low",IF(Sheet1[[#This Row],[claim_amount]]&lt;200000,"Medium","High"))</f>
        <v>Low</v>
      </c>
      <c r="M434" s="2" t="str">
        <f>IF(Sheet1[[#This Row],[days_to_process]]&lt;=30,"Fast","Slow")</f>
        <v>Slow</v>
      </c>
    </row>
    <row r="435" spans="1:13" x14ac:dyDescent="0.3">
      <c r="A435" t="s">
        <v>851</v>
      </c>
      <c r="B435" s="2" t="s">
        <v>852</v>
      </c>
      <c r="C435" s="1">
        <v>45424</v>
      </c>
      <c r="D435" s="35">
        <v>331992.01</v>
      </c>
      <c r="E435" s="2" t="s">
        <v>15</v>
      </c>
      <c r="F435" s="2" t="s">
        <v>34</v>
      </c>
      <c r="G435" s="2" t="s">
        <v>24</v>
      </c>
      <c r="H435">
        <v>13</v>
      </c>
      <c r="I435" s="2" t="str">
        <f>TEXT(Sheet1[[#This Row],[claim_date]],"mmmm")</f>
        <v>May</v>
      </c>
      <c r="J435" s="2">
        <f>YEAR(Sheet1[[#This Row],[claim_date]])</f>
        <v>2024</v>
      </c>
      <c r="K435" s="2" t="str">
        <f>"Q"&amp;ROUNDUP(MONTH(Sheet1[[#This Row],[claim_date]])/3,0)</f>
        <v>Q2</v>
      </c>
      <c r="L435" s="2" t="str">
        <f>IF(Sheet1[[#This Row],[claim_amount]]&lt;100000,"Low",IF(Sheet1[[#This Row],[claim_amount]]&lt;200000,"Medium","High"))</f>
        <v>High</v>
      </c>
      <c r="M435" s="2" t="str">
        <f>IF(Sheet1[[#This Row],[days_to_process]]&lt;=30,"Fast","Slow")</f>
        <v>Fast</v>
      </c>
    </row>
    <row r="436" spans="1:13" x14ac:dyDescent="0.3">
      <c r="A436" t="s">
        <v>853</v>
      </c>
      <c r="B436" s="2" t="s">
        <v>854</v>
      </c>
      <c r="C436" s="1">
        <v>45230</v>
      </c>
      <c r="D436" s="35">
        <v>344870.58</v>
      </c>
      <c r="E436" s="2" t="s">
        <v>10</v>
      </c>
      <c r="F436" s="2" t="s">
        <v>23</v>
      </c>
      <c r="G436" s="2" t="s">
        <v>12</v>
      </c>
      <c r="H436">
        <v>30</v>
      </c>
      <c r="I436" s="2" t="str">
        <f>TEXT(Sheet1[[#This Row],[claim_date]],"mmmm")</f>
        <v>October</v>
      </c>
      <c r="J436" s="2">
        <f>YEAR(Sheet1[[#This Row],[claim_date]])</f>
        <v>2023</v>
      </c>
      <c r="K436" s="2" t="str">
        <f>"Q"&amp;ROUNDUP(MONTH(Sheet1[[#This Row],[claim_date]])/3,0)</f>
        <v>Q4</v>
      </c>
      <c r="L436" s="2" t="str">
        <f>IF(Sheet1[[#This Row],[claim_amount]]&lt;100000,"Low",IF(Sheet1[[#This Row],[claim_amount]]&lt;200000,"Medium","High"))</f>
        <v>High</v>
      </c>
      <c r="M436" s="2" t="str">
        <f>IF(Sheet1[[#This Row],[days_to_process]]&lt;=30,"Fast","Slow")</f>
        <v>Fast</v>
      </c>
    </row>
    <row r="437" spans="1:13" x14ac:dyDescent="0.3">
      <c r="A437" t="s">
        <v>855</v>
      </c>
      <c r="B437" s="2" t="s">
        <v>117</v>
      </c>
      <c r="C437" s="1">
        <v>44948</v>
      </c>
      <c r="D437" s="35">
        <v>113707.01</v>
      </c>
      <c r="E437" s="2" t="s">
        <v>19</v>
      </c>
      <c r="F437" s="2" t="s">
        <v>23</v>
      </c>
      <c r="G437" s="2" t="s">
        <v>24</v>
      </c>
      <c r="H437">
        <v>10</v>
      </c>
      <c r="I437" s="2" t="str">
        <f>TEXT(Sheet1[[#This Row],[claim_date]],"mmmm")</f>
        <v>January</v>
      </c>
      <c r="J437" s="2">
        <f>YEAR(Sheet1[[#This Row],[claim_date]])</f>
        <v>2023</v>
      </c>
      <c r="K437" s="2" t="str">
        <f>"Q"&amp;ROUNDUP(MONTH(Sheet1[[#This Row],[claim_date]])/3,0)</f>
        <v>Q1</v>
      </c>
      <c r="L437" s="2" t="str">
        <f>IF(Sheet1[[#This Row],[claim_amount]]&lt;100000,"Low",IF(Sheet1[[#This Row],[claim_amount]]&lt;200000,"Medium","High"))</f>
        <v>Medium</v>
      </c>
      <c r="M437" s="2" t="str">
        <f>IF(Sheet1[[#This Row],[days_to_process]]&lt;=30,"Fast","Slow")</f>
        <v>Fast</v>
      </c>
    </row>
    <row r="438" spans="1:13" x14ac:dyDescent="0.3">
      <c r="A438" t="s">
        <v>856</v>
      </c>
      <c r="B438" s="2" t="s">
        <v>857</v>
      </c>
      <c r="C438" s="1">
        <v>45608</v>
      </c>
      <c r="D438" s="35">
        <v>166035.16</v>
      </c>
      <c r="E438" s="2" t="s">
        <v>10</v>
      </c>
      <c r="F438" s="2" t="s">
        <v>20</v>
      </c>
      <c r="G438" s="2" t="s">
        <v>24</v>
      </c>
      <c r="H438">
        <v>23</v>
      </c>
      <c r="I438" s="2" t="str">
        <f>TEXT(Sheet1[[#This Row],[claim_date]],"mmmm")</f>
        <v>November</v>
      </c>
      <c r="J438" s="2">
        <f>YEAR(Sheet1[[#This Row],[claim_date]])</f>
        <v>2024</v>
      </c>
      <c r="K438" s="2" t="str">
        <f>"Q"&amp;ROUNDUP(MONTH(Sheet1[[#This Row],[claim_date]])/3,0)</f>
        <v>Q4</v>
      </c>
      <c r="L438" s="2" t="str">
        <f>IF(Sheet1[[#This Row],[claim_amount]]&lt;100000,"Low",IF(Sheet1[[#This Row],[claim_amount]]&lt;200000,"Medium","High"))</f>
        <v>Medium</v>
      </c>
      <c r="M438" s="2" t="str">
        <f>IF(Sheet1[[#This Row],[days_to_process]]&lt;=30,"Fast","Slow")</f>
        <v>Fast</v>
      </c>
    </row>
    <row r="439" spans="1:13" x14ac:dyDescent="0.3">
      <c r="A439" t="s">
        <v>858</v>
      </c>
      <c r="B439" s="2" t="s">
        <v>859</v>
      </c>
      <c r="C439" s="1">
        <v>44707</v>
      </c>
      <c r="D439" s="35">
        <v>221865.29</v>
      </c>
      <c r="E439" s="2" t="s">
        <v>10</v>
      </c>
      <c r="F439" s="2" t="s">
        <v>34</v>
      </c>
      <c r="G439" s="2" t="s">
        <v>12</v>
      </c>
      <c r="H439">
        <v>17</v>
      </c>
      <c r="I439" s="2" t="str">
        <f>TEXT(Sheet1[[#This Row],[claim_date]],"mmmm")</f>
        <v>May</v>
      </c>
      <c r="J439" s="2">
        <f>YEAR(Sheet1[[#This Row],[claim_date]])</f>
        <v>2022</v>
      </c>
      <c r="K439" s="2" t="str">
        <f>"Q"&amp;ROUNDUP(MONTH(Sheet1[[#This Row],[claim_date]])/3,0)</f>
        <v>Q2</v>
      </c>
      <c r="L439" s="2" t="str">
        <f>IF(Sheet1[[#This Row],[claim_amount]]&lt;100000,"Low",IF(Sheet1[[#This Row],[claim_amount]]&lt;200000,"Medium","High"))</f>
        <v>High</v>
      </c>
      <c r="M439" s="2" t="str">
        <f>IF(Sheet1[[#This Row],[days_to_process]]&lt;=30,"Fast","Slow")</f>
        <v>Fast</v>
      </c>
    </row>
    <row r="440" spans="1:13" x14ac:dyDescent="0.3">
      <c r="A440" t="s">
        <v>860</v>
      </c>
      <c r="B440" s="2" t="s">
        <v>861</v>
      </c>
      <c r="C440" s="1">
        <v>45642</v>
      </c>
      <c r="D440" s="35">
        <v>10932.6</v>
      </c>
      <c r="E440" s="2" t="s">
        <v>15</v>
      </c>
      <c r="F440" s="2" t="s">
        <v>11</v>
      </c>
      <c r="G440" s="2" t="s">
        <v>24</v>
      </c>
      <c r="H440">
        <v>13</v>
      </c>
      <c r="I440" s="2" t="str">
        <f>TEXT(Sheet1[[#This Row],[claim_date]],"mmmm")</f>
        <v>December</v>
      </c>
      <c r="J440" s="2">
        <f>YEAR(Sheet1[[#This Row],[claim_date]])</f>
        <v>2024</v>
      </c>
      <c r="K440" s="2" t="str">
        <f>"Q"&amp;ROUNDUP(MONTH(Sheet1[[#This Row],[claim_date]])/3,0)</f>
        <v>Q4</v>
      </c>
      <c r="L440" s="2" t="str">
        <f>IF(Sheet1[[#This Row],[claim_amount]]&lt;100000,"Low",IF(Sheet1[[#This Row],[claim_amount]]&lt;200000,"Medium","High"))</f>
        <v>Low</v>
      </c>
      <c r="M440" s="2" t="str">
        <f>IF(Sheet1[[#This Row],[days_to_process]]&lt;=30,"Fast","Slow")</f>
        <v>Fast</v>
      </c>
    </row>
    <row r="441" spans="1:13" x14ac:dyDescent="0.3">
      <c r="A441" t="s">
        <v>862</v>
      </c>
      <c r="B441" s="2" t="s">
        <v>594</v>
      </c>
      <c r="C441" s="1">
        <v>45385</v>
      </c>
      <c r="D441" s="35">
        <v>163783.67000000001</v>
      </c>
      <c r="E441" s="2" t="s">
        <v>19</v>
      </c>
      <c r="F441" s="2" t="s">
        <v>11</v>
      </c>
      <c r="G441" s="2" t="s">
        <v>24</v>
      </c>
      <c r="H441">
        <v>49</v>
      </c>
      <c r="I441" s="2" t="str">
        <f>TEXT(Sheet1[[#This Row],[claim_date]],"mmmm")</f>
        <v>April</v>
      </c>
      <c r="J441" s="2">
        <f>YEAR(Sheet1[[#This Row],[claim_date]])</f>
        <v>2024</v>
      </c>
      <c r="K441" s="2" t="str">
        <f>"Q"&amp;ROUNDUP(MONTH(Sheet1[[#This Row],[claim_date]])/3,0)</f>
        <v>Q2</v>
      </c>
      <c r="L441" s="2" t="str">
        <f>IF(Sheet1[[#This Row],[claim_amount]]&lt;100000,"Low",IF(Sheet1[[#This Row],[claim_amount]]&lt;200000,"Medium","High"))</f>
        <v>Medium</v>
      </c>
      <c r="M441" s="2" t="str">
        <f>IF(Sheet1[[#This Row],[days_to_process]]&lt;=30,"Fast","Slow")</f>
        <v>Slow</v>
      </c>
    </row>
    <row r="442" spans="1:13" x14ac:dyDescent="0.3">
      <c r="A442" t="s">
        <v>863</v>
      </c>
      <c r="B442" s="2" t="s">
        <v>864</v>
      </c>
      <c r="C442" s="1">
        <v>44712</v>
      </c>
      <c r="D442" s="35">
        <v>300508.34999999998</v>
      </c>
      <c r="E442" s="2" t="s">
        <v>19</v>
      </c>
      <c r="F442" s="2" t="s">
        <v>34</v>
      </c>
      <c r="G442" s="2" t="s">
        <v>12</v>
      </c>
      <c r="H442">
        <v>6</v>
      </c>
      <c r="I442" s="2" t="str">
        <f>TEXT(Sheet1[[#This Row],[claim_date]],"mmmm")</f>
        <v>May</v>
      </c>
      <c r="J442" s="2">
        <f>YEAR(Sheet1[[#This Row],[claim_date]])</f>
        <v>2022</v>
      </c>
      <c r="K442" s="2" t="str">
        <f>"Q"&amp;ROUNDUP(MONTH(Sheet1[[#This Row],[claim_date]])/3,0)</f>
        <v>Q2</v>
      </c>
      <c r="L442" s="2" t="str">
        <f>IF(Sheet1[[#This Row],[claim_amount]]&lt;100000,"Low",IF(Sheet1[[#This Row],[claim_amount]]&lt;200000,"Medium","High"))</f>
        <v>High</v>
      </c>
      <c r="M442" s="2" t="str">
        <f>IF(Sheet1[[#This Row],[days_to_process]]&lt;=30,"Fast","Slow")</f>
        <v>Fast</v>
      </c>
    </row>
    <row r="443" spans="1:13" x14ac:dyDescent="0.3">
      <c r="A443" t="s">
        <v>865</v>
      </c>
      <c r="B443" s="2" t="s">
        <v>866</v>
      </c>
      <c r="C443" s="1">
        <v>45552</v>
      </c>
      <c r="D443" s="35">
        <v>83804.12</v>
      </c>
      <c r="E443" s="2" t="s">
        <v>10</v>
      </c>
      <c r="F443" s="2" t="s">
        <v>23</v>
      </c>
      <c r="G443" s="2" t="s">
        <v>24</v>
      </c>
      <c r="H443">
        <v>24</v>
      </c>
      <c r="I443" s="2" t="str">
        <f>TEXT(Sheet1[[#This Row],[claim_date]],"mmmm")</f>
        <v>September</v>
      </c>
      <c r="J443" s="2">
        <f>YEAR(Sheet1[[#This Row],[claim_date]])</f>
        <v>2024</v>
      </c>
      <c r="K443" s="2" t="str">
        <f>"Q"&amp;ROUNDUP(MONTH(Sheet1[[#This Row],[claim_date]])/3,0)</f>
        <v>Q3</v>
      </c>
      <c r="L443" s="2" t="str">
        <f>IF(Sheet1[[#This Row],[claim_amount]]&lt;100000,"Low",IF(Sheet1[[#This Row],[claim_amount]]&lt;200000,"Medium","High"))</f>
        <v>Low</v>
      </c>
      <c r="M443" s="2" t="str">
        <f>IF(Sheet1[[#This Row],[days_to_process]]&lt;=30,"Fast","Slow")</f>
        <v>Fast</v>
      </c>
    </row>
    <row r="444" spans="1:13" x14ac:dyDescent="0.3">
      <c r="A444" t="s">
        <v>867</v>
      </c>
      <c r="B444" s="2" t="s">
        <v>868</v>
      </c>
      <c r="C444" s="1">
        <v>45443</v>
      </c>
      <c r="D444" s="35">
        <v>87672.34</v>
      </c>
      <c r="E444" s="2" t="s">
        <v>15</v>
      </c>
      <c r="F444" s="2" t="s">
        <v>20</v>
      </c>
      <c r="G444" s="2" t="s">
        <v>12</v>
      </c>
      <c r="H444">
        <v>49</v>
      </c>
      <c r="I444" s="2" t="str">
        <f>TEXT(Sheet1[[#This Row],[claim_date]],"mmmm")</f>
        <v>May</v>
      </c>
      <c r="J444" s="2">
        <f>YEAR(Sheet1[[#This Row],[claim_date]])</f>
        <v>2024</v>
      </c>
      <c r="K444" s="2" t="str">
        <f>"Q"&amp;ROUNDUP(MONTH(Sheet1[[#This Row],[claim_date]])/3,0)</f>
        <v>Q2</v>
      </c>
      <c r="L444" s="2" t="str">
        <f>IF(Sheet1[[#This Row],[claim_amount]]&lt;100000,"Low",IF(Sheet1[[#This Row],[claim_amount]]&lt;200000,"Medium","High"))</f>
        <v>Low</v>
      </c>
      <c r="M444" s="2" t="str">
        <f>IF(Sheet1[[#This Row],[days_to_process]]&lt;=30,"Fast","Slow")</f>
        <v>Slow</v>
      </c>
    </row>
    <row r="445" spans="1:13" x14ac:dyDescent="0.3">
      <c r="A445" t="s">
        <v>869</v>
      </c>
      <c r="B445" s="2" t="s">
        <v>870</v>
      </c>
      <c r="C445" s="1">
        <v>44276</v>
      </c>
      <c r="D445" s="35">
        <v>146433.04</v>
      </c>
      <c r="E445" s="2" t="s">
        <v>15</v>
      </c>
      <c r="F445" s="2" t="s">
        <v>20</v>
      </c>
      <c r="G445" s="2" t="s">
        <v>12</v>
      </c>
      <c r="H445">
        <v>48</v>
      </c>
      <c r="I445" s="2" t="str">
        <f>TEXT(Sheet1[[#This Row],[claim_date]],"mmmm")</f>
        <v>March</v>
      </c>
      <c r="J445" s="2">
        <f>YEAR(Sheet1[[#This Row],[claim_date]])</f>
        <v>2021</v>
      </c>
      <c r="K445" s="2" t="str">
        <f>"Q"&amp;ROUNDUP(MONTH(Sheet1[[#This Row],[claim_date]])/3,0)</f>
        <v>Q1</v>
      </c>
      <c r="L445" s="2" t="str">
        <f>IF(Sheet1[[#This Row],[claim_amount]]&lt;100000,"Low",IF(Sheet1[[#This Row],[claim_amount]]&lt;200000,"Medium","High"))</f>
        <v>Medium</v>
      </c>
      <c r="M445" s="2" t="str">
        <f>IF(Sheet1[[#This Row],[days_to_process]]&lt;=30,"Fast","Slow")</f>
        <v>Slow</v>
      </c>
    </row>
    <row r="446" spans="1:13" x14ac:dyDescent="0.3">
      <c r="A446" t="s">
        <v>871</v>
      </c>
      <c r="B446" s="2" t="s">
        <v>872</v>
      </c>
      <c r="C446" s="1">
        <v>45383</v>
      </c>
      <c r="D446" s="35">
        <v>180720.22</v>
      </c>
      <c r="E446" s="2" t="s">
        <v>15</v>
      </c>
      <c r="F446" s="2" t="s">
        <v>20</v>
      </c>
      <c r="G446" s="2" t="s">
        <v>12</v>
      </c>
      <c r="H446">
        <v>17</v>
      </c>
      <c r="I446" s="2" t="str">
        <f>TEXT(Sheet1[[#This Row],[claim_date]],"mmmm")</f>
        <v>April</v>
      </c>
      <c r="J446" s="2">
        <f>YEAR(Sheet1[[#This Row],[claim_date]])</f>
        <v>2024</v>
      </c>
      <c r="K446" s="2" t="str">
        <f>"Q"&amp;ROUNDUP(MONTH(Sheet1[[#This Row],[claim_date]])/3,0)</f>
        <v>Q2</v>
      </c>
      <c r="L446" s="2" t="str">
        <f>IF(Sheet1[[#This Row],[claim_amount]]&lt;100000,"Low",IF(Sheet1[[#This Row],[claim_amount]]&lt;200000,"Medium","High"))</f>
        <v>Medium</v>
      </c>
      <c r="M446" s="2" t="str">
        <f>IF(Sheet1[[#This Row],[days_to_process]]&lt;=30,"Fast","Slow")</f>
        <v>Fast</v>
      </c>
    </row>
    <row r="447" spans="1:13" x14ac:dyDescent="0.3">
      <c r="A447" t="s">
        <v>873</v>
      </c>
      <c r="B447" s="2" t="s">
        <v>874</v>
      </c>
      <c r="C447" s="1">
        <v>45239</v>
      </c>
      <c r="D447" s="35">
        <v>56896.47</v>
      </c>
      <c r="E447" s="2" t="s">
        <v>10</v>
      </c>
      <c r="F447" s="2" t="s">
        <v>23</v>
      </c>
      <c r="G447" s="2" t="s">
        <v>24</v>
      </c>
      <c r="H447">
        <v>34</v>
      </c>
      <c r="I447" s="2" t="str">
        <f>TEXT(Sheet1[[#This Row],[claim_date]],"mmmm")</f>
        <v>November</v>
      </c>
      <c r="J447" s="2">
        <f>YEAR(Sheet1[[#This Row],[claim_date]])</f>
        <v>2023</v>
      </c>
      <c r="K447" s="2" t="str">
        <f>"Q"&amp;ROUNDUP(MONTH(Sheet1[[#This Row],[claim_date]])/3,0)</f>
        <v>Q4</v>
      </c>
      <c r="L447" s="2" t="str">
        <f>IF(Sheet1[[#This Row],[claim_amount]]&lt;100000,"Low",IF(Sheet1[[#This Row],[claim_amount]]&lt;200000,"Medium","High"))</f>
        <v>Low</v>
      </c>
      <c r="M447" s="2" t="str">
        <f>IF(Sheet1[[#This Row],[days_to_process]]&lt;=30,"Fast","Slow")</f>
        <v>Slow</v>
      </c>
    </row>
    <row r="448" spans="1:13" x14ac:dyDescent="0.3">
      <c r="A448" t="s">
        <v>875</v>
      </c>
      <c r="B448" s="2" t="s">
        <v>876</v>
      </c>
      <c r="C448" s="1">
        <v>44886</v>
      </c>
      <c r="D448" s="35">
        <v>23407.58</v>
      </c>
      <c r="E448" s="2" t="s">
        <v>15</v>
      </c>
      <c r="F448" s="2" t="s">
        <v>20</v>
      </c>
      <c r="G448" s="2" t="s">
        <v>24</v>
      </c>
      <c r="H448">
        <v>41</v>
      </c>
      <c r="I448" s="2" t="str">
        <f>TEXT(Sheet1[[#This Row],[claim_date]],"mmmm")</f>
        <v>November</v>
      </c>
      <c r="J448" s="2">
        <f>YEAR(Sheet1[[#This Row],[claim_date]])</f>
        <v>2022</v>
      </c>
      <c r="K448" s="2" t="str">
        <f>"Q"&amp;ROUNDUP(MONTH(Sheet1[[#This Row],[claim_date]])/3,0)</f>
        <v>Q4</v>
      </c>
      <c r="L448" s="2" t="str">
        <f>IF(Sheet1[[#This Row],[claim_amount]]&lt;100000,"Low",IF(Sheet1[[#This Row],[claim_amount]]&lt;200000,"Medium","High"))</f>
        <v>Low</v>
      </c>
      <c r="M448" s="2" t="str">
        <f>IF(Sheet1[[#This Row],[days_to_process]]&lt;=30,"Fast","Slow")</f>
        <v>Slow</v>
      </c>
    </row>
    <row r="449" spans="1:13" x14ac:dyDescent="0.3">
      <c r="A449" t="s">
        <v>877</v>
      </c>
      <c r="B449" s="2" t="s">
        <v>878</v>
      </c>
      <c r="C449" s="1">
        <v>44898</v>
      </c>
      <c r="D449" s="35">
        <v>239765.02</v>
      </c>
      <c r="E449" s="2" t="s">
        <v>19</v>
      </c>
      <c r="F449" s="2" t="s">
        <v>34</v>
      </c>
      <c r="G449" s="2" t="s">
        <v>12</v>
      </c>
      <c r="H449">
        <v>34</v>
      </c>
      <c r="I449" s="2" t="str">
        <f>TEXT(Sheet1[[#This Row],[claim_date]],"mmmm")</f>
        <v>December</v>
      </c>
      <c r="J449" s="2">
        <f>YEAR(Sheet1[[#This Row],[claim_date]])</f>
        <v>2022</v>
      </c>
      <c r="K449" s="2" t="str">
        <f>"Q"&amp;ROUNDUP(MONTH(Sheet1[[#This Row],[claim_date]])/3,0)</f>
        <v>Q4</v>
      </c>
      <c r="L449" s="2" t="str">
        <f>IF(Sheet1[[#This Row],[claim_amount]]&lt;100000,"Low",IF(Sheet1[[#This Row],[claim_amount]]&lt;200000,"Medium","High"))</f>
        <v>High</v>
      </c>
      <c r="M449" s="2" t="str">
        <f>IF(Sheet1[[#This Row],[days_to_process]]&lt;=30,"Fast","Slow")</f>
        <v>Slow</v>
      </c>
    </row>
    <row r="450" spans="1:13" x14ac:dyDescent="0.3">
      <c r="A450" t="s">
        <v>879</v>
      </c>
      <c r="B450" s="2" t="s">
        <v>880</v>
      </c>
      <c r="C450" s="1">
        <v>44074</v>
      </c>
      <c r="D450" s="35">
        <v>202606.89</v>
      </c>
      <c r="E450" s="2" t="s">
        <v>10</v>
      </c>
      <c r="F450" s="2" t="s">
        <v>16</v>
      </c>
      <c r="G450" s="2" t="s">
        <v>12</v>
      </c>
      <c r="H450">
        <v>10</v>
      </c>
      <c r="I450" s="2" t="str">
        <f>TEXT(Sheet1[[#This Row],[claim_date]],"mmmm")</f>
        <v>August</v>
      </c>
      <c r="J450" s="2">
        <f>YEAR(Sheet1[[#This Row],[claim_date]])</f>
        <v>2020</v>
      </c>
      <c r="K450" s="2" t="str">
        <f>"Q"&amp;ROUNDUP(MONTH(Sheet1[[#This Row],[claim_date]])/3,0)</f>
        <v>Q3</v>
      </c>
      <c r="L450" s="2" t="str">
        <f>IF(Sheet1[[#This Row],[claim_amount]]&lt;100000,"Low",IF(Sheet1[[#This Row],[claim_amount]]&lt;200000,"Medium","High"))</f>
        <v>High</v>
      </c>
      <c r="M450" s="2" t="str">
        <f>IF(Sheet1[[#This Row],[days_to_process]]&lt;=30,"Fast","Slow")</f>
        <v>Fast</v>
      </c>
    </row>
    <row r="451" spans="1:13" x14ac:dyDescent="0.3">
      <c r="A451" t="s">
        <v>881</v>
      </c>
      <c r="B451" s="2" t="s">
        <v>882</v>
      </c>
      <c r="C451" s="1">
        <v>45278</v>
      </c>
      <c r="D451" s="35">
        <v>330329</v>
      </c>
      <c r="E451" s="2" t="s">
        <v>10</v>
      </c>
      <c r="F451" s="2" t="s">
        <v>34</v>
      </c>
      <c r="G451" s="2" t="s">
        <v>24</v>
      </c>
      <c r="H451">
        <v>20</v>
      </c>
      <c r="I451" s="2" t="str">
        <f>TEXT(Sheet1[[#This Row],[claim_date]],"mmmm")</f>
        <v>December</v>
      </c>
      <c r="J451" s="2">
        <f>YEAR(Sheet1[[#This Row],[claim_date]])</f>
        <v>2023</v>
      </c>
      <c r="K451" s="2" t="str">
        <f>"Q"&amp;ROUNDUP(MONTH(Sheet1[[#This Row],[claim_date]])/3,0)</f>
        <v>Q4</v>
      </c>
      <c r="L451" s="2" t="str">
        <f>IF(Sheet1[[#This Row],[claim_amount]]&lt;100000,"Low",IF(Sheet1[[#This Row],[claim_amount]]&lt;200000,"Medium","High"))</f>
        <v>High</v>
      </c>
      <c r="M451" s="2" t="str">
        <f>IF(Sheet1[[#This Row],[days_to_process]]&lt;=30,"Fast","Slow")</f>
        <v>Fast</v>
      </c>
    </row>
    <row r="452" spans="1:13" x14ac:dyDescent="0.3">
      <c r="A452" t="s">
        <v>883</v>
      </c>
      <c r="B452" s="2" t="s">
        <v>884</v>
      </c>
      <c r="C452" s="1">
        <v>45324</v>
      </c>
      <c r="D452" s="35">
        <v>117975.78</v>
      </c>
      <c r="E452" s="2" t="s">
        <v>10</v>
      </c>
      <c r="F452" s="2" t="s">
        <v>11</v>
      </c>
      <c r="G452" s="2" t="s">
        <v>12</v>
      </c>
      <c r="H452">
        <v>5</v>
      </c>
      <c r="I452" s="2" t="str">
        <f>TEXT(Sheet1[[#This Row],[claim_date]],"mmmm")</f>
        <v>February</v>
      </c>
      <c r="J452" s="2">
        <f>YEAR(Sheet1[[#This Row],[claim_date]])</f>
        <v>2024</v>
      </c>
      <c r="K452" s="2" t="str">
        <f>"Q"&amp;ROUNDUP(MONTH(Sheet1[[#This Row],[claim_date]])/3,0)</f>
        <v>Q1</v>
      </c>
      <c r="L452" s="2" t="str">
        <f>IF(Sheet1[[#This Row],[claim_amount]]&lt;100000,"Low",IF(Sheet1[[#This Row],[claim_amount]]&lt;200000,"Medium","High"))</f>
        <v>Medium</v>
      </c>
      <c r="M452" s="2" t="str">
        <f>IF(Sheet1[[#This Row],[days_to_process]]&lt;=30,"Fast","Slow")</f>
        <v>Fast</v>
      </c>
    </row>
    <row r="453" spans="1:13" x14ac:dyDescent="0.3">
      <c r="A453" t="s">
        <v>885</v>
      </c>
      <c r="B453" s="2" t="s">
        <v>676</v>
      </c>
      <c r="C453" s="1">
        <v>45629</v>
      </c>
      <c r="D453" s="35">
        <v>193112.95</v>
      </c>
      <c r="E453" s="2" t="s">
        <v>19</v>
      </c>
      <c r="F453" s="2" t="s">
        <v>20</v>
      </c>
      <c r="G453" s="2" t="s">
        <v>24</v>
      </c>
      <c r="H453">
        <v>37</v>
      </c>
      <c r="I453" s="2" t="str">
        <f>TEXT(Sheet1[[#This Row],[claim_date]],"mmmm")</f>
        <v>December</v>
      </c>
      <c r="J453" s="2">
        <f>YEAR(Sheet1[[#This Row],[claim_date]])</f>
        <v>2024</v>
      </c>
      <c r="K453" s="2" t="str">
        <f>"Q"&amp;ROUNDUP(MONTH(Sheet1[[#This Row],[claim_date]])/3,0)</f>
        <v>Q4</v>
      </c>
      <c r="L453" s="2" t="str">
        <f>IF(Sheet1[[#This Row],[claim_amount]]&lt;100000,"Low",IF(Sheet1[[#This Row],[claim_amount]]&lt;200000,"Medium","High"))</f>
        <v>Medium</v>
      </c>
      <c r="M453" s="2" t="str">
        <f>IF(Sheet1[[#This Row],[days_to_process]]&lt;=30,"Fast","Slow")</f>
        <v>Slow</v>
      </c>
    </row>
    <row r="454" spans="1:13" x14ac:dyDescent="0.3">
      <c r="A454" t="s">
        <v>886</v>
      </c>
      <c r="B454" s="2" t="s">
        <v>887</v>
      </c>
      <c r="C454" s="1">
        <v>44405</v>
      </c>
      <c r="D454" s="35">
        <v>349052.49</v>
      </c>
      <c r="E454" s="2" t="s">
        <v>15</v>
      </c>
      <c r="F454" s="2" t="s">
        <v>20</v>
      </c>
      <c r="G454" s="2" t="s">
        <v>24</v>
      </c>
      <c r="H454">
        <v>12</v>
      </c>
      <c r="I454" s="2" t="str">
        <f>TEXT(Sheet1[[#This Row],[claim_date]],"mmmm")</f>
        <v>July</v>
      </c>
      <c r="J454" s="2">
        <f>YEAR(Sheet1[[#This Row],[claim_date]])</f>
        <v>2021</v>
      </c>
      <c r="K454" s="2" t="str">
        <f>"Q"&amp;ROUNDUP(MONTH(Sheet1[[#This Row],[claim_date]])/3,0)</f>
        <v>Q3</v>
      </c>
      <c r="L454" s="2" t="str">
        <f>IF(Sheet1[[#This Row],[claim_amount]]&lt;100000,"Low",IF(Sheet1[[#This Row],[claim_amount]]&lt;200000,"Medium","High"))</f>
        <v>High</v>
      </c>
      <c r="M454" s="2" t="str">
        <f>IF(Sheet1[[#This Row],[days_to_process]]&lt;=30,"Fast","Slow")</f>
        <v>Fast</v>
      </c>
    </row>
    <row r="455" spans="1:13" x14ac:dyDescent="0.3">
      <c r="A455" t="s">
        <v>888</v>
      </c>
      <c r="B455" s="2" t="s">
        <v>889</v>
      </c>
      <c r="C455" s="1">
        <v>45345</v>
      </c>
      <c r="D455" s="35">
        <v>159391.39000000001</v>
      </c>
      <c r="E455" s="2" t="s">
        <v>15</v>
      </c>
      <c r="F455" s="2" t="s">
        <v>34</v>
      </c>
      <c r="G455" s="2" t="s">
        <v>24</v>
      </c>
      <c r="H455">
        <v>16</v>
      </c>
      <c r="I455" s="2" t="str">
        <f>TEXT(Sheet1[[#This Row],[claim_date]],"mmmm")</f>
        <v>February</v>
      </c>
      <c r="J455" s="2">
        <f>YEAR(Sheet1[[#This Row],[claim_date]])</f>
        <v>2024</v>
      </c>
      <c r="K455" s="2" t="str">
        <f>"Q"&amp;ROUNDUP(MONTH(Sheet1[[#This Row],[claim_date]])/3,0)</f>
        <v>Q1</v>
      </c>
      <c r="L455" s="2" t="str">
        <f>IF(Sheet1[[#This Row],[claim_amount]]&lt;100000,"Low",IF(Sheet1[[#This Row],[claim_amount]]&lt;200000,"Medium","High"))</f>
        <v>Medium</v>
      </c>
      <c r="M455" s="2" t="str">
        <f>IF(Sheet1[[#This Row],[days_to_process]]&lt;=30,"Fast","Slow")</f>
        <v>Fast</v>
      </c>
    </row>
    <row r="456" spans="1:13" x14ac:dyDescent="0.3">
      <c r="A456" t="s">
        <v>890</v>
      </c>
      <c r="B456" s="2" t="s">
        <v>891</v>
      </c>
      <c r="C456" s="1">
        <v>45528</v>
      </c>
      <c r="D456" s="35">
        <v>227512.88</v>
      </c>
      <c r="E456" s="2" t="s">
        <v>15</v>
      </c>
      <c r="F456" s="2" t="s">
        <v>16</v>
      </c>
      <c r="G456" s="2" t="s">
        <v>24</v>
      </c>
      <c r="H456">
        <v>32</v>
      </c>
      <c r="I456" s="2" t="str">
        <f>TEXT(Sheet1[[#This Row],[claim_date]],"mmmm")</f>
        <v>August</v>
      </c>
      <c r="J456" s="2">
        <f>YEAR(Sheet1[[#This Row],[claim_date]])</f>
        <v>2024</v>
      </c>
      <c r="K456" s="2" t="str">
        <f>"Q"&amp;ROUNDUP(MONTH(Sheet1[[#This Row],[claim_date]])/3,0)</f>
        <v>Q3</v>
      </c>
      <c r="L456" s="2" t="str">
        <f>IF(Sheet1[[#This Row],[claim_amount]]&lt;100000,"Low",IF(Sheet1[[#This Row],[claim_amount]]&lt;200000,"Medium","High"))</f>
        <v>High</v>
      </c>
      <c r="M456" s="2" t="str">
        <f>IF(Sheet1[[#This Row],[days_to_process]]&lt;=30,"Fast","Slow")</f>
        <v>Slow</v>
      </c>
    </row>
    <row r="457" spans="1:13" x14ac:dyDescent="0.3">
      <c r="A457" t="s">
        <v>892</v>
      </c>
      <c r="B457" s="2" t="s">
        <v>584</v>
      </c>
      <c r="C457" s="1">
        <v>45544</v>
      </c>
      <c r="D457" s="35">
        <v>420024.83</v>
      </c>
      <c r="E457" s="2" t="s">
        <v>15</v>
      </c>
      <c r="F457" s="2" t="s">
        <v>11</v>
      </c>
      <c r="G457" s="2" t="s">
        <v>12</v>
      </c>
      <c r="H457">
        <v>20</v>
      </c>
      <c r="I457" s="2" t="str">
        <f>TEXT(Sheet1[[#This Row],[claim_date]],"mmmm")</f>
        <v>September</v>
      </c>
      <c r="J457" s="2">
        <f>YEAR(Sheet1[[#This Row],[claim_date]])</f>
        <v>2024</v>
      </c>
      <c r="K457" s="2" t="str">
        <f>"Q"&amp;ROUNDUP(MONTH(Sheet1[[#This Row],[claim_date]])/3,0)</f>
        <v>Q3</v>
      </c>
      <c r="L457" s="2" t="str">
        <f>IF(Sheet1[[#This Row],[claim_amount]]&lt;100000,"Low",IF(Sheet1[[#This Row],[claim_amount]]&lt;200000,"Medium","High"))</f>
        <v>High</v>
      </c>
      <c r="M457" s="2" t="str">
        <f>IF(Sheet1[[#This Row],[days_to_process]]&lt;=30,"Fast","Slow")</f>
        <v>Fast</v>
      </c>
    </row>
    <row r="458" spans="1:13" x14ac:dyDescent="0.3">
      <c r="A458" t="s">
        <v>893</v>
      </c>
      <c r="B458" s="2" t="s">
        <v>207</v>
      </c>
      <c r="C458" s="1">
        <v>45184</v>
      </c>
      <c r="D458" s="35">
        <v>198734.6</v>
      </c>
      <c r="E458" s="2" t="s">
        <v>19</v>
      </c>
      <c r="F458" s="2" t="s">
        <v>34</v>
      </c>
      <c r="G458" s="2" t="s">
        <v>12</v>
      </c>
      <c r="H458">
        <v>36</v>
      </c>
      <c r="I458" s="2" t="str">
        <f>TEXT(Sheet1[[#This Row],[claim_date]],"mmmm")</f>
        <v>September</v>
      </c>
      <c r="J458" s="2">
        <f>YEAR(Sheet1[[#This Row],[claim_date]])</f>
        <v>2023</v>
      </c>
      <c r="K458" s="2" t="str">
        <f>"Q"&amp;ROUNDUP(MONTH(Sheet1[[#This Row],[claim_date]])/3,0)</f>
        <v>Q3</v>
      </c>
      <c r="L458" s="2" t="str">
        <f>IF(Sheet1[[#This Row],[claim_amount]]&lt;100000,"Low",IF(Sheet1[[#This Row],[claim_amount]]&lt;200000,"Medium","High"))</f>
        <v>Medium</v>
      </c>
      <c r="M458" s="2" t="str">
        <f>IF(Sheet1[[#This Row],[days_to_process]]&lt;=30,"Fast","Slow")</f>
        <v>Slow</v>
      </c>
    </row>
    <row r="459" spans="1:13" x14ac:dyDescent="0.3">
      <c r="A459" t="s">
        <v>894</v>
      </c>
      <c r="B459" s="2" t="s">
        <v>895</v>
      </c>
      <c r="C459" s="1">
        <v>44814</v>
      </c>
      <c r="D459" s="35">
        <v>356754.34</v>
      </c>
      <c r="E459" s="2" t="s">
        <v>10</v>
      </c>
      <c r="F459" s="2" t="s">
        <v>11</v>
      </c>
      <c r="G459" s="2" t="s">
        <v>24</v>
      </c>
      <c r="H459">
        <v>12</v>
      </c>
      <c r="I459" s="2" t="str">
        <f>TEXT(Sheet1[[#This Row],[claim_date]],"mmmm")</f>
        <v>September</v>
      </c>
      <c r="J459" s="2">
        <f>YEAR(Sheet1[[#This Row],[claim_date]])</f>
        <v>2022</v>
      </c>
      <c r="K459" s="2" t="str">
        <f>"Q"&amp;ROUNDUP(MONTH(Sheet1[[#This Row],[claim_date]])/3,0)</f>
        <v>Q3</v>
      </c>
      <c r="L459" s="2" t="str">
        <f>IF(Sheet1[[#This Row],[claim_amount]]&lt;100000,"Low",IF(Sheet1[[#This Row],[claim_amount]]&lt;200000,"Medium","High"))</f>
        <v>High</v>
      </c>
      <c r="M459" s="2" t="str">
        <f>IF(Sheet1[[#This Row],[days_to_process]]&lt;=30,"Fast","Slow")</f>
        <v>Fast</v>
      </c>
    </row>
    <row r="460" spans="1:13" x14ac:dyDescent="0.3">
      <c r="A460" t="s">
        <v>896</v>
      </c>
      <c r="B460" s="2" t="s">
        <v>897</v>
      </c>
      <c r="C460" s="1">
        <v>44325</v>
      </c>
      <c r="D460" s="35">
        <v>322114.33</v>
      </c>
      <c r="E460" s="2" t="s">
        <v>15</v>
      </c>
      <c r="F460" s="2" t="s">
        <v>11</v>
      </c>
      <c r="G460" s="2" t="s">
        <v>24</v>
      </c>
      <c r="H460">
        <v>55</v>
      </c>
      <c r="I460" s="2" t="str">
        <f>TEXT(Sheet1[[#This Row],[claim_date]],"mmmm")</f>
        <v>May</v>
      </c>
      <c r="J460" s="2">
        <f>YEAR(Sheet1[[#This Row],[claim_date]])</f>
        <v>2021</v>
      </c>
      <c r="K460" s="2" t="str">
        <f>"Q"&amp;ROUNDUP(MONTH(Sheet1[[#This Row],[claim_date]])/3,0)</f>
        <v>Q2</v>
      </c>
      <c r="L460" s="2" t="str">
        <f>IF(Sheet1[[#This Row],[claim_amount]]&lt;100000,"Low",IF(Sheet1[[#This Row],[claim_amount]]&lt;200000,"Medium","High"))</f>
        <v>High</v>
      </c>
      <c r="M460" s="2" t="str">
        <f>IF(Sheet1[[#This Row],[days_to_process]]&lt;=30,"Fast","Slow")</f>
        <v>Slow</v>
      </c>
    </row>
    <row r="461" spans="1:13" x14ac:dyDescent="0.3">
      <c r="A461" t="s">
        <v>898</v>
      </c>
      <c r="B461" s="2" t="s">
        <v>899</v>
      </c>
      <c r="C461" s="1">
        <v>45277</v>
      </c>
      <c r="D461" s="35">
        <v>424462.62</v>
      </c>
      <c r="E461" s="2" t="s">
        <v>10</v>
      </c>
      <c r="F461" s="2" t="s">
        <v>20</v>
      </c>
      <c r="G461" s="2" t="s">
        <v>24</v>
      </c>
      <c r="H461">
        <v>19</v>
      </c>
      <c r="I461" s="2" t="str">
        <f>TEXT(Sheet1[[#This Row],[claim_date]],"mmmm")</f>
        <v>December</v>
      </c>
      <c r="J461" s="2">
        <f>YEAR(Sheet1[[#This Row],[claim_date]])</f>
        <v>2023</v>
      </c>
      <c r="K461" s="2" t="str">
        <f>"Q"&amp;ROUNDUP(MONTH(Sheet1[[#This Row],[claim_date]])/3,0)</f>
        <v>Q4</v>
      </c>
      <c r="L461" s="2" t="str">
        <f>IF(Sheet1[[#This Row],[claim_amount]]&lt;100000,"Low",IF(Sheet1[[#This Row],[claim_amount]]&lt;200000,"Medium","High"))</f>
        <v>High</v>
      </c>
      <c r="M461" s="2" t="str">
        <f>IF(Sheet1[[#This Row],[days_to_process]]&lt;=30,"Fast","Slow")</f>
        <v>Fast</v>
      </c>
    </row>
    <row r="462" spans="1:13" x14ac:dyDescent="0.3">
      <c r="A462" t="s">
        <v>900</v>
      </c>
      <c r="B462" s="2" t="s">
        <v>901</v>
      </c>
      <c r="C462" s="1">
        <v>45687</v>
      </c>
      <c r="D462" s="35">
        <v>405168.54</v>
      </c>
      <c r="E462" s="2" t="s">
        <v>15</v>
      </c>
      <c r="F462" s="2" t="s">
        <v>20</v>
      </c>
      <c r="G462" s="2" t="s">
        <v>24</v>
      </c>
      <c r="H462">
        <v>46</v>
      </c>
      <c r="I462" s="2" t="str">
        <f>TEXT(Sheet1[[#This Row],[claim_date]],"mmmm")</f>
        <v>January</v>
      </c>
      <c r="J462" s="2">
        <f>YEAR(Sheet1[[#This Row],[claim_date]])</f>
        <v>2025</v>
      </c>
      <c r="K462" s="2" t="str">
        <f>"Q"&amp;ROUNDUP(MONTH(Sheet1[[#This Row],[claim_date]])/3,0)</f>
        <v>Q1</v>
      </c>
      <c r="L462" s="2" t="str">
        <f>IF(Sheet1[[#This Row],[claim_amount]]&lt;100000,"Low",IF(Sheet1[[#This Row],[claim_amount]]&lt;200000,"Medium","High"))</f>
        <v>High</v>
      </c>
      <c r="M462" s="2" t="str">
        <f>IF(Sheet1[[#This Row],[days_to_process]]&lt;=30,"Fast","Slow")</f>
        <v>Slow</v>
      </c>
    </row>
    <row r="463" spans="1:13" x14ac:dyDescent="0.3">
      <c r="A463" t="s">
        <v>902</v>
      </c>
      <c r="B463" s="2" t="s">
        <v>254</v>
      </c>
      <c r="C463" s="1">
        <v>44525</v>
      </c>
      <c r="D463" s="35">
        <v>338905.93</v>
      </c>
      <c r="E463" s="2" t="s">
        <v>19</v>
      </c>
      <c r="F463" s="2" t="s">
        <v>20</v>
      </c>
      <c r="G463" s="2" t="s">
        <v>12</v>
      </c>
      <c r="H463">
        <v>41</v>
      </c>
      <c r="I463" s="2" t="str">
        <f>TEXT(Sheet1[[#This Row],[claim_date]],"mmmm")</f>
        <v>November</v>
      </c>
      <c r="J463" s="2">
        <f>YEAR(Sheet1[[#This Row],[claim_date]])</f>
        <v>2021</v>
      </c>
      <c r="K463" s="2" t="str">
        <f>"Q"&amp;ROUNDUP(MONTH(Sheet1[[#This Row],[claim_date]])/3,0)</f>
        <v>Q4</v>
      </c>
      <c r="L463" s="2" t="str">
        <f>IF(Sheet1[[#This Row],[claim_amount]]&lt;100000,"Low",IF(Sheet1[[#This Row],[claim_amount]]&lt;200000,"Medium","High"))</f>
        <v>High</v>
      </c>
      <c r="M463" s="2" t="str">
        <f>IF(Sheet1[[#This Row],[days_to_process]]&lt;=30,"Fast","Slow")</f>
        <v>Slow</v>
      </c>
    </row>
    <row r="464" spans="1:13" x14ac:dyDescent="0.3">
      <c r="A464" t="s">
        <v>903</v>
      </c>
      <c r="B464" s="2" t="s">
        <v>904</v>
      </c>
      <c r="C464" s="1">
        <v>45417</v>
      </c>
      <c r="D464" s="35">
        <v>272532.37</v>
      </c>
      <c r="E464" s="2" t="s">
        <v>10</v>
      </c>
      <c r="F464" s="2" t="s">
        <v>23</v>
      </c>
      <c r="G464" s="2" t="s">
        <v>24</v>
      </c>
      <c r="H464">
        <v>7</v>
      </c>
      <c r="I464" s="2" t="str">
        <f>TEXT(Sheet1[[#This Row],[claim_date]],"mmmm")</f>
        <v>May</v>
      </c>
      <c r="J464" s="2">
        <f>YEAR(Sheet1[[#This Row],[claim_date]])</f>
        <v>2024</v>
      </c>
      <c r="K464" s="2" t="str">
        <f>"Q"&amp;ROUNDUP(MONTH(Sheet1[[#This Row],[claim_date]])/3,0)</f>
        <v>Q2</v>
      </c>
      <c r="L464" s="2" t="str">
        <f>IF(Sheet1[[#This Row],[claim_amount]]&lt;100000,"Low",IF(Sheet1[[#This Row],[claim_amount]]&lt;200000,"Medium","High"))</f>
        <v>High</v>
      </c>
      <c r="M464" s="2" t="str">
        <f>IF(Sheet1[[#This Row],[days_to_process]]&lt;=30,"Fast","Slow")</f>
        <v>Fast</v>
      </c>
    </row>
    <row r="465" spans="1:13" x14ac:dyDescent="0.3">
      <c r="A465" t="s">
        <v>905</v>
      </c>
      <c r="B465" s="2" t="s">
        <v>906</v>
      </c>
      <c r="C465" s="1">
        <v>45488</v>
      </c>
      <c r="D465" s="35">
        <v>498300.64</v>
      </c>
      <c r="E465" s="2" t="s">
        <v>10</v>
      </c>
      <c r="F465" s="2" t="s">
        <v>23</v>
      </c>
      <c r="G465" s="2" t="s">
        <v>24</v>
      </c>
      <c r="H465">
        <v>55</v>
      </c>
      <c r="I465" s="2" t="str">
        <f>TEXT(Sheet1[[#This Row],[claim_date]],"mmmm")</f>
        <v>July</v>
      </c>
      <c r="J465" s="2">
        <f>YEAR(Sheet1[[#This Row],[claim_date]])</f>
        <v>2024</v>
      </c>
      <c r="K465" s="2" t="str">
        <f>"Q"&amp;ROUNDUP(MONTH(Sheet1[[#This Row],[claim_date]])/3,0)</f>
        <v>Q3</v>
      </c>
      <c r="L465" s="2" t="str">
        <f>IF(Sheet1[[#This Row],[claim_amount]]&lt;100000,"Low",IF(Sheet1[[#This Row],[claim_amount]]&lt;200000,"Medium","High"))</f>
        <v>High</v>
      </c>
      <c r="M465" s="2" t="str">
        <f>IF(Sheet1[[#This Row],[days_to_process]]&lt;=30,"Fast","Slow")</f>
        <v>Slow</v>
      </c>
    </row>
    <row r="466" spans="1:13" x14ac:dyDescent="0.3">
      <c r="A466" t="s">
        <v>907</v>
      </c>
      <c r="B466" s="2" t="s">
        <v>908</v>
      </c>
      <c r="C466" s="1">
        <v>44417</v>
      </c>
      <c r="D466" s="35">
        <v>281424.3</v>
      </c>
      <c r="E466" s="2" t="s">
        <v>19</v>
      </c>
      <c r="F466" s="2" t="s">
        <v>16</v>
      </c>
      <c r="G466" s="2" t="s">
        <v>24</v>
      </c>
      <c r="H466">
        <v>23</v>
      </c>
      <c r="I466" s="2" t="str">
        <f>TEXT(Sheet1[[#This Row],[claim_date]],"mmmm")</f>
        <v>August</v>
      </c>
      <c r="J466" s="2">
        <f>YEAR(Sheet1[[#This Row],[claim_date]])</f>
        <v>2021</v>
      </c>
      <c r="K466" s="2" t="str">
        <f>"Q"&amp;ROUNDUP(MONTH(Sheet1[[#This Row],[claim_date]])/3,0)</f>
        <v>Q3</v>
      </c>
      <c r="L466" s="2" t="str">
        <f>IF(Sheet1[[#This Row],[claim_amount]]&lt;100000,"Low",IF(Sheet1[[#This Row],[claim_amount]]&lt;200000,"Medium","High"))</f>
        <v>High</v>
      </c>
      <c r="M466" s="2" t="str">
        <f>IF(Sheet1[[#This Row],[days_to_process]]&lt;=30,"Fast","Slow")</f>
        <v>Fast</v>
      </c>
    </row>
    <row r="467" spans="1:13" x14ac:dyDescent="0.3">
      <c r="A467" t="s">
        <v>909</v>
      </c>
      <c r="B467" s="2" t="s">
        <v>910</v>
      </c>
      <c r="C467" s="1">
        <v>45257</v>
      </c>
      <c r="D467" s="35">
        <v>266023.8</v>
      </c>
      <c r="E467" s="2" t="s">
        <v>10</v>
      </c>
      <c r="F467" s="2" t="s">
        <v>34</v>
      </c>
      <c r="G467" s="2" t="s">
        <v>24</v>
      </c>
      <c r="H467">
        <v>2</v>
      </c>
      <c r="I467" s="2" t="str">
        <f>TEXT(Sheet1[[#This Row],[claim_date]],"mmmm")</f>
        <v>November</v>
      </c>
      <c r="J467" s="2">
        <f>YEAR(Sheet1[[#This Row],[claim_date]])</f>
        <v>2023</v>
      </c>
      <c r="K467" s="2" t="str">
        <f>"Q"&amp;ROUNDUP(MONTH(Sheet1[[#This Row],[claim_date]])/3,0)</f>
        <v>Q4</v>
      </c>
      <c r="L467" s="2" t="str">
        <f>IF(Sheet1[[#This Row],[claim_amount]]&lt;100000,"Low",IF(Sheet1[[#This Row],[claim_amount]]&lt;200000,"Medium","High"))</f>
        <v>High</v>
      </c>
      <c r="M467" s="2" t="str">
        <f>IF(Sheet1[[#This Row],[days_to_process]]&lt;=30,"Fast","Slow")</f>
        <v>Fast</v>
      </c>
    </row>
    <row r="468" spans="1:13" x14ac:dyDescent="0.3">
      <c r="A468" t="s">
        <v>911</v>
      </c>
      <c r="B468" s="2" t="s">
        <v>28</v>
      </c>
      <c r="C468" s="1">
        <v>45544</v>
      </c>
      <c r="D468" s="35">
        <v>225055.43</v>
      </c>
      <c r="E468" s="2" t="s">
        <v>19</v>
      </c>
      <c r="F468" s="2" t="s">
        <v>16</v>
      </c>
      <c r="G468" s="2" t="s">
        <v>12</v>
      </c>
      <c r="H468">
        <v>45</v>
      </c>
      <c r="I468" s="2" t="str">
        <f>TEXT(Sheet1[[#This Row],[claim_date]],"mmmm")</f>
        <v>September</v>
      </c>
      <c r="J468" s="2">
        <f>YEAR(Sheet1[[#This Row],[claim_date]])</f>
        <v>2024</v>
      </c>
      <c r="K468" s="2" t="str">
        <f>"Q"&amp;ROUNDUP(MONTH(Sheet1[[#This Row],[claim_date]])/3,0)</f>
        <v>Q3</v>
      </c>
      <c r="L468" s="2" t="str">
        <f>IF(Sheet1[[#This Row],[claim_amount]]&lt;100000,"Low",IF(Sheet1[[#This Row],[claim_amount]]&lt;200000,"Medium","High"))</f>
        <v>High</v>
      </c>
      <c r="M468" s="2" t="str">
        <f>IF(Sheet1[[#This Row],[days_to_process]]&lt;=30,"Fast","Slow")</f>
        <v>Slow</v>
      </c>
    </row>
    <row r="469" spans="1:13" x14ac:dyDescent="0.3">
      <c r="A469" t="s">
        <v>912</v>
      </c>
      <c r="B469" s="2" t="s">
        <v>913</v>
      </c>
      <c r="C469" s="1">
        <v>45183</v>
      </c>
      <c r="D469" s="35">
        <v>222780.57</v>
      </c>
      <c r="E469" s="2" t="s">
        <v>19</v>
      </c>
      <c r="F469" s="2" t="s">
        <v>23</v>
      </c>
      <c r="G469" s="2" t="s">
        <v>12</v>
      </c>
      <c r="H469">
        <v>59</v>
      </c>
      <c r="I469" s="2" t="str">
        <f>TEXT(Sheet1[[#This Row],[claim_date]],"mmmm")</f>
        <v>September</v>
      </c>
      <c r="J469" s="2">
        <f>YEAR(Sheet1[[#This Row],[claim_date]])</f>
        <v>2023</v>
      </c>
      <c r="K469" s="2" t="str">
        <f>"Q"&amp;ROUNDUP(MONTH(Sheet1[[#This Row],[claim_date]])/3,0)</f>
        <v>Q3</v>
      </c>
      <c r="L469" s="2" t="str">
        <f>IF(Sheet1[[#This Row],[claim_amount]]&lt;100000,"Low",IF(Sheet1[[#This Row],[claim_amount]]&lt;200000,"Medium","High"))</f>
        <v>High</v>
      </c>
      <c r="M469" s="2" t="str">
        <f>IF(Sheet1[[#This Row],[days_to_process]]&lt;=30,"Fast","Slow")</f>
        <v>Slow</v>
      </c>
    </row>
    <row r="470" spans="1:13" x14ac:dyDescent="0.3">
      <c r="A470" t="s">
        <v>914</v>
      </c>
      <c r="B470" s="2" t="s">
        <v>915</v>
      </c>
      <c r="C470" s="1">
        <v>45793</v>
      </c>
      <c r="D470" s="35">
        <v>149582.53</v>
      </c>
      <c r="E470" s="2" t="s">
        <v>19</v>
      </c>
      <c r="F470" s="2" t="s">
        <v>20</v>
      </c>
      <c r="G470" s="2" t="s">
        <v>24</v>
      </c>
      <c r="H470">
        <v>26</v>
      </c>
      <c r="I470" s="2" t="str">
        <f>TEXT(Sheet1[[#This Row],[claim_date]],"mmmm")</f>
        <v>May</v>
      </c>
      <c r="J470" s="2">
        <f>YEAR(Sheet1[[#This Row],[claim_date]])</f>
        <v>2025</v>
      </c>
      <c r="K470" s="2" t="str">
        <f>"Q"&amp;ROUNDUP(MONTH(Sheet1[[#This Row],[claim_date]])/3,0)</f>
        <v>Q2</v>
      </c>
      <c r="L470" s="2" t="str">
        <f>IF(Sheet1[[#This Row],[claim_amount]]&lt;100000,"Low",IF(Sheet1[[#This Row],[claim_amount]]&lt;200000,"Medium","High"))</f>
        <v>Medium</v>
      </c>
      <c r="M470" s="2" t="str">
        <f>IF(Sheet1[[#This Row],[days_to_process]]&lt;=30,"Fast","Slow")</f>
        <v>Fast</v>
      </c>
    </row>
    <row r="471" spans="1:13" x14ac:dyDescent="0.3">
      <c r="A471" t="s">
        <v>916</v>
      </c>
      <c r="B471" s="2" t="s">
        <v>917</v>
      </c>
      <c r="C471" s="1">
        <v>44761</v>
      </c>
      <c r="D471" s="35">
        <v>194450.26</v>
      </c>
      <c r="E471" s="2" t="s">
        <v>10</v>
      </c>
      <c r="F471" s="2" t="s">
        <v>20</v>
      </c>
      <c r="G471" s="2" t="s">
        <v>12</v>
      </c>
      <c r="H471">
        <v>27</v>
      </c>
      <c r="I471" s="2" t="str">
        <f>TEXT(Sheet1[[#This Row],[claim_date]],"mmmm")</f>
        <v>July</v>
      </c>
      <c r="J471" s="2">
        <f>YEAR(Sheet1[[#This Row],[claim_date]])</f>
        <v>2022</v>
      </c>
      <c r="K471" s="2" t="str">
        <f>"Q"&amp;ROUNDUP(MONTH(Sheet1[[#This Row],[claim_date]])/3,0)</f>
        <v>Q3</v>
      </c>
      <c r="L471" s="2" t="str">
        <f>IF(Sheet1[[#This Row],[claim_amount]]&lt;100000,"Low",IF(Sheet1[[#This Row],[claim_amount]]&lt;200000,"Medium","High"))</f>
        <v>Medium</v>
      </c>
      <c r="M471" s="2" t="str">
        <f>IF(Sheet1[[#This Row],[days_to_process]]&lt;=30,"Fast","Slow")</f>
        <v>Fast</v>
      </c>
    </row>
    <row r="472" spans="1:13" x14ac:dyDescent="0.3">
      <c r="A472" t="s">
        <v>918</v>
      </c>
      <c r="B472" s="2" t="s">
        <v>919</v>
      </c>
      <c r="C472" s="1">
        <v>44914</v>
      </c>
      <c r="D472" s="35">
        <v>321314.21999999997</v>
      </c>
      <c r="E472" s="2" t="s">
        <v>10</v>
      </c>
      <c r="F472" s="2" t="s">
        <v>11</v>
      </c>
      <c r="G472" s="2" t="s">
        <v>24</v>
      </c>
      <c r="H472">
        <v>49</v>
      </c>
      <c r="I472" s="2" t="str">
        <f>TEXT(Sheet1[[#This Row],[claim_date]],"mmmm")</f>
        <v>December</v>
      </c>
      <c r="J472" s="2">
        <f>YEAR(Sheet1[[#This Row],[claim_date]])</f>
        <v>2022</v>
      </c>
      <c r="K472" s="2" t="str">
        <f>"Q"&amp;ROUNDUP(MONTH(Sheet1[[#This Row],[claim_date]])/3,0)</f>
        <v>Q4</v>
      </c>
      <c r="L472" s="2" t="str">
        <f>IF(Sheet1[[#This Row],[claim_amount]]&lt;100000,"Low",IF(Sheet1[[#This Row],[claim_amount]]&lt;200000,"Medium","High"))</f>
        <v>High</v>
      </c>
      <c r="M472" s="2" t="str">
        <f>IF(Sheet1[[#This Row],[days_to_process]]&lt;=30,"Fast","Slow")</f>
        <v>Slow</v>
      </c>
    </row>
    <row r="473" spans="1:13" x14ac:dyDescent="0.3">
      <c r="A473" t="s">
        <v>920</v>
      </c>
      <c r="B473" s="2" t="s">
        <v>921</v>
      </c>
      <c r="C473" s="1">
        <v>45773</v>
      </c>
      <c r="D473" s="35">
        <v>244325.81</v>
      </c>
      <c r="E473" s="2" t="s">
        <v>15</v>
      </c>
      <c r="F473" s="2" t="s">
        <v>16</v>
      </c>
      <c r="G473" s="2" t="s">
        <v>24</v>
      </c>
      <c r="H473">
        <v>42</v>
      </c>
      <c r="I473" s="2" t="str">
        <f>TEXT(Sheet1[[#This Row],[claim_date]],"mmmm")</f>
        <v>April</v>
      </c>
      <c r="J473" s="2">
        <f>YEAR(Sheet1[[#This Row],[claim_date]])</f>
        <v>2025</v>
      </c>
      <c r="K473" s="2" t="str">
        <f>"Q"&amp;ROUNDUP(MONTH(Sheet1[[#This Row],[claim_date]])/3,0)</f>
        <v>Q2</v>
      </c>
      <c r="L473" s="2" t="str">
        <f>IF(Sheet1[[#This Row],[claim_amount]]&lt;100000,"Low",IF(Sheet1[[#This Row],[claim_amount]]&lt;200000,"Medium","High"))</f>
        <v>High</v>
      </c>
      <c r="M473" s="2" t="str">
        <f>IF(Sheet1[[#This Row],[days_to_process]]&lt;=30,"Fast","Slow")</f>
        <v>Slow</v>
      </c>
    </row>
    <row r="474" spans="1:13" x14ac:dyDescent="0.3">
      <c r="A474" t="s">
        <v>922</v>
      </c>
      <c r="B474" s="2" t="s">
        <v>923</v>
      </c>
      <c r="C474" s="1">
        <v>45426</v>
      </c>
      <c r="D474" s="35">
        <v>230908.41</v>
      </c>
      <c r="E474" s="2" t="s">
        <v>15</v>
      </c>
      <c r="F474" s="2" t="s">
        <v>23</v>
      </c>
      <c r="G474" s="2" t="s">
        <v>24</v>
      </c>
      <c r="H474">
        <v>8</v>
      </c>
      <c r="I474" s="2" t="str">
        <f>TEXT(Sheet1[[#This Row],[claim_date]],"mmmm")</f>
        <v>May</v>
      </c>
      <c r="J474" s="2">
        <f>YEAR(Sheet1[[#This Row],[claim_date]])</f>
        <v>2024</v>
      </c>
      <c r="K474" s="2" t="str">
        <f>"Q"&amp;ROUNDUP(MONTH(Sheet1[[#This Row],[claim_date]])/3,0)</f>
        <v>Q2</v>
      </c>
      <c r="L474" s="2" t="str">
        <f>IF(Sheet1[[#This Row],[claim_amount]]&lt;100000,"Low",IF(Sheet1[[#This Row],[claim_amount]]&lt;200000,"Medium","High"))</f>
        <v>High</v>
      </c>
      <c r="M474" s="2" t="str">
        <f>IF(Sheet1[[#This Row],[days_to_process]]&lt;=30,"Fast","Slow")</f>
        <v>Fast</v>
      </c>
    </row>
    <row r="475" spans="1:13" x14ac:dyDescent="0.3">
      <c r="A475" t="s">
        <v>924</v>
      </c>
      <c r="B475" s="2" t="s">
        <v>925</v>
      </c>
      <c r="C475" s="1">
        <v>45058</v>
      </c>
      <c r="D475" s="35">
        <v>488209.13</v>
      </c>
      <c r="E475" s="2" t="s">
        <v>15</v>
      </c>
      <c r="F475" s="2" t="s">
        <v>20</v>
      </c>
      <c r="G475" s="2" t="s">
        <v>12</v>
      </c>
      <c r="H475">
        <v>33</v>
      </c>
      <c r="I475" s="2" t="str">
        <f>TEXT(Sheet1[[#This Row],[claim_date]],"mmmm")</f>
        <v>May</v>
      </c>
      <c r="J475" s="2">
        <f>YEAR(Sheet1[[#This Row],[claim_date]])</f>
        <v>2023</v>
      </c>
      <c r="K475" s="2" t="str">
        <f>"Q"&amp;ROUNDUP(MONTH(Sheet1[[#This Row],[claim_date]])/3,0)</f>
        <v>Q2</v>
      </c>
      <c r="L475" s="2" t="str">
        <f>IF(Sheet1[[#This Row],[claim_amount]]&lt;100000,"Low",IF(Sheet1[[#This Row],[claim_amount]]&lt;200000,"Medium","High"))</f>
        <v>High</v>
      </c>
      <c r="M475" s="2" t="str">
        <f>IF(Sheet1[[#This Row],[days_to_process]]&lt;=30,"Fast","Slow")</f>
        <v>Slow</v>
      </c>
    </row>
    <row r="476" spans="1:13" x14ac:dyDescent="0.3">
      <c r="A476" t="s">
        <v>926</v>
      </c>
      <c r="B476" s="2" t="s">
        <v>927</v>
      </c>
      <c r="C476" s="1">
        <v>44923</v>
      </c>
      <c r="D476" s="35">
        <v>366449.98</v>
      </c>
      <c r="E476" s="2" t="s">
        <v>15</v>
      </c>
      <c r="F476" s="2" t="s">
        <v>23</v>
      </c>
      <c r="G476" s="2" t="s">
        <v>12</v>
      </c>
      <c r="H476">
        <v>57</v>
      </c>
      <c r="I476" s="2" t="str">
        <f>TEXT(Sheet1[[#This Row],[claim_date]],"mmmm")</f>
        <v>December</v>
      </c>
      <c r="J476" s="2">
        <f>YEAR(Sheet1[[#This Row],[claim_date]])</f>
        <v>2022</v>
      </c>
      <c r="K476" s="2" t="str">
        <f>"Q"&amp;ROUNDUP(MONTH(Sheet1[[#This Row],[claim_date]])/3,0)</f>
        <v>Q4</v>
      </c>
      <c r="L476" s="2" t="str">
        <f>IF(Sheet1[[#This Row],[claim_amount]]&lt;100000,"Low",IF(Sheet1[[#This Row],[claim_amount]]&lt;200000,"Medium","High"))</f>
        <v>High</v>
      </c>
      <c r="M476" s="2" t="str">
        <f>IF(Sheet1[[#This Row],[days_to_process]]&lt;=30,"Fast","Slow")</f>
        <v>Slow</v>
      </c>
    </row>
    <row r="477" spans="1:13" x14ac:dyDescent="0.3">
      <c r="A477" t="s">
        <v>928</v>
      </c>
      <c r="B477" s="2" t="s">
        <v>332</v>
      </c>
      <c r="C477" s="1">
        <v>44772</v>
      </c>
      <c r="D477" s="35">
        <v>257100.2</v>
      </c>
      <c r="E477" s="2" t="s">
        <v>10</v>
      </c>
      <c r="F477" s="2" t="s">
        <v>20</v>
      </c>
      <c r="G477" s="2" t="s">
        <v>24</v>
      </c>
      <c r="H477">
        <v>34</v>
      </c>
      <c r="I477" s="2" t="str">
        <f>TEXT(Sheet1[[#This Row],[claim_date]],"mmmm")</f>
        <v>July</v>
      </c>
      <c r="J477" s="2">
        <f>YEAR(Sheet1[[#This Row],[claim_date]])</f>
        <v>2022</v>
      </c>
      <c r="K477" s="2" t="str">
        <f>"Q"&amp;ROUNDUP(MONTH(Sheet1[[#This Row],[claim_date]])/3,0)</f>
        <v>Q3</v>
      </c>
      <c r="L477" s="2" t="str">
        <f>IF(Sheet1[[#This Row],[claim_amount]]&lt;100000,"Low",IF(Sheet1[[#This Row],[claim_amount]]&lt;200000,"Medium","High"))</f>
        <v>High</v>
      </c>
      <c r="M477" s="2" t="str">
        <f>IF(Sheet1[[#This Row],[days_to_process]]&lt;=30,"Fast","Slow")</f>
        <v>Slow</v>
      </c>
    </row>
    <row r="478" spans="1:13" x14ac:dyDescent="0.3">
      <c r="A478" t="s">
        <v>929</v>
      </c>
      <c r="B478" s="2" t="s">
        <v>930</v>
      </c>
      <c r="C478" s="1">
        <v>44962</v>
      </c>
      <c r="D478" s="35">
        <v>325890.34999999998</v>
      </c>
      <c r="E478" s="2" t="s">
        <v>15</v>
      </c>
      <c r="F478" s="2" t="s">
        <v>11</v>
      </c>
      <c r="G478" s="2" t="s">
        <v>12</v>
      </c>
      <c r="H478">
        <v>23</v>
      </c>
      <c r="I478" s="2" t="str">
        <f>TEXT(Sheet1[[#This Row],[claim_date]],"mmmm")</f>
        <v>February</v>
      </c>
      <c r="J478" s="2">
        <f>YEAR(Sheet1[[#This Row],[claim_date]])</f>
        <v>2023</v>
      </c>
      <c r="K478" s="2" t="str">
        <f>"Q"&amp;ROUNDUP(MONTH(Sheet1[[#This Row],[claim_date]])/3,0)</f>
        <v>Q1</v>
      </c>
      <c r="L478" s="2" t="str">
        <f>IF(Sheet1[[#This Row],[claim_amount]]&lt;100000,"Low",IF(Sheet1[[#This Row],[claim_amount]]&lt;200000,"Medium","High"))</f>
        <v>High</v>
      </c>
      <c r="M478" s="2" t="str">
        <f>IF(Sheet1[[#This Row],[days_to_process]]&lt;=30,"Fast","Slow")</f>
        <v>Fast</v>
      </c>
    </row>
    <row r="479" spans="1:13" x14ac:dyDescent="0.3">
      <c r="A479" t="s">
        <v>931</v>
      </c>
      <c r="B479" s="2" t="s">
        <v>932</v>
      </c>
      <c r="C479" s="1">
        <v>45516</v>
      </c>
      <c r="D479" s="35">
        <v>294479.63</v>
      </c>
      <c r="E479" s="2" t="s">
        <v>19</v>
      </c>
      <c r="F479" s="2" t="s">
        <v>34</v>
      </c>
      <c r="G479" s="2" t="s">
        <v>12</v>
      </c>
      <c r="H479">
        <v>19</v>
      </c>
      <c r="I479" s="2" t="str">
        <f>TEXT(Sheet1[[#This Row],[claim_date]],"mmmm")</f>
        <v>August</v>
      </c>
      <c r="J479" s="2">
        <f>YEAR(Sheet1[[#This Row],[claim_date]])</f>
        <v>2024</v>
      </c>
      <c r="K479" s="2" t="str">
        <f>"Q"&amp;ROUNDUP(MONTH(Sheet1[[#This Row],[claim_date]])/3,0)</f>
        <v>Q3</v>
      </c>
      <c r="L479" s="2" t="str">
        <f>IF(Sheet1[[#This Row],[claim_amount]]&lt;100000,"Low",IF(Sheet1[[#This Row],[claim_amount]]&lt;200000,"Medium","High"))</f>
        <v>High</v>
      </c>
      <c r="M479" s="2" t="str">
        <f>IF(Sheet1[[#This Row],[days_to_process]]&lt;=30,"Fast","Slow")</f>
        <v>Fast</v>
      </c>
    </row>
    <row r="480" spans="1:13" x14ac:dyDescent="0.3">
      <c r="A480" t="s">
        <v>933</v>
      </c>
      <c r="B480" s="2" t="s">
        <v>934</v>
      </c>
      <c r="C480" s="1">
        <v>45525</v>
      </c>
      <c r="D480" s="35">
        <v>310501.14</v>
      </c>
      <c r="E480" s="2" t="s">
        <v>10</v>
      </c>
      <c r="F480" s="2" t="s">
        <v>23</v>
      </c>
      <c r="G480" s="2" t="s">
        <v>12</v>
      </c>
      <c r="H480">
        <v>56</v>
      </c>
      <c r="I480" s="2" t="str">
        <f>TEXT(Sheet1[[#This Row],[claim_date]],"mmmm")</f>
        <v>August</v>
      </c>
      <c r="J480" s="2">
        <f>YEAR(Sheet1[[#This Row],[claim_date]])</f>
        <v>2024</v>
      </c>
      <c r="K480" s="2" t="str">
        <f>"Q"&amp;ROUNDUP(MONTH(Sheet1[[#This Row],[claim_date]])/3,0)</f>
        <v>Q3</v>
      </c>
      <c r="L480" s="2" t="str">
        <f>IF(Sheet1[[#This Row],[claim_amount]]&lt;100000,"Low",IF(Sheet1[[#This Row],[claim_amount]]&lt;200000,"Medium","High"))</f>
        <v>High</v>
      </c>
      <c r="M480" s="2" t="str">
        <f>IF(Sheet1[[#This Row],[days_to_process]]&lt;=30,"Fast","Slow")</f>
        <v>Slow</v>
      </c>
    </row>
    <row r="481" spans="1:13" x14ac:dyDescent="0.3">
      <c r="A481" t="s">
        <v>935</v>
      </c>
      <c r="B481" s="2" t="s">
        <v>936</v>
      </c>
      <c r="C481" s="1">
        <v>45612</v>
      </c>
      <c r="D481" s="35">
        <v>122785.85</v>
      </c>
      <c r="E481" s="2" t="s">
        <v>19</v>
      </c>
      <c r="F481" s="2" t="s">
        <v>34</v>
      </c>
      <c r="G481" s="2" t="s">
        <v>24</v>
      </c>
      <c r="H481">
        <v>48</v>
      </c>
      <c r="I481" s="2" t="str">
        <f>TEXT(Sheet1[[#This Row],[claim_date]],"mmmm")</f>
        <v>November</v>
      </c>
      <c r="J481" s="2">
        <f>YEAR(Sheet1[[#This Row],[claim_date]])</f>
        <v>2024</v>
      </c>
      <c r="K481" s="2" t="str">
        <f>"Q"&amp;ROUNDUP(MONTH(Sheet1[[#This Row],[claim_date]])/3,0)</f>
        <v>Q4</v>
      </c>
      <c r="L481" s="2" t="str">
        <f>IF(Sheet1[[#This Row],[claim_amount]]&lt;100000,"Low",IF(Sheet1[[#This Row],[claim_amount]]&lt;200000,"Medium","High"))</f>
        <v>Medium</v>
      </c>
      <c r="M481" s="2" t="str">
        <f>IF(Sheet1[[#This Row],[days_to_process]]&lt;=30,"Fast","Slow")</f>
        <v>Slow</v>
      </c>
    </row>
    <row r="482" spans="1:13" x14ac:dyDescent="0.3">
      <c r="A482" t="s">
        <v>937</v>
      </c>
      <c r="B482" s="2" t="s">
        <v>938</v>
      </c>
      <c r="C482" s="1">
        <v>45127</v>
      </c>
      <c r="D482" s="35">
        <v>417467.5</v>
      </c>
      <c r="E482" s="2" t="s">
        <v>15</v>
      </c>
      <c r="F482" s="2" t="s">
        <v>16</v>
      </c>
      <c r="G482" s="2" t="s">
        <v>24</v>
      </c>
      <c r="H482">
        <v>14</v>
      </c>
      <c r="I482" s="2" t="str">
        <f>TEXT(Sheet1[[#This Row],[claim_date]],"mmmm")</f>
        <v>July</v>
      </c>
      <c r="J482" s="2">
        <f>YEAR(Sheet1[[#This Row],[claim_date]])</f>
        <v>2023</v>
      </c>
      <c r="K482" s="2" t="str">
        <f>"Q"&amp;ROUNDUP(MONTH(Sheet1[[#This Row],[claim_date]])/3,0)</f>
        <v>Q3</v>
      </c>
      <c r="L482" s="2" t="str">
        <f>IF(Sheet1[[#This Row],[claim_amount]]&lt;100000,"Low",IF(Sheet1[[#This Row],[claim_amount]]&lt;200000,"Medium","High"))</f>
        <v>High</v>
      </c>
      <c r="M482" s="2" t="str">
        <f>IF(Sheet1[[#This Row],[days_to_process]]&lt;=30,"Fast","Slow")</f>
        <v>Fast</v>
      </c>
    </row>
    <row r="483" spans="1:13" x14ac:dyDescent="0.3">
      <c r="A483" t="s">
        <v>939</v>
      </c>
      <c r="B483" s="2" t="s">
        <v>940</v>
      </c>
      <c r="C483" s="1">
        <v>44350</v>
      </c>
      <c r="D483" s="35">
        <v>159970.03</v>
      </c>
      <c r="E483" s="2" t="s">
        <v>10</v>
      </c>
      <c r="F483" s="2" t="s">
        <v>34</v>
      </c>
      <c r="G483" s="2" t="s">
        <v>24</v>
      </c>
      <c r="H483">
        <v>25</v>
      </c>
      <c r="I483" s="2" t="str">
        <f>TEXT(Sheet1[[#This Row],[claim_date]],"mmmm")</f>
        <v>June</v>
      </c>
      <c r="J483" s="2">
        <f>YEAR(Sheet1[[#This Row],[claim_date]])</f>
        <v>2021</v>
      </c>
      <c r="K483" s="2" t="str">
        <f>"Q"&amp;ROUNDUP(MONTH(Sheet1[[#This Row],[claim_date]])/3,0)</f>
        <v>Q2</v>
      </c>
      <c r="L483" s="2" t="str">
        <f>IF(Sheet1[[#This Row],[claim_amount]]&lt;100000,"Low",IF(Sheet1[[#This Row],[claim_amount]]&lt;200000,"Medium","High"))</f>
        <v>Medium</v>
      </c>
      <c r="M483" s="2" t="str">
        <f>IF(Sheet1[[#This Row],[days_to_process]]&lt;=30,"Fast","Slow")</f>
        <v>Fast</v>
      </c>
    </row>
    <row r="484" spans="1:13" x14ac:dyDescent="0.3">
      <c r="A484" t="s">
        <v>941</v>
      </c>
      <c r="B484" s="2" t="s">
        <v>672</v>
      </c>
      <c r="C484" s="1">
        <v>44950</v>
      </c>
      <c r="D484" s="35">
        <v>450546.83</v>
      </c>
      <c r="E484" s="2" t="s">
        <v>19</v>
      </c>
      <c r="F484" s="2" t="s">
        <v>16</v>
      </c>
      <c r="G484" s="2" t="s">
        <v>12</v>
      </c>
      <c r="H484">
        <v>13</v>
      </c>
      <c r="I484" s="2" t="str">
        <f>TEXT(Sheet1[[#This Row],[claim_date]],"mmmm")</f>
        <v>January</v>
      </c>
      <c r="J484" s="2">
        <f>YEAR(Sheet1[[#This Row],[claim_date]])</f>
        <v>2023</v>
      </c>
      <c r="K484" s="2" t="str">
        <f>"Q"&amp;ROUNDUP(MONTH(Sheet1[[#This Row],[claim_date]])/3,0)</f>
        <v>Q1</v>
      </c>
      <c r="L484" s="2" t="str">
        <f>IF(Sheet1[[#This Row],[claim_amount]]&lt;100000,"Low",IF(Sheet1[[#This Row],[claim_amount]]&lt;200000,"Medium","High"))</f>
        <v>High</v>
      </c>
      <c r="M484" s="2" t="str">
        <f>IF(Sheet1[[#This Row],[days_to_process]]&lt;=30,"Fast","Slow")</f>
        <v>Fast</v>
      </c>
    </row>
    <row r="485" spans="1:13" x14ac:dyDescent="0.3">
      <c r="A485" t="s">
        <v>942</v>
      </c>
      <c r="B485" s="2" t="s">
        <v>641</v>
      </c>
      <c r="C485" s="1">
        <v>45184</v>
      </c>
      <c r="D485" s="35">
        <v>370505.72</v>
      </c>
      <c r="E485" s="2" t="s">
        <v>15</v>
      </c>
      <c r="F485" s="2" t="s">
        <v>34</v>
      </c>
      <c r="G485" s="2" t="s">
        <v>24</v>
      </c>
      <c r="H485">
        <v>55</v>
      </c>
      <c r="I485" s="2" t="str">
        <f>TEXT(Sheet1[[#This Row],[claim_date]],"mmmm")</f>
        <v>September</v>
      </c>
      <c r="J485" s="2">
        <f>YEAR(Sheet1[[#This Row],[claim_date]])</f>
        <v>2023</v>
      </c>
      <c r="K485" s="2" t="str">
        <f>"Q"&amp;ROUNDUP(MONTH(Sheet1[[#This Row],[claim_date]])/3,0)</f>
        <v>Q3</v>
      </c>
      <c r="L485" s="2" t="str">
        <f>IF(Sheet1[[#This Row],[claim_amount]]&lt;100000,"Low",IF(Sheet1[[#This Row],[claim_amount]]&lt;200000,"Medium","High"))</f>
        <v>High</v>
      </c>
      <c r="M485" s="2" t="str">
        <f>IF(Sheet1[[#This Row],[days_to_process]]&lt;=30,"Fast","Slow")</f>
        <v>Slow</v>
      </c>
    </row>
    <row r="486" spans="1:13" x14ac:dyDescent="0.3">
      <c r="A486" t="s">
        <v>943</v>
      </c>
      <c r="B486" s="2" t="s">
        <v>944</v>
      </c>
      <c r="C486" s="1">
        <v>45208</v>
      </c>
      <c r="D486" s="35">
        <v>198530.28</v>
      </c>
      <c r="E486" s="2" t="s">
        <v>19</v>
      </c>
      <c r="F486" s="2" t="s">
        <v>23</v>
      </c>
      <c r="G486" s="2" t="s">
        <v>12</v>
      </c>
      <c r="H486">
        <v>45</v>
      </c>
      <c r="I486" s="2" t="str">
        <f>TEXT(Sheet1[[#This Row],[claim_date]],"mmmm")</f>
        <v>October</v>
      </c>
      <c r="J486" s="2">
        <f>YEAR(Sheet1[[#This Row],[claim_date]])</f>
        <v>2023</v>
      </c>
      <c r="K486" s="2" t="str">
        <f>"Q"&amp;ROUNDUP(MONTH(Sheet1[[#This Row],[claim_date]])/3,0)</f>
        <v>Q4</v>
      </c>
      <c r="L486" s="2" t="str">
        <f>IF(Sheet1[[#This Row],[claim_amount]]&lt;100000,"Low",IF(Sheet1[[#This Row],[claim_amount]]&lt;200000,"Medium","High"))</f>
        <v>Medium</v>
      </c>
      <c r="M486" s="2" t="str">
        <f>IF(Sheet1[[#This Row],[days_to_process]]&lt;=30,"Fast","Slow")</f>
        <v>Slow</v>
      </c>
    </row>
    <row r="487" spans="1:13" x14ac:dyDescent="0.3">
      <c r="A487" t="s">
        <v>945</v>
      </c>
      <c r="B487" s="2" t="s">
        <v>946</v>
      </c>
      <c r="C487" s="1">
        <v>44857</v>
      </c>
      <c r="D487" s="35">
        <v>28716.84</v>
      </c>
      <c r="E487" s="2" t="s">
        <v>10</v>
      </c>
      <c r="F487" s="2" t="s">
        <v>20</v>
      </c>
      <c r="G487" s="2" t="s">
        <v>24</v>
      </c>
      <c r="H487">
        <v>30</v>
      </c>
      <c r="I487" s="2" t="str">
        <f>TEXT(Sheet1[[#This Row],[claim_date]],"mmmm")</f>
        <v>October</v>
      </c>
      <c r="J487" s="2">
        <f>YEAR(Sheet1[[#This Row],[claim_date]])</f>
        <v>2022</v>
      </c>
      <c r="K487" s="2" t="str">
        <f>"Q"&amp;ROUNDUP(MONTH(Sheet1[[#This Row],[claim_date]])/3,0)</f>
        <v>Q4</v>
      </c>
      <c r="L487" s="2" t="str">
        <f>IF(Sheet1[[#This Row],[claim_amount]]&lt;100000,"Low",IF(Sheet1[[#This Row],[claim_amount]]&lt;200000,"Medium","High"))</f>
        <v>Low</v>
      </c>
      <c r="M487" s="2" t="str">
        <f>IF(Sheet1[[#This Row],[days_to_process]]&lt;=30,"Fast","Slow")</f>
        <v>Fast</v>
      </c>
    </row>
    <row r="488" spans="1:13" x14ac:dyDescent="0.3">
      <c r="A488" t="s">
        <v>947</v>
      </c>
      <c r="B488" s="2" t="s">
        <v>948</v>
      </c>
      <c r="C488" s="1">
        <v>45281</v>
      </c>
      <c r="D488" s="35">
        <v>361724.47</v>
      </c>
      <c r="E488" s="2" t="s">
        <v>10</v>
      </c>
      <c r="F488" s="2" t="s">
        <v>34</v>
      </c>
      <c r="G488" s="2" t="s">
        <v>12</v>
      </c>
      <c r="H488">
        <v>41</v>
      </c>
      <c r="I488" s="2" t="str">
        <f>TEXT(Sheet1[[#This Row],[claim_date]],"mmmm")</f>
        <v>December</v>
      </c>
      <c r="J488" s="2">
        <f>YEAR(Sheet1[[#This Row],[claim_date]])</f>
        <v>2023</v>
      </c>
      <c r="K488" s="2" t="str">
        <f>"Q"&amp;ROUNDUP(MONTH(Sheet1[[#This Row],[claim_date]])/3,0)</f>
        <v>Q4</v>
      </c>
      <c r="L488" s="2" t="str">
        <f>IF(Sheet1[[#This Row],[claim_amount]]&lt;100000,"Low",IF(Sheet1[[#This Row],[claim_amount]]&lt;200000,"Medium","High"))</f>
        <v>High</v>
      </c>
      <c r="M488" s="2" t="str">
        <f>IF(Sheet1[[#This Row],[days_to_process]]&lt;=30,"Fast","Slow")</f>
        <v>Slow</v>
      </c>
    </row>
    <row r="489" spans="1:13" x14ac:dyDescent="0.3">
      <c r="A489" t="s">
        <v>949</v>
      </c>
      <c r="B489" s="2" t="s">
        <v>950</v>
      </c>
      <c r="C489" s="1">
        <v>45534</v>
      </c>
      <c r="D489" s="35">
        <v>179389.36</v>
      </c>
      <c r="E489" s="2" t="s">
        <v>10</v>
      </c>
      <c r="F489" s="2" t="s">
        <v>20</v>
      </c>
      <c r="G489" s="2" t="s">
        <v>12</v>
      </c>
      <c r="H489">
        <v>58</v>
      </c>
      <c r="I489" s="2" t="str">
        <f>TEXT(Sheet1[[#This Row],[claim_date]],"mmmm")</f>
        <v>August</v>
      </c>
      <c r="J489" s="2">
        <f>YEAR(Sheet1[[#This Row],[claim_date]])</f>
        <v>2024</v>
      </c>
      <c r="K489" s="2" t="str">
        <f>"Q"&amp;ROUNDUP(MONTH(Sheet1[[#This Row],[claim_date]])/3,0)</f>
        <v>Q3</v>
      </c>
      <c r="L489" s="2" t="str">
        <f>IF(Sheet1[[#This Row],[claim_amount]]&lt;100000,"Low",IF(Sheet1[[#This Row],[claim_amount]]&lt;200000,"Medium","High"))</f>
        <v>Medium</v>
      </c>
      <c r="M489" s="2" t="str">
        <f>IF(Sheet1[[#This Row],[days_to_process]]&lt;=30,"Fast","Slow")</f>
        <v>Slow</v>
      </c>
    </row>
    <row r="490" spans="1:13" x14ac:dyDescent="0.3">
      <c r="A490" t="s">
        <v>951</v>
      </c>
      <c r="B490" s="2" t="s">
        <v>952</v>
      </c>
      <c r="C490" s="1">
        <v>45193</v>
      </c>
      <c r="D490" s="35">
        <v>344623.51</v>
      </c>
      <c r="E490" s="2" t="s">
        <v>15</v>
      </c>
      <c r="F490" s="2" t="s">
        <v>34</v>
      </c>
      <c r="G490" s="2" t="s">
        <v>24</v>
      </c>
      <c r="H490">
        <v>41</v>
      </c>
      <c r="I490" s="2" t="str">
        <f>TEXT(Sheet1[[#This Row],[claim_date]],"mmmm")</f>
        <v>September</v>
      </c>
      <c r="J490" s="2">
        <f>YEAR(Sheet1[[#This Row],[claim_date]])</f>
        <v>2023</v>
      </c>
      <c r="K490" s="2" t="str">
        <f>"Q"&amp;ROUNDUP(MONTH(Sheet1[[#This Row],[claim_date]])/3,0)</f>
        <v>Q3</v>
      </c>
      <c r="L490" s="2" t="str">
        <f>IF(Sheet1[[#This Row],[claim_amount]]&lt;100000,"Low",IF(Sheet1[[#This Row],[claim_amount]]&lt;200000,"Medium","High"))</f>
        <v>High</v>
      </c>
      <c r="M490" s="2" t="str">
        <f>IF(Sheet1[[#This Row],[days_to_process]]&lt;=30,"Fast","Slow")</f>
        <v>Slow</v>
      </c>
    </row>
    <row r="491" spans="1:13" x14ac:dyDescent="0.3">
      <c r="A491" t="s">
        <v>953</v>
      </c>
      <c r="B491" s="2" t="s">
        <v>897</v>
      </c>
      <c r="C491" s="1">
        <v>44351</v>
      </c>
      <c r="D491" s="35">
        <v>172986.71</v>
      </c>
      <c r="E491" s="2" t="s">
        <v>10</v>
      </c>
      <c r="F491" s="2" t="s">
        <v>23</v>
      </c>
      <c r="G491" s="2" t="s">
        <v>24</v>
      </c>
      <c r="H491">
        <v>13</v>
      </c>
      <c r="I491" s="2" t="str">
        <f>TEXT(Sheet1[[#This Row],[claim_date]],"mmmm")</f>
        <v>June</v>
      </c>
      <c r="J491" s="2">
        <f>YEAR(Sheet1[[#This Row],[claim_date]])</f>
        <v>2021</v>
      </c>
      <c r="K491" s="2" t="str">
        <f>"Q"&amp;ROUNDUP(MONTH(Sheet1[[#This Row],[claim_date]])/3,0)</f>
        <v>Q2</v>
      </c>
      <c r="L491" s="2" t="str">
        <f>IF(Sheet1[[#This Row],[claim_amount]]&lt;100000,"Low",IF(Sheet1[[#This Row],[claim_amount]]&lt;200000,"Medium","High"))</f>
        <v>Medium</v>
      </c>
      <c r="M491" s="2" t="str">
        <f>IF(Sheet1[[#This Row],[days_to_process]]&lt;=30,"Fast","Slow")</f>
        <v>Fast</v>
      </c>
    </row>
    <row r="492" spans="1:13" x14ac:dyDescent="0.3">
      <c r="A492" t="s">
        <v>954</v>
      </c>
      <c r="B492" s="2" t="s">
        <v>955</v>
      </c>
      <c r="C492" s="1">
        <v>45442</v>
      </c>
      <c r="D492" s="35">
        <v>262074.65</v>
      </c>
      <c r="E492" s="2" t="s">
        <v>19</v>
      </c>
      <c r="F492" s="2" t="s">
        <v>16</v>
      </c>
      <c r="G492" s="2" t="s">
        <v>12</v>
      </c>
      <c r="H492">
        <v>57</v>
      </c>
      <c r="I492" s="2" t="str">
        <f>TEXT(Sheet1[[#This Row],[claim_date]],"mmmm")</f>
        <v>May</v>
      </c>
      <c r="J492" s="2">
        <f>YEAR(Sheet1[[#This Row],[claim_date]])</f>
        <v>2024</v>
      </c>
      <c r="K492" s="2" t="str">
        <f>"Q"&amp;ROUNDUP(MONTH(Sheet1[[#This Row],[claim_date]])/3,0)</f>
        <v>Q2</v>
      </c>
      <c r="L492" s="2" t="str">
        <f>IF(Sheet1[[#This Row],[claim_amount]]&lt;100000,"Low",IF(Sheet1[[#This Row],[claim_amount]]&lt;200000,"Medium","High"))</f>
        <v>High</v>
      </c>
      <c r="M492" s="2" t="str">
        <f>IF(Sheet1[[#This Row],[days_to_process]]&lt;=30,"Fast","Slow")</f>
        <v>Slow</v>
      </c>
    </row>
    <row r="493" spans="1:13" x14ac:dyDescent="0.3">
      <c r="A493" t="s">
        <v>956</v>
      </c>
      <c r="B493" s="2" t="s">
        <v>957</v>
      </c>
      <c r="C493" s="1">
        <v>45206</v>
      </c>
      <c r="D493" s="35">
        <v>364108.04</v>
      </c>
      <c r="E493" s="2" t="s">
        <v>15</v>
      </c>
      <c r="F493" s="2" t="s">
        <v>16</v>
      </c>
      <c r="G493" s="2" t="s">
        <v>12</v>
      </c>
      <c r="H493">
        <v>55</v>
      </c>
      <c r="I493" s="2" t="str">
        <f>TEXT(Sheet1[[#This Row],[claim_date]],"mmmm")</f>
        <v>October</v>
      </c>
      <c r="J493" s="2">
        <f>YEAR(Sheet1[[#This Row],[claim_date]])</f>
        <v>2023</v>
      </c>
      <c r="K493" s="2" t="str">
        <f>"Q"&amp;ROUNDUP(MONTH(Sheet1[[#This Row],[claim_date]])/3,0)</f>
        <v>Q4</v>
      </c>
      <c r="L493" s="2" t="str">
        <f>IF(Sheet1[[#This Row],[claim_amount]]&lt;100000,"Low",IF(Sheet1[[#This Row],[claim_amount]]&lt;200000,"Medium","High"))</f>
        <v>High</v>
      </c>
      <c r="M493" s="2" t="str">
        <f>IF(Sheet1[[#This Row],[days_to_process]]&lt;=30,"Fast","Slow")</f>
        <v>Slow</v>
      </c>
    </row>
    <row r="494" spans="1:13" x14ac:dyDescent="0.3">
      <c r="A494" t="s">
        <v>958</v>
      </c>
      <c r="B494" s="2" t="s">
        <v>959</v>
      </c>
      <c r="C494" s="1">
        <v>44673</v>
      </c>
      <c r="D494" s="35">
        <v>296239.96999999997</v>
      </c>
      <c r="E494" s="2" t="s">
        <v>19</v>
      </c>
      <c r="F494" s="2" t="s">
        <v>16</v>
      </c>
      <c r="G494" s="2" t="s">
        <v>24</v>
      </c>
      <c r="H494">
        <v>17</v>
      </c>
      <c r="I494" s="2" t="str">
        <f>TEXT(Sheet1[[#This Row],[claim_date]],"mmmm")</f>
        <v>April</v>
      </c>
      <c r="J494" s="2">
        <f>YEAR(Sheet1[[#This Row],[claim_date]])</f>
        <v>2022</v>
      </c>
      <c r="K494" s="2" t="str">
        <f>"Q"&amp;ROUNDUP(MONTH(Sheet1[[#This Row],[claim_date]])/3,0)</f>
        <v>Q2</v>
      </c>
      <c r="L494" s="2" t="str">
        <f>IF(Sheet1[[#This Row],[claim_amount]]&lt;100000,"Low",IF(Sheet1[[#This Row],[claim_amount]]&lt;200000,"Medium","High"))</f>
        <v>High</v>
      </c>
      <c r="M494" s="2" t="str">
        <f>IF(Sheet1[[#This Row],[days_to_process]]&lt;=30,"Fast","Slow")</f>
        <v>Fast</v>
      </c>
    </row>
    <row r="495" spans="1:13" x14ac:dyDescent="0.3">
      <c r="A495" t="s">
        <v>960</v>
      </c>
      <c r="B495" s="2" t="s">
        <v>961</v>
      </c>
      <c r="C495" s="1">
        <v>45360</v>
      </c>
      <c r="D495" s="35">
        <v>277517.75</v>
      </c>
      <c r="E495" s="2" t="s">
        <v>19</v>
      </c>
      <c r="F495" s="2" t="s">
        <v>20</v>
      </c>
      <c r="G495" s="2" t="s">
        <v>12</v>
      </c>
      <c r="H495">
        <v>30</v>
      </c>
      <c r="I495" s="2" t="str">
        <f>TEXT(Sheet1[[#This Row],[claim_date]],"mmmm")</f>
        <v>March</v>
      </c>
      <c r="J495" s="2">
        <f>YEAR(Sheet1[[#This Row],[claim_date]])</f>
        <v>2024</v>
      </c>
      <c r="K495" s="2" t="str">
        <f>"Q"&amp;ROUNDUP(MONTH(Sheet1[[#This Row],[claim_date]])/3,0)</f>
        <v>Q1</v>
      </c>
      <c r="L495" s="2" t="str">
        <f>IF(Sheet1[[#This Row],[claim_amount]]&lt;100000,"Low",IF(Sheet1[[#This Row],[claim_amount]]&lt;200000,"Medium","High"))</f>
        <v>High</v>
      </c>
      <c r="M495" s="2" t="str">
        <f>IF(Sheet1[[#This Row],[days_to_process]]&lt;=30,"Fast","Slow")</f>
        <v>Fast</v>
      </c>
    </row>
    <row r="496" spans="1:13" x14ac:dyDescent="0.3">
      <c r="A496" t="s">
        <v>962</v>
      </c>
      <c r="B496" s="2" t="s">
        <v>963</v>
      </c>
      <c r="C496" s="1">
        <v>45518</v>
      </c>
      <c r="D496" s="35">
        <v>416127.32</v>
      </c>
      <c r="E496" s="2" t="s">
        <v>19</v>
      </c>
      <c r="F496" s="2" t="s">
        <v>34</v>
      </c>
      <c r="G496" s="2" t="s">
        <v>24</v>
      </c>
      <c r="H496">
        <v>9</v>
      </c>
      <c r="I496" s="2" t="str">
        <f>TEXT(Sheet1[[#This Row],[claim_date]],"mmmm")</f>
        <v>August</v>
      </c>
      <c r="J496" s="2">
        <f>YEAR(Sheet1[[#This Row],[claim_date]])</f>
        <v>2024</v>
      </c>
      <c r="K496" s="2" t="str">
        <f>"Q"&amp;ROUNDUP(MONTH(Sheet1[[#This Row],[claim_date]])/3,0)</f>
        <v>Q3</v>
      </c>
      <c r="L496" s="2" t="str">
        <f>IF(Sheet1[[#This Row],[claim_amount]]&lt;100000,"Low",IF(Sheet1[[#This Row],[claim_amount]]&lt;200000,"Medium","High"))</f>
        <v>High</v>
      </c>
      <c r="M496" s="2" t="str">
        <f>IF(Sheet1[[#This Row],[days_to_process]]&lt;=30,"Fast","Slow")</f>
        <v>Fast</v>
      </c>
    </row>
    <row r="497" spans="1:13" x14ac:dyDescent="0.3">
      <c r="A497" t="s">
        <v>964</v>
      </c>
      <c r="B497" s="2" t="s">
        <v>965</v>
      </c>
      <c r="C497" s="1">
        <v>45069</v>
      </c>
      <c r="D497" s="35">
        <v>70717.429999999993</v>
      </c>
      <c r="E497" s="2" t="s">
        <v>19</v>
      </c>
      <c r="F497" s="2" t="s">
        <v>16</v>
      </c>
      <c r="G497" s="2" t="s">
        <v>12</v>
      </c>
      <c r="H497">
        <v>36</v>
      </c>
      <c r="I497" s="2" t="str">
        <f>TEXT(Sheet1[[#This Row],[claim_date]],"mmmm")</f>
        <v>May</v>
      </c>
      <c r="J497" s="2">
        <f>YEAR(Sheet1[[#This Row],[claim_date]])</f>
        <v>2023</v>
      </c>
      <c r="K497" s="2" t="str">
        <f>"Q"&amp;ROUNDUP(MONTH(Sheet1[[#This Row],[claim_date]])/3,0)</f>
        <v>Q2</v>
      </c>
      <c r="L497" s="2" t="str">
        <f>IF(Sheet1[[#This Row],[claim_amount]]&lt;100000,"Low",IF(Sheet1[[#This Row],[claim_amount]]&lt;200000,"Medium","High"))</f>
        <v>Low</v>
      </c>
      <c r="M497" s="2" t="str">
        <f>IF(Sheet1[[#This Row],[days_to_process]]&lt;=30,"Fast","Slow")</f>
        <v>Slow</v>
      </c>
    </row>
    <row r="498" spans="1:13" x14ac:dyDescent="0.3">
      <c r="A498" t="s">
        <v>966</v>
      </c>
      <c r="B498" s="2" t="s">
        <v>904</v>
      </c>
      <c r="C498" s="1">
        <v>45424</v>
      </c>
      <c r="D498" s="35">
        <v>157411.14000000001</v>
      </c>
      <c r="E498" s="2" t="s">
        <v>19</v>
      </c>
      <c r="F498" s="2" t="s">
        <v>11</v>
      </c>
      <c r="G498" s="2" t="s">
        <v>24</v>
      </c>
      <c r="H498">
        <v>34</v>
      </c>
      <c r="I498" s="2" t="str">
        <f>TEXT(Sheet1[[#This Row],[claim_date]],"mmmm")</f>
        <v>May</v>
      </c>
      <c r="J498" s="2">
        <f>YEAR(Sheet1[[#This Row],[claim_date]])</f>
        <v>2024</v>
      </c>
      <c r="K498" s="2" t="str">
        <f>"Q"&amp;ROUNDUP(MONTH(Sheet1[[#This Row],[claim_date]])/3,0)</f>
        <v>Q2</v>
      </c>
      <c r="L498" s="2" t="str">
        <f>IF(Sheet1[[#This Row],[claim_amount]]&lt;100000,"Low",IF(Sheet1[[#This Row],[claim_amount]]&lt;200000,"Medium","High"))</f>
        <v>Medium</v>
      </c>
      <c r="M498" s="2" t="str">
        <f>IF(Sheet1[[#This Row],[days_to_process]]&lt;=30,"Fast","Slow")</f>
        <v>Slow</v>
      </c>
    </row>
    <row r="499" spans="1:13" x14ac:dyDescent="0.3">
      <c r="A499" t="s">
        <v>967</v>
      </c>
      <c r="B499" s="2" t="s">
        <v>968</v>
      </c>
      <c r="C499" s="1">
        <v>45285</v>
      </c>
      <c r="D499" s="35">
        <v>81805.240000000005</v>
      </c>
      <c r="E499" s="2" t="s">
        <v>10</v>
      </c>
      <c r="F499" s="2" t="s">
        <v>16</v>
      </c>
      <c r="G499" s="2" t="s">
        <v>12</v>
      </c>
      <c r="H499">
        <v>51</v>
      </c>
      <c r="I499" s="2" t="str">
        <f>TEXT(Sheet1[[#This Row],[claim_date]],"mmmm")</f>
        <v>December</v>
      </c>
      <c r="J499" s="2">
        <f>YEAR(Sheet1[[#This Row],[claim_date]])</f>
        <v>2023</v>
      </c>
      <c r="K499" s="2" t="str">
        <f>"Q"&amp;ROUNDUP(MONTH(Sheet1[[#This Row],[claim_date]])/3,0)</f>
        <v>Q4</v>
      </c>
      <c r="L499" s="2" t="str">
        <f>IF(Sheet1[[#This Row],[claim_amount]]&lt;100000,"Low",IF(Sheet1[[#This Row],[claim_amount]]&lt;200000,"Medium","High"))</f>
        <v>Low</v>
      </c>
      <c r="M499" s="2" t="str">
        <f>IF(Sheet1[[#This Row],[days_to_process]]&lt;=30,"Fast","Slow")</f>
        <v>Slow</v>
      </c>
    </row>
    <row r="500" spans="1:13" x14ac:dyDescent="0.3">
      <c r="A500" t="s">
        <v>969</v>
      </c>
      <c r="B500" s="2" t="s">
        <v>970</v>
      </c>
      <c r="C500" s="1">
        <v>44951</v>
      </c>
      <c r="D500" s="35">
        <v>444333.16</v>
      </c>
      <c r="E500" s="2" t="s">
        <v>19</v>
      </c>
      <c r="F500" s="2" t="s">
        <v>34</v>
      </c>
      <c r="G500" s="2" t="s">
        <v>24</v>
      </c>
      <c r="H500">
        <v>45</v>
      </c>
      <c r="I500" s="2" t="str">
        <f>TEXT(Sheet1[[#This Row],[claim_date]],"mmmm")</f>
        <v>January</v>
      </c>
      <c r="J500" s="2">
        <f>YEAR(Sheet1[[#This Row],[claim_date]])</f>
        <v>2023</v>
      </c>
      <c r="K500" s="2" t="str">
        <f>"Q"&amp;ROUNDUP(MONTH(Sheet1[[#This Row],[claim_date]])/3,0)</f>
        <v>Q1</v>
      </c>
      <c r="L500" s="2" t="str">
        <f>IF(Sheet1[[#This Row],[claim_amount]]&lt;100000,"Low",IF(Sheet1[[#This Row],[claim_amount]]&lt;200000,"Medium","High"))</f>
        <v>High</v>
      </c>
      <c r="M500" s="2" t="str">
        <f>IF(Sheet1[[#This Row],[days_to_process]]&lt;=30,"Fast","Slow")</f>
        <v>Slow</v>
      </c>
    </row>
    <row r="501" spans="1:13" x14ac:dyDescent="0.3">
      <c r="A501" t="s">
        <v>971</v>
      </c>
      <c r="B501" s="2" t="s">
        <v>972</v>
      </c>
      <c r="C501" s="1">
        <v>45123</v>
      </c>
      <c r="D501" s="35">
        <v>55442.14</v>
      </c>
      <c r="E501" s="2" t="s">
        <v>15</v>
      </c>
      <c r="F501" s="2" t="s">
        <v>23</v>
      </c>
      <c r="G501" s="2" t="s">
        <v>12</v>
      </c>
      <c r="H501">
        <v>9</v>
      </c>
      <c r="I501" s="2" t="str">
        <f>TEXT(Sheet1[[#This Row],[claim_date]],"mmmm")</f>
        <v>July</v>
      </c>
      <c r="J501" s="2">
        <f>YEAR(Sheet1[[#This Row],[claim_date]])</f>
        <v>2023</v>
      </c>
      <c r="K501" s="2" t="str">
        <f>"Q"&amp;ROUNDUP(MONTH(Sheet1[[#This Row],[claim_date]])/3,0)</f>
        <v>Q3</v>
      </c>
      <c r="L501" s="2" t="str">
        <f>IF(Sheet1[[#This Row],[claim_amount]]&lt;100000,"Low",IF(Sheet1[[#This Row],[claim_amount]]&lt;200000,"Medium","High"))</f>
        <v>Low</v>
      </c>
      <c r="M501" s="2" t="str">
        <f>IF(Sheet1[[#This Row],[days_to_process]]&lt;=30,"Fast","Slow")</f>
        <v>Fast</v>
      </c>
    </row>
    <row r="502" spans="1:13" x14ac:dyDescent="0.3">
      <c r="A502" t="s">
        <v>973</v>
      </c>
      <c r="B502" s="2" t="s">
        <v>974</v>
      </c>
      <c r="C502" s="1">
        <v>44833</v>
      </c>
      <c r="D502" s="35">
        <v>299995.48</v>
      </c>
      <c r="E502" s="2" t="s">
        <v>10</v>
      </c>
      <c r="F502" s="2" t="s">
        <v>16</v>
      </c>
      <c r="G502" s="2" t="s">
        <v>24</v>
      </c>
      <c r="H502">
        <v>17</v>
      </c>
      <c r="I502" s="2" t="str">
        <f>TEXT(Sheet1[[#This Row],[claim_date]],"mmmm")</f>
        <v>September</v>
      </c>
      <c r="J502" s="2">
        <f>YEAR(Sheet1[[#This Row],[claim_date]])</f>
        <v>2022</v>
      </c>
      <c r="K502" s="2" t="str">
        <f>"Q"&amp;ROUNDUP(MONTH(Sheet1[[#This Row],[claim_date]])/3,0)</f>
        <v>Q3</v>
      </c>
      <c r="L502" s="2" t="str">
        <f>IF(Sheet1[[#This Row],[claim_amount]]&lt;100000,"Low",IF(Sheet1[[#This Row],[claim_amount]]&lt;200000,"Medium","High"))</f>
        <v>High</v>
      </c>
      <c r="M502" s="2" t="str">
        <f>IF(Sheet1[[#This Row],[days_to_process]]&lt;=30,"Fast","Slow")</f>
        <v>Fast</v>
      </c>
    </row>
    <row r="503" spans="1:13" x14ac:dyDescent="0.3">
      <c r="A503" t="s">
        <v>975</v>
      </c>
      <c r="B503" s="2" t="s">
        <v>976</v>
      </c>
      <c r="C503" s="1">
        <v>45310</v>
      </c>
      <c r="D503" s="35">
        <v>201994.59</v>
      </c>
      <c r="E503" s="2" t="s">
        <v>19</v>
      </c>
      <c r="F503" s="2" t="s">
        <v>20</v>
      </c>
      <c r="G503" s="2" t="s">
        <v>12</v>
      </c>
      <c r="H503">
        <v>7</v>
      </c>
      <c r="I503" s="2" t="str">
        <f>TEXT(Sheet1[[#This Row],[claim_date]],"mmmm")</f>
        <v>January</v>
      </c>
      <c r="J503" s="2">
        <f>YEAR(Sheet1[[#This Row],[claim_date]])</f>
        <v>2024</v>
      </c>
      <c r="K503" s="2" t="str">
        <f>"Q"&amp;ROUNDUP(MONTH(Sheet1[[#This Row],[claim_date]])/3,0)</f>
        <v>Q1</v>
      </c>
      <c r="L503" s="2" t="str">
        <f>IF(Sheet1[[#This Row],[claim_amount]]&lt;100000,"Low",IF(Sheet1[[#This Row],[claim_amount]]&lt;200000,"Medium","High"))</f>
        <v>High</v>
      </c>
      <c r="M503" s="2" t="str">
        <f>IF(Sheet1[[#This Row],[days_to_process]]&lt;=30,"Fast","Slow")</f>
        <v>Fast</v>
      </c>
    </row>
    <row r="504" spans="1:13" x14ac:dyDescent="0.3">
      <c r="A504" t="s">
        <v>977</v>
      </c>
      <c r="B504" s="2" t="s">
        <v>978</v>
      </c>
      <c r="C504" s="1">
        <v>45185</v>
      </c>
      <c r="D504" s="35">
        <v>355245.86</v>
      </c>
      <c r="E504" s="2" t="s">
        <v>10</v>
      </c>
      <c r="F504" s="2" t="s">
        <v>11</v>
      </c>
      <c r="G504" s="2" t="s">
        <v>12</v>
      </c>
      <c r="H504">
        <v>30</v>
      </c>
      <c r="I504" s="2" t="str">
        <f>TEXT(Sheet1[[#This Row],[claim_date]],"mmmm")</f>
        <v>September</v>
      </c>
      <c r="J504" s="2">
        <f>YEAR(Sheet1[[#This Row],[claim_date]])</f>
        <v>2023</v>
      </c>
      <c r="K504" s="2" t="str">
        <f>"Q"&amp;ROUNDUP(MONTH(Sheet1[[#This Row],[claim_date]])/3,0)</f>
        <v>Q3</v>
      </c>
      <c r="L504" s="2" t="str">
        <f>IF(Sheet1[[#This Row],[claim_amount]]&lt;100000,"Low",IF(Sheet1[[#This Row],[claim_amount]]&lt;200000,"Medium","High"))</f>
        <v>High</v>
      </c>
      <c r="M504" s="2" t="str">
        <f>IF(Sheet1[[#This Row],[days_to_process]]&lt;=30,"Fast","Slow")</f>
        <v>Fast</v>
      </c>
    </row>
    <row r="505" spans="1:13" x14ac:dyDescent="0.3">
      <c r="A505" t="s">
        <v>979</v>
      </c>
      <c r="B505" s="2" t="s">
        <v>980</v>
      </c>
      <c r="C505" s="1">
        <v>45145</v>
      </c>
      <c r="D505" s="35">
        <v>282997.68</v>
      </c>
      <c r="E505" s="2" t="s">
        <v>19</v>
      </c>
      <c r="F505" s="2" t="s">
        <v>11</v>
      </c>
      <c r="G505" s="2" t="s">
        <v>12</v>
      </c>
      <c r="H505">
        <v>26</v>
      </c>
      <c r="I505" s="2" t="str">
        <f>TEXT(Sheet1[[#This Row],[claim_date]],"mmmm")</f>
        <v>August</v>
      </c>
      <c r="J505" s="2">
        <f>YEAR(Sheet1[[#This Row],[claim_date]])</f>
        <v>2023</v>
      </c>
      <c r="K505" s="2" t="str">
        <f>"Q"&amp;ROUNDUP(MONTH(Sheet1[[#This Row],[claim_date]])/3,0)</f>
        <v>Q3</v>
      </c>
      <c r="L505" s="2" t="str">
        <f>IF(Sheet1[[#This Row],[claim_amount]]&lt;100000,"Low",IF(Sheet1[[#This Row],[claim_amount]]&lt;200000,"Medium","High"))</f>
        <v>High</v>
      </c>
      <c r="M505" s="2" t="str">
        <f>IF(Sheet1[[#This Row],[days_to_process]]&lt;=30,"Fast","Slow")</f>
        <v>Fast</v>
      </c>
    </row>
    <row r="506" spans="1:13" x14ac:dyDescent="0.3">
      <c r="A506" t="s">
        <v>981</v>
      </c>
      <c r="B506" s="2" t="s">
        <v>982</v>
      </c>
      <c r="C506" s="1">
        <v>44786</v>
      </c>
      <c r="D506" s="35">
        <v>485091.49</v>
      </c>
      <c r="E506" s="2" t="s">
        <v>19</v>
      </c>
      <c r="F506" s="2" t="s">
        <v>16</v>
      </c>
      <c r="G506" s="2" t="s">
        <v>12</v>
      </c>
      <c r="H506">
        <v>22</v>
      </c>
      <c r="I506" s="2" t="str">
        <f>TEXT(Sheet1[[#This Row],[claim_date]],"mmmm")</f>
        <v>August</v>
      </c>
      <c r="J506" s="2">
        <f>YEAR(Sheet1[[#This Row],[claim_date]])</f>
        <v>2022</v>
      </c>
      <c r="K506" s="2" t="str">
        <f>"Q"&amp;ROUNDUP(MONTH(Sheet1[[#This Row],[claim_date]])/3,0)</f>
        <v>Q3</v>
      </c>
      <c r="L506" s="2" t="str">
        <f>IF(Sheet1[[#This Row],[claim_amount]]&lt;100000,"Low",IF(Sheet1[[#This Row],[claim_amount]]&lt;200000,"Medium","High"))</f>
        <v>High</v>
      </c>
      <c r="M506" s="2" t="str">
        <f>IF(Sheet1[[#This Row],[days_to_process]]&lt;=30,"Fast","Slow")</f>
        <v>Fast</v>
      </c>
    </row>
    <row r="507" spans="1:13" x14ac:dyDescent="0.3">
      <c r="A507" t="s">
        <v>983</v>
      </c>
      <c r="B507" s="2" t="s">
        <v>984</v>
      </c>
      <c r="C507" s="1">
        <v>45400</v>
      </c>
      <c r="D507" s="35">
        <v>303358.15999999997</v>
      </c>
      <c r="E507" s="2" t="s">
        <v>19</v>
      </c>
      <c r="F507" s="2" t="s">
        <v>23</v>
      </c>
      <c r="G507" s="2" t="s">
        <v>24</v>
      </c>
      <c r="H507">
        <v>22</v>
      </c>
      <c r="I507" s="2" t="str">
        <f>TEXT(Sheet1[[#This Row],[claim_date]],"mmmm")</f>
        <v>April</v>
      </c>
      <c r="J507" s="2">
        <f>YEAR(Sheet1[[#This Row],[claim_date]])</f>
        <v>2024</v>
      </c>
      <c r="K507" s="2" t="str">
        <f>"Q"&amp;ROUNDUP(MONTH(Sheet1[[#This Row],[claim_date]])/3,0)</f>
        <v>Q2</v>
      </c>
      <c r="L507" s="2" t="str">
        <f>IF(Sheet1[[#This Row],[claim_amount]]&lt;100000,"Low",IF(Sheet1[[#This Row],[claim_amount]]&lt;200000,"Medium","High"))</f>
        <v>High</v>
      </c>
      <c r="M507" s="2" t="str">
        <f>IF(Sheet1[[#This Row],[days_to_process]]&lt;=30,"Fast","Slow")</f>
        <v>Fast</v>
      </c>
    </row>
    <row r="508" spans="1:13" x14ac:dyDescent="0.3">
      <c r="A508" t="s">
        <v>985</v>
      </c>
      <c r="B508" s="2" t="s">
        <v>986</v>
      </c>
      <c r="C508" s="1">
        <v>44880</v>
      </c>
      <c r="D508" s="35">
        <v>380640.57</v>
      </c>
      <c r="E508" s="2" t="s">
        <v>19</v>
      </c>
      <c r="F508" s="2" t="s">
        <v>23</v>
      </c>
      <c r="G508" s="2" t="s">
        <v>12</v>
      </c>
      <c r="H508">
        <v>17</v>
      </c>
      <c r="I508" s="2" t="str">
        <f>TEXT(Sheet1[[#This Row],[claim_date]],"mmmm")</f>
        <v>November</v>
      </c>
      <c r="J508" s="2">
        <f>YEAR(Sheet1[[#This Row],[claim_date]])</f>
        <v>2022</v>
      </c>
      <c r="K508" s="2" t="str">
        <f>"Q"&amp;ROUNDUP(MONTH(Sheet1[[#This Row],[claim_date]])/3,0)</f>
        <v>Q4</v>
      </c>
      <c r="L508" s="2" t="str">
        <f>IF(Sheet1[[#This Row],[claim_amount]]&lt;100000,"Low",IF(Sheet1[[#This Row],[claim_amount]]&lt;200000,"Medium","High"))</f>
        <v>High</v>
      </c>
      <c r="M508" s="2" t="str">
        <f>IF(Sheet1[[#This Row],[days_to_process]]&lt;=30,"Fast","Slow")</f>
        <v>Fast</v>
      </c>
    </row>
    <row r="509" spans="1:13" x14ac:dyDescent="0.3">
      <c r="A509" t="s">
        <v>987</v>
      </c>
      <c r="B509" s="2" t="s">
        <v>988</v>
      </c>
      <c r="C509" s="1">
        <v>45393</v>
      </c>
      <c r="D509" s="35">
        <v>227762.46</v>
      </c>
      <c r="E509" s="2" t="s">
        <v>15</v>
      </c>
      <c r="F509" s="2" t="s">
        <v>16</v>
      </c>
      <c r="G509" s="2" t="s">
        <v>12</v>
      </c>
      <c r="H509">
        <v>6</v>
      </c>
      <c r="I509" s="2" t="str">
        <f>TEXT(Sheet1[[#This Row],[claim_date]],"mmmm")</f>
        <v>April</v>
      </c>
      <c r="J509" s="2">
        <f>YEAR(Sheet1[[#This Row],[claim_date]])</f>
        <v>2024</v>
      </c>
      <c r="K509" s="2" t="str">
        <f>"Q"&amp;ROUNDUP(MONTH(Sheet1[[#This Row],[claim_date]])/3,0)</f>
        <v>Q2</v>
      </c>
      <c r="L509" s="2" t="str">
        <f>IF(Sheet1[[#This Row],[claim_amount]]&lt;100000,"Low",IF(Sheet1[[#This Row],[claim_amount]]&lt;200000,"Medium","High"))</f>
        <v>High</v>
      </c>
      <c r="M509" s="2" t="str">
        <f>IF(Sheet1[[#This Row],[days_to_process]]&lt;=30,"Fast","Slow")</f>
        <v>Fast</v>
      </c>
    </row>
    <row r="510" spans="1:13" x14ac:dyDescent="0.3">
      <c r="A510" t="s">
        <v>989</v>
      </c>
      <c r="B510" s="2" t="s">
        <v>990</v>
      </c>
      <c r="C510" s="1">
        <v>45261</v>
      </c>
      <c r="D510" s="35">
        <v>200731.28</v>
      </c>
      <c r="E510" s="2" t="s">
        <v>19</v>
      </c>
      <c r="F510" s="2" t="s">
        <v>23</v>
      </c>
      <c r="G510" s="2" t="s">
        <v>24</v>
      </c>
      <c r="H510">
        <v>53</v>
      </c>
      <c r="I510" s="2" t="str">
        <f>TEXT(Sheet1[[#This Row],[claim_date]],"mmmm")</f>
        <v>December</v>
      </c>
      <c r="J510" s="2">
        <f>YEAR(Sheet1[[#This Row],[claim_date]])</f>
        <v>2023</v>
      </c>
      <c r="K510" s="2" t="str">
        <f>"Q"&amp;ROUNDUP(MONTH(Sheet1[[#This Row],[claim_date]])/3,0)</f>
        <v>Q4</v>
      </c>
      <c r="L510" s="2" t="str">
        <f>IF(Sheet1[[#This Row],[claim_amount]]&lt;100000,"Low",IF(Sheet1[[#This Row],[claim_amount]]&lt;200000,"Medium","High"))</f>
        <v>High</v>
      </c>
      <c r="M510" s="2" t="str">
        <f>IF(Sheet1[[#This Row],[days_to_process]]&lt;=30,"Fast","Slow")</f>
        <v>Slow</v>
      </c>
    </row>
    <row r="511" spans="1:13" x14ac:dyDescent="0.3">
      <c r="A511" t="s">
        <v>991</v>
      </c>
      <c r="B511" s="2" t="s">
        <v>992</v>
      </c>
      <c r="C511" s="1">
        <v>45703</v>
      </c>
      <c r="D511" s="35">
        <v>324185.73</v>
      </c>
      <c r="E511" s="2" t="s">
        <v>19</v>
      </c>
      <c r="F511" s="2" t="s">
        <v>16</v>
      </c>
      <c r="G511" s="2" t="s">
        <v>24</v>
      </c>
      <c r="H511">
        <v>55</v>
      </c>
      <c r="I511" s="2" t="str">
        <f>TEXT(Sheet1[[#This Row],[claim_date]],"mmmm")</f>
        <v>February</v>
      </c>
      <c r="J511" s="2">
        <f>YEAR(Sheet1[[#This Row],[claim_date]])</f>
        <v>2025</v>
      </c>
      <c r="K511" s="2" t="str">
        <f>"Q"&amp;ROUNDUP(MONTH(Sheet1[[#This Row],[claim_date]])/3,0)</f>
        <v>Q1</v>
      </c>
      <c r="L511" s="2" t="str">
        <f>IF(Sheet1[[#This Row],[claim_amount]]&lt;100000,"Low",IF(Sheet1[[#This Row],[claim_amount]]&lt;200000,"Medium","High"))</f>
        <v>High</v>
      </c>
      <c r="M511" s="2" t="str">
        <f>IF(Sheet1[[#This Row],[days_to_process]]&lt;=30,"Fast","Slow")</f>
        <v>Slow</v>
      </c>
    </row>
    <row r="512" spans="1:13" x14ac:dyDescent="0.3">
      <c r="A512" t="s">
        <v>993</v>
      </c>
      <c r="B512" s="2" t="s">
        <v>264</v>
      </c>
      <c r="C512" s="1">
        <v>45087</v>
      </c>
      <c r="D512" s="35">
        <v>158699.26999999999</v>
      </c>
      <c r="E512" s="2" t="s">
        <v>10</v>
      </c>
      <c r="F512" s="2" t="s">
        <v>20</v>
      </c>
      <c r="G512" s="2" t="s">
        <v>24</v>
      </c>
      <c r="H512">
        <v>57</v>
      </c>
      <c r="I512" s="2" t="str">
        <f>TEXT(Sheet1[[#This Row],[claim_date]],"mmmm")</f>
        <v>June</v>
      </c>
      <c r="J512" s="2">
        <f>YEAR(Sheet1[[#This Row],[claim_date]])</f>
        <v>2023</v>
      </c>
      <c r="K512" s="2" t="str">
        <f>"Q"&amp;ROUNDUP(MONTH(Sheet1[[#This Row],[claim_date]])/3,0)</f>
        <v>Q2</v>
      </c>
      <c r="L512" s="2" t="str">
        <f>IF(Sheet1[[#This Row],[claim_amount]]&lt;100000,"Low",IF(Sheet1[[#This Row],[claim_amount]]&lt;200000,"Medium","High"))</f>
        <v>Medium</v>
      </c>
      <c r="M512" s="2" t="str">
        <f>IF(Sheet1[[#This Row],[days_to_process]]&lt;=30,"Fast","Slow")</f>
        <v>Slow</v>
      </c>
    </row>
    <row r="513" spans="1:13" x14ac:dyDescent="0.3">
      <c r="A513" t="s">
        <v>994</v>
      </c>
      <c r="B513" s="2" t="s">
        <v>995</v>
      </c>
      <c r="C513" s="1">
        <v>45424</v>
      </c>
      <c r="D513" s="35">
        <v>76565.179999999993</v>
      </c>
      <c r="E513" s="2" t="s">
        <v>10</v>
      </c>
      <c r="F513" s="2" t="s">
        <v>11</v>
      </c>
      <c r="G513" s="2" t="s">
        <v>24</v>
      </c>
      <c r="H513">
        <v>47</v>
      </c>
      <c r="I513" s="2" t="str">
        <f>TEXT(Sheet1[[#This Row],[claim_date]],"mmmm")</f>
        <v>May</v>
      </c>
      <c r="J513" s="2">
        <f>YEAR(Sheet1[[#This Row],[claim_date]])</f>
        <v>2024</v>
      </c>
      <c r="K513" s="2" t="str">
        <f>"Q"&amp;ROUNDUP(MONTH(Sheet1[[#This Row],[claim_date]])/3,0)</f>
        <v>Q2</v>
      </c>
      <c r="L513" s="2" t="str">
        <f>IF(Sheet1[[#This Row],[claim_amount]]&lt;100000,"Low",IF(Sheet1[[#This Row],[claim_amount]]&lt;200000,"Medium","High"))</f>
        <v>Low</v>
      </c>
      <c r="M513" s="2" t="str">
        <f>IF(Sheet1[[#This Row],[days_to_process]]&lt;=30,"Fast","Slow")</f>
        <v>Slow</v>
      </c>
    </row>
    <row r="514" spans="1:13" x14ac:dyDescent="0.3">
      <c r="A514" t="s">
        <v>996</v>
      </c>
      <c r="B514" s="2" t="s">
        <v>997</v>
      </c>
      <c r="C514" s="1">
        <v>44653</v>
      </c>
      <c r="D514" s="35">
        <v>453802.02</v>
      </c>
      <c r="E514" s="2" t="s">
        <v>15</v>
      </c>
      <c r="F514" s="2" t="s">
        <v>23</v>
      </c>
      <c r="G514" s="2" t="s">
        <v>24</v>
      </c>
      <c r="H514">
        <v>57</v>
      </c>
      <c r="I514" s="2" t="str">
        <f>TEXT(Sheet1[[#This Row],[claim_date]],"mmmm")</f>
        <v>April</v>
      </c>
      <c r="J514" s="2">
        <f>YEAR(Sheet1[[#This Row],[claim_date]])</f>
        <v>2022</v>
      </c>
      <c r="K514" s="2" t="str">
        <f>"Q"&amp;ROUNDUP(MONTH(Sheet1[[#This Row],[claim_date]])/3,0)</f>
        <v>Q2</v>
      </c>
      <c r="L514" s="2" t="str">
        <f>IF(Sheet1[[#This Row],[claim_amount]]&lt;100000,"Low",IF(Sheet1[[#This Row],[claim_amount]]&lt;200000,"Medium","High"))</f>
        <v>High</v>
      </c>
      <c r="M514" s="2" t="str">
        <f>IF(Sheet1[[#This Row],[days_to_process]]&lt;=30,"Fast","Slow")</f>
        <v>Slow</v>
      </c>
    </row>
    <row r="515" spans="1:13" x14ac:dyDescent="0.3">
      <c r="A515" t="s">
        <v>998</v>
      </c>
      <c r="B515" s="2" t="s">
        <v>999</v>
      </c>
      <c r="C515" s="1">
        <v>45413</v>
      </c>
      <c r="D515" s="35">
        <v>375570.91</v>
      </c>
      <c r="E515" s="2" t="s">
        <v>15</v>
      </c>
      <c r="F515" s="2" t="s">
        <v>23</v>
      </c>
      <c r="G515" s="2" t="s">
        <v>12</v>
      </c>
      <c r="H515">
        <v>48</v>
      </c>
      <c r="I515" s="2" t="str">
        <f>TEXT(Sheet1[[#This Row],[claim_date]],"mmmm")</f>
        <v>May</v>
      </c>
      <c r="J515" s="2">
        <f>YEAR(Sheet1[[#This Row],[claim_date]])</f>
        <v>2024</v>
      </c>
      <c r="K515" s="2" t="str">
        <f>"Q"&amp;ROUNDUP(MONTH(Sheet1[[#This Row],[claim_date]])/3,0)</f>
        <v>Q2</v>
      </c>
      <c r="L515" s="2" t="str">
        <f>IF(Sheet1[[#This Row],[claim_amount]]&lt;100000,"Low",IF(Sheet1[[#This Row],[claim_amount]]&lt;200000,"Medium","High"))</f>
        <v>High</v>
      </c>
      <c r="M515" s="2" t="str">
        <f>IF(Sheet1[[#This Row],[days_to_process]]&lt;=30,"Fast","Slow")</f>
        <v>Slow</v>
      </c>
    </row>
    <row r="516" spans="1:13" x14ac:dyDescent="0.3">
      <c r="A516" t="s">
        <v>1000</v>
      </c>
      <c r="B516" s="2" t="s">
        <v>1001</v>
      </c>
      <c r="C516" s="1">
        <v>45242</v>
      </c>
      <c r="D516" s="35">
        <v>248647.27</v>
      </c>
      <c r="E516" s="2" t="s">
        <v>19</v>
      </c>
      <c r="F516" s="2" t="s">
        <v>11</v>
      </c>
      <c r="G516" s="2" t="s">
        <v>12</v>
      </c>
      <c r="H516">
        <v>39</v>
      </c>
      <c r="I516" s="2" t="str">
        <f>TEXT(Sheet1[[#This Row],[claim_date]],"mmmm")</f>
        <v>November</v>
      </c>
      <c r="J516" s="2">
        <f>YEAR(Sheet1[[#This Row],[claim_date]])</f>
        <v>2023</v>
      </c>
      <c r="K516" s="2" t="str">
        <f>"Q"&amp;ROUNDUP(MONTH(Sheet1[[#This Row],[claim_date]])/3,0)</f>
        <v>Q4</v>
      </c>
      <c r="L516" s="2" t="str">
        <f>IF(Sheet1[[#This Row],[claim_amount]]&lt;100000,"Low",IF(Sheet1[[#This Row],[claim_amount]]&lt;200000,"Medium","High"))</f>
        <v>High</v>
      </c>
      <c r="M516" s="2" t="str">
        <f>IF(Sheet1[[#This Row],[days_to_process]]&lt;=30,"Fast","Slow")</f>
        <v>Slow</v>
      </c>
    </row>
    <row r="517" spans="1:13" x14ac:dyDescent="0.3">
      <c r="A517" t="s">
        <v>1002</v>
      </c>
      <c r="B517" s="2" t="s">
        <v>1003</v>
      </c>
      <c r="C517" s="1">
        <v>45230</v>
      </c>
      <c r="D517" s="35">
        <v>386485.86</v>
      </c>
      <c r="E517" s="2" t="s">
        <v>10</v>
      </c>
      <c r="F517" s="2" t="s">
        <v>20</v>
      </c>
      <c r="G517" s="2" t="s">
        <v>24</v>
      </c>
      <c r="H517">
        <v>45</v>
      </c>
      <c r="I517" s="2" t="str">
        <f>TEXT(Sheet1[[#This Row],[claim_date]],"mmmm")</f>
        <v>October</v>
      </c>
      <c r="J517" s="2">
        <f>YEAR(Sheet1[[#This Row],[claim_date]])</f>
        <v>2023</v>
      </c>
      <c r="K517" s="2" t="str">
        <f>"Q"&amp;ROUNDUP(MONTH(Sheet1[[#This Row],[claim_date]])/3,0)</f>
        <v>Q4</v>
      </c>
      <c r="L517" s="2" t="str">
        <f>IF(Sheet1[[#This Row],[claim_amount]]&lt;100000,"Low",IF(Sheet1[[#This Row],[claim_amount]]&lt;200000,"Medium","High"))</f>
        <v>High</v>
      </c>
      <c r="M517" s="2" t="str">
        <f>IF(Sheet1[[#This Row],[days_to_process]]&lt;=30,"Fast","Slow")</f>
        <v>Slow</v>
      </c>
    </row>
    <row r="518" spans="1:13" x14ac:dyDescent="0.3">
      <c r="A518" t="s">
        <v>1004</v>
      </c>
      <c r="B518" s="2" t="s">
        <v>1005</v>
      </c>
      <c r="C518" s="1">
        <v>44521</v>
      </c>
      <c r="D518" s="35">
        <v>288249.2</v>
      </c>
      <c r="E518" s="2" t="s">
        <v>19</v>
      </c>
      <c r="F518" s="2" t="s">
        <v>11</v>
      </c>
      <c r="G518" s="2" t="s">
        <v>12</v>
      </c>
      <c r="H518">
        <v>23</v>
      </c>
      <c r="I518" s="2" t="str">
        <f>TEXT(Sheet1[[#This Row],[claim_date]],"mmmm")</f>
        <v>November</v>
      </c>
      <c r="J518" s="2">
        <f>YEAR(Sheet1[[#This Row],[claim_date]])</f>
        <v>2021</v>
      </c>
      <c r="K518" s="2" t="str">
        <f>"Q"&amp;ROUNDUP(MONTH(Sheet1[[#This Row],[claim_date]])/3,0)</f>
        <v>Q4</v>
      </c>
      <c r="L518" s="2" t="str">
        <f>IF(Sheet1[[#This Row],[claim_amount]]&lt;100000,"Low",IF(Sheet1[[#This Row],[claim_amount]]&lt;200000,"Medium","High"))</f>
        <v>High</v>
      </c>
      <c r="M518" s="2" t="str">
        <f>IF(Sheet1[[#This Row],[days_to_process]]&lt;=30,"Fast","Slow")</f>
        <v>Fast</v>
      </c>
    </row>
    <row r="519" spans="1:13" x14ac:dyDescent="0.3">
      <c r="A519" t="s">
        <v>1006</v>
      </c>
      <c r="B519" s="2" t="s">
        <v>1007</v>
      </c>
      <c r="C519" s="1">
        <v>45456</v>
      </c>
      <c r="D519" s="35">
        <v>95884.86</v>
      </c>
      <c r="E519" s="2" t="s">
        <v>15</v>
      </c>
      <c r="F519" s="2" t="s">
        <v>20</v>
      </c>
      <c r="G519" s="2" t="s">
        <v>24</v>
      </c>
      <c r="H519">
        <v>37</v>
      </c>
      <c r="I519" s="2" t="str">
        <f>TEXT(Sheet1[[#This Row],[claim_date]],"mmmm")</f>
        <v>June</v>
      </c>
      <c r="J519" s="2">
        <f>YEAR(Sheet1[[#This Row],[claim_date]])</f>
        <v>2024</v>
      </c>
      <c r="K519" s="2" t="str">
        <f>"Q"&amp;ROUNDUP(MONTH(Sheet1[[#This Row],[claim_date]])/3,0)</f>
        <v>Q2</v>
      </c>
      <c r="L519" s="2" t="str">
        <f>IF(Sheet1[[#This Row],[claim_amount]]&lt;100000,"Low",IF(Sheet1[[#This Row],[claim_amount]]&lt;200000,"Medium","High"))</f>
        <v>Low</v>
      </c>
      <c r="M519" s="2" t="str">
        <f>IF(Sheet1[[#This Row],[days_to_process]]&lt;=30,"Fast","Slow")</f>
        <v>Slow</v>
      </c>
    </row>
    <row r="520" spans="1:13" x14ac:dyDescent="0.3">
      <c r="A520" t="s">
        <v>1008</v>
      </c>
      <c r="B520" s="2" t="s">
        <v>1009</v>
      </c>
      <c r="C520" s="1">
        <v>45493</v>
      </c>
      <c r="D520" s="35">
        <v>345927.84</v>
      </c>
      <c r="E520" s="2" t="s">
        <v>15</v>
      </c>
      <c r="F520" s="2" t="s">
        <v>11</v>
      </c>
      <c r="G520" s="2" t="s">
        <v>24</v>
      </c>
      <c r="H520">
        <v>22</v>
      </c>
      <c r="I520" s="2" t="str">
        <f>TEXT(Sheet1[[#This Row],[claim_date]],"mmmm")</f>
        <v>July</v>
      </c>
      <c r="J520" s="2">
        <f>YEAR(Sheet1[[#This Row],[claim_date]])</f>
        <v>2024</v>
      </c>
      <c r="K520" s="2" t="str">
        <f>"Q"&amp;ROUNDUP(MONTH(Sheet1[[#This Row],[claim_date]])/3,0)</f>
        <v>Q3</v>
      </c>
      <c r="L520" s="2" t="str">
        <f>IF(Sheet1[[#This Row],[claim_amount]]&lt;100000,"Low",IF(Sheet1[[#This Row],[claim_amount]]&lt;200000,"Medium","High"))</f>
        <v>High</v>
      </c>
      <c r="M520" s="2" t="str">
        <f>IF(Sheet1[[#This Row],[days_to_process]]&lt;=30,"Fast","Slow")</f>
        <v>Fast</v>
      </c>
    </row>
    <row r="521" spans="1:13" x14ac:dyDescent="0.3">
      <c r="A521" t="s">
        <v>1010</v>
      </c>
      <c r="B521" s="2" t="s">
        <v>1011</v>
      </c>
      <c r="C521" s="1">
        <v>44579</v>
      </c>
      <c r="D521" s="35">
        <v>92715.24</v>
      </c>
      <c r="E521" s="2" t="s">
        <v>10</v>
      </c>
      <c r="F521" s="2" t="s">
        <v>23</v>
      </c>
      <c r="G521" s="2" t="s">
        <v>12</v>
      </c>
      <c r="H521">
        <v>27</v>
      </c>
      <c r="I521" s="2" t="str">
        <f>TEXT(Sheet1[[#This Row],[claim_date]],"mmmm")</f>
        <v>January</v>
      </c>
      <c r="J521" s="2">
        <f>YEAR(Sheet1[[#This Row],[claim_date]])</f>
        <v>2022</v>
      </c>
      <c r="K521" s="2" t="str">
        <f>"Q"&amp;ROUNDUP(MONTH(Sheet1[[#This Row],[claim_date]])/3,0)</f>
        <v>Q1</v>
      </c>
      <c r="L521" s="2" t="str">
        <f>IF(Sheet1[[#This Row],[claim_amount]]&lt;100000,"Low",IF(Sheet1[[#This Row],[claim_amount]]&lt;200000,"Medium","High"))</f>
        <v>Low</v>
      </c>
      <c r="M521" s="2" t="str">
        <f>IF(Sheet1[[#This Row],[days_to_process]]&lt;=30,"Fast","Slow")</f>
        <v>Fast</v>
      </c>
    </row>
    <row r="522" spans="1:13" x14ac:dyDescent="0.3">
      <c r="A522" t="s">
        <v>1012</v>
      </c>
      <c r="B522" s="2" t="s">
        <v>1013</v>
      </c>
      <c r="C522" s="1">
        <v>45339</v>
      </c>
      <c r="D522" s="35">
        <v>77635.23</v>
      </c>
      <c r="E522" s="2" t="s">
        <v>19</v>
      </c>
      <c r="F522" s="2" t="s">
        <v>16</v>
      </c>
      <c r="G522" s="2" t="s">
        <v>24</v>
      </c>
      <c r="H522">
        <v>56</v>
      </c>
      <c r="I522" s="2" t="str">
        <f>TEXT(Sheet1[[#This Row],[claim_date]],"mmmm")</f>
        <v>February</v>
      </c>
      <c r="J522" s="2">
        <f>YEAR(Sheet1[[#This Row],[claim_date]])</f>
        <v>2024</v>
      </c>
      <c r="K522" s="2" t="str">
        <f>"Q"&amp;ROUNDUP(MONTH(Sheet1[[#This Row],[claim_date]])/3,0)</f>
        <v>Q1</v>
      </c>
      <c r="L522" s="2" t="str">
        <f>IF(Sheet1[[#This Row],[claim_amount]]&lt;100000,"Low",IF(Sheet1[[#This Row],[claim_amount]]&lt;200000,"Medium","High"))</f>
        <v>Low</v>
      </c>
      <c r="M522" s="2" t="str">
        <f>IF(Sheet1[[#This Row],[days_to_process]]&lt;=30,"Fast","Slow")</f>
        <v>Slow</v>
      </c>
    </row>
    <row r="523" spans="1:13" x14ac:dyDescent="0.3">
      <c r="A523" t="s">
        <v>1014</v>
      </c>
      <c r="B523" s="2" t="s">
        <v>1015</v>
      </c>
      <c r="C523" s="1">
        <v>44626</v>
      </c>
      <c r="D523" s="35">
        <v>57395.91</v>
      </c>
      <c r="E523" s="2" t="s">
        <v>10</v>
      </c>
      <c r="F523" s="2" t="s">
        <v>34</v>
      </c>
      <c r="G523" s="2" t="s">
        <v>24</v>
      </c>
      <c r="H523">
        <v>34</v>
      </c>
      <c r="I523" s="2" t="str">
        <f>TEXT(Sheet1[[#This Row],[claim_date]],"mmmm")</f>
        <v>March</v>
      </c>
      <c r="J523" s="2">
        <f>YEAR(Sheet1[[#This Row],[claim_date]])</f>
        <v>2022</v>
      </c>
      <c r="K523" s="2" t="str">
        <f>"Q"&amp;ROUNDUP(MONTH(Sheet1[[#This Row],[claim_date]])/3,0)</f>
        <v>Q1</v>
      </c>
      <c r="L523" s="2" t="str">
        <f>IF(Sheet1[[#This Row],[claim_amount]]&lt;100000,"Low",IF(Sheet1[[#This Row],[claim_amount]]&lt;200000,"Medium","High"))</f>
        <v>Low</v>
      </c>
      <c r="M523" s="2" t="str">
        <f>IF(Sheet1[[#This Row],[days_to_process]]&lt;=30,"Fast","Slow")</f>
        <v>Slow</v>
      </c>
    </row>
    <row r="524" spans="1:13" x14ac:dyDescent="0.3">
      <c r="A524" t="s">
        <v>1016</v>
      </c>
      <c r="B524" s="2" t="s">
        <v>1017</v>
      </c>
      <c r="C524" s="1">
        <v>44961</v>
      </c>
      <c r="D524" s="35">
        <v>255378.53</v>
      </c>
      <c r="E524" s="2" t="s">
        <v>19</v>
      </c>
      <c r="F524" s="2" t="s">
        <v>11</v>
      </c>
      <c r="G524" s="2" t="s">
        <v>24</v>
      </c>
      <c r="H524">
        <v>48</v>
      </c>
      <c r="I524" s="2" t="str">
        <f>TEXT(Sheet1[[#This Row],[claim_date]],"mmmm")</f>
        <v>February</v>
      </c>
      <c r="J524" s="2">
        <f>YEAR(Sheet1[[#This Row],[claim_date]])</f>
        <v>2023</v>
      </c>
      <c r="K524" s="2" t="str">
        <f>"Q"&amp;ROUNDUP(MONTH(Sheet1[[#This Row],[claim_date]])/3,0)</f>
        <v>Q1</v>
      </c>
      <c r="L524" s="2" t="str">
        <f>IF(Sheet1[[#This Row],[claim_amount]]&lt;100000,"Low",IF(Sheet1[[#This Row],[claim_amount]]&lt;200000,"Medium","High"))</f>
        <v>High</v>
      </c>
      <c r="M524" s="2" t="str">
        <f>IF(Sheet1[[#This Row],[days_to_process]]&lt;=30,"Fast","Slow")</f>
        <v>Slow</v>
      </c>
    </row>
    <row r="525" spans="1:13" x14ac:dyDescent="0.3">
      <c r="A525" t="s">
        <v>1018</v>
      </c>
      <c r="B525" s="2" t="s">
        <v>1019</v>
      </c>
      <c r="C525" s="1">
        <v>45518</v>
      </c>
      <c r="D525" s="35">
        <v>229336.47</v>
      </c>
      <c r="E525" s="2" t="s">
        <v>19</v>
      </c>
      <c r="F525" s="2" t="s">
        <v>23</v>
      </c>
      <c r="G525" s="2" t="s">
        <v>12</v>
      </c>
      <c r="H525">
        <v>10</v>
      </c>
      <c r="I525" s="2" t="str">
        <f>TEXT(Sheet1[[#This Row],[claim_date]],"mmmm")</f>
        <v>August</v>
      </c>
      <c r="J525" s="2">
        <f>YEAR(Sheet1[[#This Row],[claim_date]])</f>
        <v>2024</v>
      </c>
      <c r="K525" s="2" t="str">
        <f>"Q"&amp;ROUNDUP(MONTH(Sheet1[[#This Row],[claim_date]])/3,0)</f>
        <v>Q3</v>
      </c>
      <c r="L525" s="2" t="str">
        <f>IF(Sheet1[[#This Row],[claim_amount]]&lt;100000,"Low",IF(Sheet1[[#This Row],[claim_amount]]&lt;200000,"Medium","High"))</f>
        <v>High</v>
      </c>
      <c r="M525" s="2" t="str">
        <f>IF(Sheet1[[#This Row],[days_to_process]]&lt;=30,"Fast","Slow")</f>
        <v>Fast</v>
      </c>
    </row>
    <row r="526" spans="1:13" x14ac:dyDescent="0.3">
      <c r="A526" t="s">
        <v>1020</v>
      </c>
      <c r="B526" s="2" t="s">
        <v>294</v>
      </c>
      <c r="C526" s="1">
        <v>44529</v>
      </c>
      <c r="D526" s="35">
        <v>345408.81</v>
      </c>
      <c r="E526" s="2" t="s">
        <v>10</v>
      </c>
      <c r="F526" s="2" t="s">
        <v>20</v>
      </c>
      <c r="G526" s="2" t="s">
        <v>12</v>
      </c>
      <c r="H526">
        <v>26</v>
      </c>
      <c r="I526" s="2" t="str">
        <f>TEXT(Sheet1[[#This Row],[claim_date]],"mmmm")</f>
        <v>November</v>
      </c>
      <c r="J526" s="2">
        <f>YEAR(Sheet1[[#This Row],[claim_date]])</f>
        <v>2021</v>
      </c>
      <c r="K526" s="2" t="str">
        <f>"Q"&amp;ROUNDUP(MONTH(Sheet1[[#This Row],[claim_date]])/3,0)</f>
        <v>Q4</v>
      </c>
      <c r="L526" s="2" t="str">
        <f>IF(Sheet1[[#This Row],[claim_amount]]&lt;100000,"Low",IF(Sheet1[[#This Row],[claim_amount]]&lt;200000,"Medium","High"))</f>
        <v>High</v>
      </c>
      <c r="M526" s="2" t="str">
        <f>IF(Sheet1[[#This Row],[days_to_process]]&lt;=30,"Fast","Slow")</f>
        <v>Fast</v>
      </c>
    </row>
    <row r="527" spans="1:13" x14ac:dyDescent="0.3">
      <c r="A527" t="s">
        <v>1021</v>
      </c>
      <c r="B527" s="2" t="s">
        <v>1022</v>
      </c>
      <c r="C527" s="1">
        <v>45658</v>
      </c>
      <c r="D527" s="35">
        <v>194566.56</v>
      </c>
      <c r="E527" s="2" t="s">
        <v>15</v>
      </c>
      <c r="F527" s="2" t="s">
        <v>11</v>
      </c>
      <c r="G527" s="2" t="s">
        <v>24</v>
      </c>
      <c r="H527">
        <v>13</v>
      </c>
      <c r="I527" s="2" t="str">
        <f>TEXT(Sheet1[[#This Row],[claim_date]],"mmmm")</f>
        <v>January</v>
      </c>
      <c r="J527" s="2">
        <f>YEAR(Sheet1[[#This Row],[claim_date]])</f>
        <v>2025</v>
      </c>
      <c r="K527" s="2" t="str">
        <f>"Q"&amp;ROUNDUP(MONTH(Sheet1[[#This Row],[claim_date]])/3,0)</f>
        <v>Q1</v>
      </c>
      <c r="L527" s="2" t="str">
        <f>IF(Sheet1[[#This Row],[claim_amount]]&lt;100000,"Low",IF(Sheet1[[#This Row],[claim_amount]]&lt;200000,"Medium","High"))</f>
        <v>Medium</v>
      </c>
      <c r="M527" s="2" t="str">
        <f>IF(Sheet1[[#This Row],[days_to_process]]&lt;=30,"Fast","Slow")</f>
        <v>Fast</v>
      </c>
    </row>
    <row r="528" spans="1:13" x14ac:dyDescent="0.3">
      <c r="A528" t="s">
        <v>1023</v>
      </c>
      <c r="B528" s="2" t="s">
        <v>1024</v>
      </c>
      <c r="C528" s="1">
        <v>45474</v>
      </c>
      <c r="D528" s="35">
        <v>149212.17000000001</v>
      </c>
      <c r="E528" s="2" t="s">
        <v>19</v>
      </c>
      <c r="F528" s="2" t="s">
        <v>11</v>
      </c>
      <c r="G528" s="2" t="s">
        <v>24</v>
      </c>
      <c r="H528">
        <v>8</v>
      </c>
      <c r="I528" s="2" t="str">
        <f>TEXT(Sheet1[[#This Row],[claim_date]],"mmmm")</f>
        <v>July</v>
      </c>
      <c r="J528" s="2">
        <f>YEAR(Sheet1[[#This Row],[claim_date]])</f>
        <v>2024</v>
      </c>
      <c r="K528" s="2" t="str">
        <f>"Q"&amp;ROUNDUP(MONTH(Sheet1[[#This Row],[claim_date]])/3,0)</f>
        <v>Q3</v>
      </c>
      <c r="L528" s="2" t="str">
        <f>IF(Sheet1[[#This Row],[claim_amount]]&lt;100000,"Low",IF(Sheet1[[#This Row],[claim_amount]]&lt;200000,"Medium","High"))</f>
        <v>Medium</v>
      </c>
      <c r="M528" s="2" t="str">
        <f>IF(Sheet1[[#This Row],[days_to_process]]&lt;=30,"Fast","Slow")</f>
        <v>Fast</v>
      </c>
    </row>
    <row r="529" spans="1:13" x14ac:dyDescent="0.3">
      <c r="A529" t="s">
        <v>1025</v>
      </c>
      <c r="B529" s="2" t="s">
        <v>1026</v>
      </c>
      <c r="C529" s="1">
        <v>44959</v>
      </c>
      <c r="D529" s="35">
        <v>37037.919999999998</v>
      </c>
      <c r="E529" s="2" t="s">
        <v>10</v>
      </c>
      <c r="F529" s="2" t="s">
        <v>34</v>
      </c>
      <c r="G529" s="2" t="s">
        <v>24</v>
      </c>
      <c r="H529">
        <v>37</v>
      </c>
      <c r="I529" s="2" t="str">
        <f>TEXT(Sheet1[[#This Row],[claim_date]],"mmmm")</f>
        <v>February</v>
      </c>
      <c r="J529" s="2">
        <f>YEAR(Sheet1[[#This Row],[claim_date]])</f>
        <v>2023</v>
      </c>
      <c r="K529" s="2" t="str">
        <f>"Q"&amp;ROUNDUP(MONTH(Sheet1[[#This Row],[claim_date]])/3,0)</f>
        <v>Q1</v>
      </c>
      <c r="L529" s="2" t="str">
        <f>IF(Sheet1[[#This Row],[claim_amount]]&lt;100000,"Low",IF(Sheet1[[#This Row],[claim_amount]]&lt;200000,"Medium","High"))</f>
        <v>Low</v>
      </c>
      <c r="M529" s="2" t="str">
        <f>IF(Sheet1[[#This Row],[days_to_process]]&lt;=30,"Fast","Slow")</f>
        <v>Slow</v>
      </c>
    </row>
    <row r="530" spans="1:13" x14ac:dyDescent="0.3">
      <c r="A530" t="s">
        <v>1027</v>
      </c>
      <c r="B530" s="2" t="s">
        <v>955</v>
      </c>
      <c r="C530" s="1">
        <v>45532</v>
      </c>
      <c r="D530" s="35">
        <v>427693.35</v>
      </c>
      <c r="E530" s="2" t="s">
        <v>19</v>
      </c>
      <c r="F530" s="2" t="s">
        <v>11</v>
      </c>
      <c r="G530" s="2" t="s">
        <v>24</v>
      </c>
      <c r="H530">
        <v>41</v>
      </c>
      <c r="I530" s="2" t="str">
        <f>TEXT(Sheet1[[#This Row],[claim_date]],"mmmm")</f>
        <v>August</v>
      </c>
      <c r="J530" s="2">
        <f>YEAR(Sheet1[[#This Row],[claim_date]])</f>
        <v>2024</v>
      </c>
      <c r="K530" s="2" t="str">
        <f>"Q"&amp;ROUNDUP(MONTH(Sheet1[[#This Row],[claim_date]])/3,0)</f>
        <v>Q3</v>
      </c>
      <c r="L530" s="2" t="str">
        <f>IF(Sheet1[[#This Row],[claim_amount]]&lt;100000,"Low",IF(Sheet1[[#This Row],[claim_amount]]&lt;200000,"Medium","High"))</f>
        <v>High</v>
      </c>
      <c r="M530" s="2" t="str">
        <f>IF(Sheet1[[#This Row],[days_to_process]]&lt;=30,"Fast","Slow")</f>
        <v>Slow</v>
      </c>
    </row>
    <row r="531" spans="1:13" x14ac:dyDescent="0.3">
      <c r="A531" t="s">
        <v>1028</v>
      </c>
      <c r="B531" s="2" t="s">
        <v>1029</v>
      </c>
      <c r="C531" s="1">
        <v>44517</v>
      </c>
      <c r="D531" s="35">
        <v>366615.7</v>
      </c>
      <c r="E531" s="2" t="s">
        <v>15</v>
      </c>
      <c r="F531" s="2" t="s">
        <v>34</v>
      </c>
      <c r="G531" s="2" t="s">
        <v>24</v>
      </c>
      <c r="H531">
        <v>33</v>
      </c>
      <c r="I531" s="2" t="str">
        <f>TEXT(Sheet1[[#This Row],[claim_date]],"mmmm")</f>
        <v>November</v>
      </c>
      <c r="J531" s="2">
        <f>YEAR(Sheet1[[#This Row],[claim_date]])</f>
        <v>2021</v>
      </c>
      <c r="K531" s="2" t="str">
        <f>"Q"&amp;ROUNDUP(MONTH(Sheet1[[#This Row],[claim_date]])/3,0)</f>
        <v>Q4</v>
      </c>
      <c r="L531" s="2" t="str">
        <f>IF(Sheet1[[#This Row],[claim_amount]]&lt;100000,"Low",IF(Sheet1[[#This Row],[claim_amount]]&lt;200000,"Medium","High"))</f>
        <v>High</v>
      </c>
      <c r="M531" s="2" t="str">
        <f>IF(Sheet1[[#This Row],[days_to_process]]&lt;=30,"Fast","Slow")</f>
        <v>Slow</v>
      </c>
    </row>
    <row r="532" spans="1:13" x14ac:dyDescent="0.3">
      <c r="A532" t="s">
        <v>1030</v>
      </c>
      <c r="B532" s="2" t="s">
        <v>1031</v>
      </c>
      <c r="C532" s="1">
        <v>44917</v>
      </c>
      <c r="D532" s="35">
        <v>445978.51</v>
      </c>
      <c r="E532" s="2" t="s">
        <v>15</v>
      </c>
      <c r="F532" s="2" t="s">
        <v>11</v>
      </c>
      <c r="G532" s="2" t="s">
        <v>12</v>
      </c>
      <c r="H532">
        <v>14</v>
      </c>
      <c r="I532" s="2" t="str">
        <f>TEXT(Sheet1[[#This Row],[claim_date]],"mmmm")</f>
        <v>December</v>
      </c>
      <c r="J532" s="2">
        <f>YEAR(Sheet1[[#This Row],[claim_date]])</f>
        <v>2022</v>
      </c>
      <c r="K532" s="2" t="str">
        <f>"Q"&amp;ROUNDUP(MONTH(Sheet1[[#This Row],[claim_date]])/3,0)</f>
        <v>Q4</v>
      </c>
      <c r="L532" s="2" t="str">
        <f>IF(Sheet1[[#This Row],[claim_amount]]&lt;100000,"Low",IF(Sheet1[[#This Row],[claim_amount]]&lt;200000,"Medium","High"))</f>
        <v>High</v>
      </c>
      <c r="M532" s="2" t="str">
        <f>IF(Sheet1[[#This Row],[days_to_process]]&lt;=30,"Fast","Slow")</f>
        <v>Fast</v>
      </c>
    </row>
    <row r="533" spans="1:13" x14ac:dyDescent="0.3">
      <c r="A533" t="s">
        <v>1032</v>
      </c>
      <c r="B533" s="2" t="s">
        <v>1033</v>
      </c>
      <c r="C533" s="1">
        <v>45466</v>
      </c>
      <c r="D533" s="35">
        <v>61252.959999999999</v>
      </c>
      <c r="E533" s="2" t="s">
        <v>19</v>
      </c>
      <c r="F533" s="2" t="s">
        <v>34</v>
      </c>
      <c r="G533" s="2" t="s">
        <v>12</v>
      </c>
      <c r="H533">
        <v>29</v>
      </c>
      <c r="I533" s="2" t="str">
        <f>TEXT(Sheet1[[#This Row],[claim_date]],"mmmm")</f>
        <v>June</v>
      </c>
      <c r="J533" s="2">
        <f>YEAR(Sheet1[[#This Row],[claim_date]])</f>
        <v>2024</v>
      </c>
      <c r="K533" s="2" t="str">
        <f>"Q"&amp;ROUNDUP(MONTH(Sheet1[[#This Row],[claim_date]])/3,0)</f>
        <v>Q2</v>
      </c>
      <c r="L533" s="2" t="str">
        <f>IF(Sheet1[[#This Row],[claim_amount]]&lt;100000,"Low",IF(Sheet1[[#This Row],[claim_amount]]&lt;200000,"Medium","High"))</f>
        <v>Low</v>
      </c>
      <c r="M533" s="2" t="str">
        <f>IF(Sheet1[[#This Row],[days_to_process]]&lt;=30,"Fast","Slow")</f>
        <v>Fast</v>
      </c>
    </row>
    <row r="534" spans="1:13" x14ac:dyDescent="0.3">
      <c r="A534" t="s">
        <v>1034</v>
      </c>
      <c r="B534" s="2" t="s">
        <v>1035</v>
      </c>
      <c r="C534" s="1">
        <v>45092</v>
      </c>
      <c r="D534" s="35">
        <v>225031.14</v>
      </c>
      <c r="E534" s="2" t="s">
        <v>19</v>
      </c>
      <c r="F534" s="2" t="s">
        <v>11</v>
      </c>
      <c r="G534" s="2" t="s">
        <v>24</v>
      </c>
      <c r="H534">
        <v>42</v>
      </c>
      <c r="I534" s="2" t="str">
        <f>TEXT(Sheet1[[#This Row],[claim_date]],"mmmm")</f>
        <v>June</v>
      </c>
      <c r="J534" s="2">
        <f>YEAR(Sheet1[[#This Row],[claim_date]])</f>
        <v>2023</v>
      </c>
      <c r="K534" s="2" t="str">
        <f>"Q"&amp;ROUNDUP(MONTH(Sheet1[[#This Row],[claim_date]])/3,0)</f>
        <v>Q2</v>
      </c>
      <c r="L534" s="2" t="str">
        <f>IF(Sheet1[[#This Row],[claim_amount]]&lt;100000,"Low",IF(Sheet1[[#This Row],[claim_amount]]&lt;200000,"Medium","High"))</f>
        <v>High</v>
      </c>
      <c r="M534" s="2" t="str">
        <f>IF(Sheet1[[#This Row],[days_to_process]]&lt;=30,"Fast","Slow")</f>
        <v>Slow</v>
      </c>
    </row>
    <row r="535" spans="1:13" x14ac:dyDescent="0.3">
      <c r="A535" t="s">
        <v>1036</v>
      </c>
      <c r="B535" s="2" t="s">
        <v>1037</v>
      </c>
      <c r="C535" s="1">
        <v>45643</v>
      </c>
      <c r="D535" s="35">
        <v>87135.09</v>
      </c>
      <c r="E535" s="2" t="s">
        <v>15</v>
      </c>
      <c r="F535" s="2" t="s">
        <v>20</v>
      </c>
      <c r="G535" s="2" t="s">
        <v>12</v>
      </c>
      <c r="H535">
        <v>8</v>
      </c>
      <c r="I535" s="2" t="str">
        <f>TEXT(Sheet1[[#This Row],[claim_date]],"mmmm")</f>
        <v>December</v>
      </c>
      <c r="J535" s="2">
        <f>YEAR(Sheet1[[#This Row],[claim_date]])</f>
        <v>2024</v>
      </c>
      <c r="K535" s="2" t="str">
        <f>"Q"&amp;ROUNDUP(MONTH(Sheet1[[#This Row],[claim_date]])/3,0)</f>
        <v>Q4</v>
      </c>
      <c r="L535" s="2" t="str">
        <f>IF(Sheet1[[#This Row],[claim_amount]]&lt;100000,"Low",IF(Sheet1[[#This Row],[claim_amount]]&lt;200000,"Medium","High"))</f>
        <v>Low</v>
      </c>
      <c r="M535" s="2" t="str">
        <f>IF(Sheet1[[#This Row],[days_to_process]]&lt;=30,"Fast","Slow")</f>
        <v>Fast</v>
      </c>
    </row>
    <row r="536" spans="1:13" x14ac:dyDescent="0.3">
      <c r="A536" t="s">
        <v>1038</v>
      </c>
      <c r="B536" s="2" t="s">
        <v>1039</v>
      </c>
      <c r="C536" s="1">
        <v>45698</v>
      </c>
      <c r="D536" s="35">
        <v>227648.58</v>
      </c>
      <c r="E536" s="2" t="s">
        <v>15</v>
      </c>
      <c r="F536" s="2" t="s">
        <v>23</v>
      </c>
      <c r="G536" s="2" t="s">
        <v>12</v>
      </c>
      <c r="H536">
        <v>40</v>
      </c>
      <c r="I536" s="2" t="str">
        <f>TEXT(Sheet1[[#This Row],[claim_date]],"mmmm")</f>
        <v>February</v>
      </c>
      <c r="J536" s="2">
        <f>YEAR(Sheet1[[#This Row],[claim_date]])</f>
        <v>2025</v>
      </c>
      <c r="K536" s="2" t="str">
        <f>"Q"&amp;ROUNDUP(MONTH(Sheet1[[#This Row],[claim_date]])/3,0)</f>
        <v>Q1</v>
      </c>
      <c r="L536" s="2" t="str">
        <f>IF(Sheet1[[#This Row],[claim_amount]]&lt;100000,"Low",IF(Sheet1[[#This Row],[claim_amount]]&lt;200000,"Medium","High"))</f>
        <v>High</v>
      </c>
      <c r="M536" s="2" t="str">
        <f>IF(Sheet1[[#This Row],[days_to_process]]&lt;=30,"Fast","Slow")</f>
        <v>Slow</v>
      </c>
    </row>
    <row r="537" spans="1:13" x14ac:dyDescent="0.3">
      <c r="A537" t="s">
        <v>1040</v>
      </c>
      <c r="B537" s="2" t="s">
        <v>1003</v>
      </c>
      <c r="C537" s="1">
        <v>45240</v>
      </c>
      <c r="D537" s="35">
        <v>321775.28000000003</v>
      </c>
      <c r="E537" s="2" t="s">
        <v>15</v>
      </c>
      <c r="F537" s="2" t="s">
        <v>11</v>
      </c>
      <c r="G537" s="2" t="s">
        <v>12</v>
      </c>
      <c r="H537">
        <v>52</v>
      </c>
      <c r="I537" s="2" t="str">
        <f>TEXT(Sheet1[[#This Row],[claim_date]],"mmmm")</f>
        <v>November</v>
      </c>
      <c r="J537" s="2">
        <f>YEAR(Sheet1[[#This Row],[claim_date]])</f>
        <v>2023</v>
      </c>
      <c r="K537" s="2" t="str">
        <f>"Q"&amp;ROUNDUP(MONTH(Sheet1[[#This Row],[claim_date]])/3,0)</f>
        <v>Q4</v>
      </c>
      <c r="L537" s="2" t="str">
        <f>IF(Sheet1[[#This Row],[claim_amount]]&lt;100000,"Low",IF(Sheet1[[#This Row],[claim_amount]]&lt;200000,"Medium","High"))</f>
        <v>High</v>
      </c>
      <c r="M537" s="2" t="str">
        <f>IF(Sheet1[[#This Row],[days_to_process]]&lt;=30,"Fast","Slow")</f>
        <v>Slow</v>
      </c>
    </row>
    <row r="538" spans="1:13" x14ac:dyDescent="0.3">
      <c r="A538" t="s">
        <v>1041</v>
      </c>
      <c r="B538" s="2" t="s">
        <v>1042</v>
      </c>
      <c r="C538" s="1">
        <v>44485</v>
      </c>
      <c r="D538" s="35">
        <v>422064.22</v>
      </c>
      <c r="E538" s="2" t="s">
        <v>10</v>
      </c>
      <c r="F538" s="2" t="s">
        <v>11</v>
      </c>
      <c r="G538" s="2" t="s">
        <v>24</v>
      </c>
      <c r="H538">
        <v>44</v>
      </c>
      <c r="I538" s="2" t="str">
        <f>TEXT(Sheet1[[#This Row],[claim_date]],"mmmm")</f>
        <v>October</v>
      </c>
      <c r="J538" s="2">
        <f>YEAR(Sheet1[[#This Row],[claim_date]])</f>
        <v>2021</v>
      </c>
      <c r="K538" s="2" t="str">
        <f>"Q"&amp;ROUNDUP(MONTH(Sheet1[[#This Row],[claim_date]])/3,0)</f>
        <v>Q4</v>
      </c>
      <c r="L538" s="2" t="str">
        <f>IF(Sheet1[[#This Row],[claim_amount]]&lt;100000,"Low",IF(Sheet1[[#This Row],[claim_amount]]&lt;200000,"Medium","High"))</f>
        <v>High</v>
      </c>
      <c r="M538" s="2" t="str">
        <f>IF(Sheet1[[#This Row],[days_to_process]]&lt;=30,"Fast","Slow")</f>
        <v>Slow</v>
      </c>
    </row>
    <row r="539" spans="1:13" x14ac:dyDescent="0.3">
      <c r="A539" t="s">
        <v>1043</v>
      </c>
      <c r="B539" s="2" t="s">
        <v>1044</v>
      </c>
      <c r="C539" s="1">
        <v>44386</v>
      </c>
      <c r="D539" s="35">
        <v>55408.21</v>
      </c>
      <c r="E539" s="2" t="s">
        <v>19</v>
      </c>
      <c r="F539" s="2" t="s">
        <v>23</v>
      </c>
      <c r="G539" s="2" t="s">
        <v>24</v>
      </c>
      <c r="H539">
        <v>21</v>
      </c>
      <c r="I539" s="2" t="str">
        <f>TEXT(Sheet1[[#This Row],[claim_date]],"mmmm")</f>
        <v>July</v>
      </c>
      <c r="J539" s="2">
        <f>YEAR(Sheet1[[#This Row],[claim_date]])</f>
        <v>2021</v>
      </c>
      <c r="K539" s="2" t="str">
        <f>"Q"&amp;ROUNDUP(MONTH(Sheet1[[#This Row],[claim_date]])/3,0)</f>
        <v>Q3</v>
      </c>
      <c r="L539" s="2" t="str">
        <f>IF(Sheet1[[#This Row],[claim_amount]]&lt;100000,"Low",IF(Sheet1[[#This Row],[claim_amount]]&lt;200000,"Medium","High"))</f>
        <v>Low</v>
      </c>
      <c r="M539" s="2" t="str">
        <f>IF(Sheet1[[#This Row],[days_to_process]]&lt;=30,"Fast","Slow")</f>
        <v>Fast</v>
      </c>
    </row>
    <row r="540" spans="1:13" x14ac:dyDescent="0.3">
      <c r="A540" t="s">
        <v>1045</v>
      </c>
      <c r="B540" s="2" t="s">
        <v>1046</v>
      </c>
      <c r="C540" s="1">
        <v>45468</v>
      </c>
      <c r="D540" s="35">
        <v>294679.23</v>
      </c>
      <c r="E540" s="2" t="s">
        <v>19</v>
      </c>
      <c r="F540" s="2" t="s">
        <v>34</v>
      </c>
      <c r="G540" s="2" t="s">
        <v>12</v>
      </c>
      <c r="H540">
        <v>55</v>
      </c>
      <c r="I540" s="2" t="str">
        <f>TEXT(Sheet1[[#This Row],[claim_date]],"mmmm")</f>
        <v>June</v>
      </c>
      <c r="J540" s="2">
        <f>YEAR(Sheet1[[#This Row],[claim_date]])</f>
        <v>2024</v>
      </c>
      <c r="K540" s="2" t="str">
        <f>"Q"&amp;ROUNDUP(MONTH(Sheet1[[#This Row],[claim_date]])/3,0)</f>
        <v>Q2</v>
      </c>
      <c r="L540" s="2" t="str">
        <f>IF(Sheet1[[#This Row],[claim_amount]]&lt;100000,"Low",IF(Sheet1[[#This Row],[claim_amount]]&lt;200000,"Medium","High"))</f>
        <v>High</v>
      </c>
      <c r="M540" s="2" t="str">
        <f>IF(Sheet1[[#This Row],[days_to_process]]&lt;=30,"Fast","Slow")</f>
        <v>Slow</v>
      </c>
    </row>
    <row r="541" spans="1:13" x14ac:dyDescent="0.3">
      <c r="A541" t="s">
        <v>1047</v>
      </c>
      <c r="B541" s="2" t="s">
        <v>1048</v>
      </c>
      <c r="C541" s="1">
        <v>45283</v>
      </c>
      <c r="D541" s="35">
        <v>43742.02</v>
      </c>
      <c r="E541" s="2" t="s">
        <v>15</v>
      </c>
      <c r="F541" s="2" t="s">
        <v>20</v>
      </c>
      <c r="G541" s="2" t="s">
        <v>12</v>
      </c>
      <c r="H541">
        <v>29</v>
      </c>
      <c r="I541" s="2" t="str">
        <f>TEXT(Sheet1[[#This Row],[claim_date]],"mmmm")</f>
        <v>December</v>
      </c>
      <c r="J541" s="2">
        <f>YEAR(Sheet1[[#This Row],[claim_date]])</f>
        <v>2023</v>
      </c>
      <c r="K541" s="2" t="str">
        <f>"Q"&amp;ROUNDUP(MONTH(Sheet1[[#This Row],[claim_date]])/3,0)</f>
        <v>Q4</v>
      </c>
      <c r="L541" s="2" t="str">
        <f>IF(Sheet1[[#This Row],[claim_amount]]&lt;100000,"Low",IF(Sheet1[[#This Row],[claim_amount]]&lt;200000,"Medium","High"))</f>
        <v>Low</v>
      </c>
      <c r="M541" s="2" t="str">
        <f>IF(Sheet1[[#This Row],[days_to_process]]&lt;=30,"Fast","Slow")</f>
        <v>Fast</v>
      </c>
    </row>
    <row r="542" spans="1:13" x14ac:dyDescent="0.3">
      <c r="A542" t="s">
        <v>1049</v>
      </c>
      <c r="B542" s="2" t="s">
        <v>1050</v>
      </c>
      <c r="C542" s="1">
        <v>45255</v>
      </c>
      <c r="D542" s="35">
        <v>91705.48</v>
      </c>
      <c r="E542" s="2" t="s">
        <v>15</v>
      </c>
      <c r="F542" s="2" t="s">
        <v>16</v>
      </c>
      <c r="G542" s="2" t="s">
        <v>12</v>
      </c>
      <c r="H542">
        <v>24</v>
      </c>
      <c r="I542" s="2" t="str">
        <f>TEXT(Sheet1[[#This Row],[claim_date]],"mmmm")</f>
        <v>November</v>
      </c>
      <c r="J542" s="2">
        <f>YEAR(Sheet1[[#This Row],[claim_date]])</f>
        <v>2023</v>
      </c>
      <c r="K542" s="2" t="str">
        <f>"Q"&amp;ROUNDUP(MONTH(Sheet1[[#This Row],[claim_date]])/3,0)</f>
        <v>Q4</v>
      </c>
      <c r="L542" s="2" t="str">
        <f>IF(Sheet1[[#This Row],[claim_amount]]&lt;100000,"Low",IF(Sheet1[[#This Row],[claim_amount]]&lt;200000,"Medium","High"))</f>
        <v>Low</v>
      </c>
      <c r="M542" s="2" t="str">
        <f>IF(Sheet1[[#This Row],[days_to_process]]&lt;=30,"Fast","Slow")</f>
        <v>Fast</v>
      </c>
    </row>
    <row r="543" spans="1:13" x14ac:dyDescent="0.3">
      <c r="A543" t="s">
        <v>1051</v>
      </c>
      <c r="B543" s="2" t="s">
        <v>1052</v>
      </c>
      <c r="C543" s="1">
        <v>45099</v>
      </c>
      <c r="D543" s="35">
        <v>197450.64</v>
      </c>
      <c r="E543" s="2" t="s">
        <v>10</v>
      </c>
      <c r="F543" s="2" t="s">
        <v>16</v>
      </c>
      <c r="G543" s="2" t="s">
        <v>12</v>
      </c>
      <c r="H543">
        <v>43</v>
      </c>
      <c r="I543" s="2" t="str">
        <f>TEXT(Sheet1[[#This Row],[claim_date]],"mmmm")</f>
        <v>June</v>
      </c>
      <c r="J543" s="2">
        <f>YEAR(Sheet1[[#This Row],[claim_date]])</f>
        <v>2023</v>
      </c>
      <c r="K543" s="2" t="str">
        <f>"Q"&amp;ROUNDUP(MONTH(Sheet1[[#This Row],[claim_date]])/3,0)</f>
        <v>Q2</v>
      </c>
      <c r="L543" s="2" t="str">
        <f>IF(Sheet1[[#This Row],[claim_amount]]&lt;100000,"Low",IF(Sheet1[[#This Row],[claim_amount]]&lt;200000,"Medium","High"))</f>
        <v>Medium</v>
      </c>
      <c r="M543" s="2" t="str">
        <f>IF(Sheet1[[#This Row],[days_to_process]]&lt;=30,"Fast","Slow")</f>
        <v>Slow</v>
      </c>
    </row>
    <row r="544" spans="1:13" x14ac:dyDescent="0.3">
      <c r="A544" t="s">
        <v>1053</v>
      </c>
      <c r="B544" s="2" t="s">
        <v>1054</v>
      </c>
      <c r="C544" s="1">
        <v>44510</v>
      </c>
      <c r="D544" s="35">
        <v>174124.52</v>
      </c>
      <c r="E544" s="2" t="s">
        <v>19</v>
      </c>
      <c r="F544" s="2" t="s">
        <v>23</v>
      </c>
      <c r="G544" s="2" t="s">
        <v>12</v>
      </c>
      <c r="H544">
        <v>8</v>
      </c>
      <c r="I544" s="2" t="str">
        <f>TEXT(Sheet1[[#This Row],[claim_date]],"mmmm")</f>
        <v>November</v>
      </c>
      <c r="J544" s="2">
        <f>YEAR(Sheet1[[#This Row],[claim_date]])</f>
        <v>2021</v>
      </c>
      <c r="K544" s="2" t="str">
        <f>"Q"&amp;ROUNDUP(MONTH(Sheet1[[#This Row],[claim_date]])/3,0)</f>
        <v>Q4</v>
      </c>
      <c r="L544" s="2" t="str">
        <f>IF(Sheet1[[#This Row],[claim_amount]]&lt;100000,"Low",IF(Sheet1[[#This Row],[claim_amount]]&lt;200000,"Medium","High"))</f>
        <v>Medium</v>
      </c>
      <c r="M544" s="2" t="str">
        <f>IF(Sheet1[[#This Row],[days_to_process]]&lt;=30,"Fast","Slow")</f>
        <v>Fast</v>
      </c>
    </row>
    <row r="545" spans="1:13" x14ac:dyDescent="0.3">
      <c r="A545" t="s">
        <v>1055</v>
      </c>
      <c r="B545" s="2" t="s">
        <v>1056</v>
      </c>
      <c r="C545" s="1">
        <v>44493</v>
      </c>
      <c r="D545" s="35">
        <v>254770.61</v>
      </c>
      <c r="E545" s="2" t="s">
        <v>10</v>
      </c>
      <c r="F545" s="2" t="s">
        <v>16</v>
      </c>
      <c r="G545" s="2" t="s">
        <v>24</v>
      </c>
      <c r="H545">
        <v>59</v>
      </c>
      <c r="I545" s="2" t="str">
        <f>TEXT(Sheet1[[#This Row],[claim_date]],"mmmm")</f>
        <v>October</v>
      </c>
      <c r="J545" s="2">
        <f>YEAR(Sheet1[[#This Row],[claim_date]])</f>
        <v>2021</v>
      </c>
      <c r="K545" s="2" t="str">
        <f>"Q"&amp;ROUNDUP(MONTH(Sheet1[[#This Row],[claim_date]])/3,0)</f>
        <v>Q4</v>
      </c>
      <c r="L545" s="2" t="str">
        <f>IF(Sheet1[[#This Row],[claim_amount]]&lt;100000,"Low",IF(Sheet1[[#This Row],[claim_amount]]&lt;200000,"Medium","High"))</f>
        <v>High</v>
      </c>
      <c r="M545" s="2" t="str">
        <f>IF(Sheet1[[#This Row],[days_to_process]]&lt;=30,"Fast","Slow")</f>
        <v>Slow</v>
      </c>
    </row>
    <row r="546" spans="1:13" x14ac:dyDescent="0.3">
      <c r="A546" t="s">
        <v>1057</v>
      </c>
      <c r="B546" s="2" t="s">
        <v>1058</v>
      </c>
      <c r="C546" s="1">
        <v>45103</v>
      </c>
      <c r="D546" s="35">
        <v>97671.31</v>
      </c>
      <c r="E546" s="2" t="s">
        <v>19</v>
      </c>
      <c r="F546" s="2" t="s">
        <v>34</v>
      </c>
      <c r="G546" s="2" t="s">
        <v>12</v>
      </c>
      <c r="H546">
        <v>53</v>
      </c>
      <c r="I546" s="2" t="str">
        <f>TEXT(Sheet1[[#This Row],[claim_date]],"mmmm")</f>
        <v>June</v>
      </c>
      <c r="J546" s="2">
        <f>YEAR(Sheet1[[#This Row],[claim_date]])</f>
        <v>2023</v>
      </c>
      <c r="K546" s="2" t="str">
        <f>"Q"&amp;ROUNDUP(MONTH(Sheet1[[#This Row],[claim_date]])/3,0)</f>
        <v>Q2</v>
      </c>
      <c r="L546" s="2" t="str">
        <f>IF(Sheet1[[#This Row],[claim_amount]]&lt;100000,"Low",IF(Sheet1[[#This Row],[claim_amount]]&lt;200000,"Medium","High"))</f>
        <v>Low</v>
      </c>
      <c r="M546" s="2" t="str">
        <f>IF(Sheet1[[#This Row],[days_to_process]]&lt;=30,"Fast","Slow")</f>
        <v>Slow</v>
      </c>
    </row>
    <row r="547" spans="1:13" x14ac:dyDescent="0.3">
      <c r="A547" t="s">
        <v>1059</v>
      </c>
      <c r="B547" s="2" t="s">
        <v>925</v>
      </c>
      <c r="C547" s="1">
        <v>45020</v>
      </c>
      <c r="D547" s="35">
        <v>107548.69</v>
      </c>
      <c r="E547" s="2" t="s">
        <v>19</v>
      </c>
      <c r="F547" s="2" t="s">
        <v>34</v>
      </c>
      <c r="G547" s="2" t="s">
        <v>12</v>
      </c>
      <c r="H547">
        <v>24</v>
      </c>
      <c r="I547" s="2" t="str">
        <f>TEXT(Sheet1[[#This Row],[claim_date]],"mmmm")</f>
        <v>April</v>
      </c>
      <c r="J547" s="2">
        <f>YEAR(Sheet1[[#This Row],[claim_date]])</f>
        <v>2023</v>
      </c>
      <c r="K547" s="2" t="str">
        <f>"Q"&amp;ROUNDUP(MONTH(Sheet1[[#This Row],[claim_date]])/3,0)</f>
        <v>Q2</v>
      </c>
      <c r="L547" s="2" t="str">
        <f>IF(Sheet1[[#This Row],[claim_amount]]&lt;100000,"Low",IF(Sheet1[[#This Row],[claim_amount]]&lt;200000,"Medium","High"))</f>
        <v>Medium</v>
      </c>
      <c r="M547" s="2" t="str">
        <f>IF(Sheet1[[#This Row],[days_to_process]]&lt;=30,"Fast","Slow")</f>
        <v>Fast</v>
      </c>
    </row>
    <row r="548" spans="1:13" x14ac:dyDescent="0.3">
      <c r="A548" t="s">
        <v>1060</v>
      </c>
      <c r="B548" s="2" t="s">
        <v>1061</v>
      </c>
      <c r="C548" s="1">
        <v>45280</v>
      </c>
      <c r="D548" s="35">
        <v>83986.63</v>
      </c>
      <c r="E548" s="2" t="s">
        <v>15</v>
      </c>
      <c r="F548" s="2" t="s">
        <v>16</v>
      </c>
      <c r="G548" s="2" t="s">
        <v>12</v>
      </c>
      <c r="H548">
        <v>13</v>
      </c>
      <c r="I548" s="2" t="str">
        <f>TEXT(Sheet1[[#This Row],[claim_date]],"mmmm")</f>
        <v>December</v>
      </c>
      <c r="J548" s="2">
        <f>YEAR(Sheet1[[#This Row],[claim_date]])</f>
        <v>2023</v>
      </c>
      <c r="K548" s="2" t="str">
        <f>"Q"&amp;ROUNDUP(MONTH(Sheet1[[#This Row],[claim_date]])/3,0)</f>
        <v>Q4</v>
      </c>
      <c r="L548" s="2" t="str">
        <f>IF(Sheet1[[#This Row],[claim_amount]]&lt;100000,"Low",IF(Sheet1[[#This Row],[claim_amount]]&lt;200000,"Medium","High"))</f>
        <v>Low</v>
      </c>
      <c r="M548" s="2" t="str">
        <f>IF(Sheet1[[#This Row],[days_to_process]]&lt;=30,"Fast","Slow")</f>
        <v>Fast</v>
      </c>
    </row>
    <row r="549" spans="1:13" x14ac:dyDescent="0.3">
      <c r="A549" t="s">
        <v>1062</v>
      </c>
      <c r="B549" s="2" t="s">
        <v>1063</v>
      </c>
      <c r="C549" s="1">
        <v>45180</v>
      </c>
      <c r="D549" s="35">
        <v>178299.48</v>
      </c>
      <c r="E549" s="2" t="s">
        <v>19</v>
      </c>
      <c r="F549" s="2" t="s">
        <v>34</v>
      </c>
      <c r="G549" s="2" t="s">
        <v>12</v>
      </c>
      <c r="H549">
        <v>10</v>
      </c>
      <c r="I549" s="2" t="str">
        <f>TEXT(Sheet1[[#This Row],[claim_date]],"mmmm")</f>
        <v>September</v>
      </c>
      <c r="J549" s="2">
        <f>YEAR(Sheet1[[#This Row],[claim_date]])</f>
        <v>2023</v>
      </c>
      <c r="K549" s="2" t="str">
        <f>"Q"&amp;ROUNDUP(MONTH(Sheet1[[#This Row],[claim_date]])/3,0)</f>
        <v>Q3</v>
      </c>
      <c r="L549" s="2" t="str">
        <f>IF(Sheet1[[#This Row],[claim_amount]]&lt;100000,"Low",IF(Sheet1[[#This Row],[claim_amount]]&lt;200000,"Medium","High"))</f>
        <v>Medium</v>
      </c>
      <c r="M549" s="2" t="str">
        <f>IF(Sheet1[[#This Row],[days_to_process]]&lt;=30,"Fast","Slow")</f>
        <v>Fast</v>
      </c>
    </row>
    <row r="550" spans="1:13" x14ac:dyDescent="0.3">
      <c r="A550" t="s">
        <v>1064</v>
      </c>
      <c r="B550" s="2" t="s">
        <v>1065</v>
      </c>
      <c r="C550" s="1">
        <v>45414</v>
      </c>
      <c r="D550" s="35">
        <v>416609.91</v>
      </c>
      <c r="E550" s="2" t="s">
        <v>19</v>
      </c>
      <c r="F550" s="2" t="s">
        <v>34</v>
      </c>
      <c r="G550" s="2" t="s">
        <v>24</v>
      </c>
      <c r="H550">
        <v>48</v>
      </c>
      <c r="I550" s="2" t="str">
        <f>TEXT(Sheet1[[#This Row],[claim_date]],"mmmm")</f>
        <v>May</v>
      </c>
      <c r="J550" s="2">
        <f>YEAR(Sheet1[[#This Row],[claim_date]])</f>
        <v>2024</v>
      </c>
      <c r="K550" s="2" t="str">
        <f>"Q"&amp;ROUNDUP(MONTH(Sheet1[[#This Row],[claim_date]])/3,0)</f>
        <v>Q2</v>
      </c>
      <c r="L550" s="2" t="str">
        <f>IF(Sheet1[[#This Row],[claim_amount]]&lt;100000,"Low",IF(Sheet1[[#This Row],[claim_amount]]&lt;200000,"Medium","High"))</f>
        <v>High</v>
      </c>
      <c r="M550" s="2" t="str">
        <f>IF(Sheet1[[#This Row],[days_to_process]]&lt;=30,"Fast","Slow")</f>
        <v>Slow</v>
      </c>
    </row>
    <row r="551" spans="1:13" x14ac:dyDescent="0.3">
      <c r="A551" t="s">
        <v>1066</v>
      </c>
      <c r="B551" s="2" t="s">
        <v>1067</v>
      </c>
      <c r="C551" s="1">
        <v>44487</v>
      </c>
      <c r="D551" s="35">
        <v>164639.75</v>
      </c>
      <c r="E551" s="2" t="s">
        <v>10</v>
      </c>
      <c r="F551" s="2" t="s">
        <v>23</v>
      </c>
      <c r="G551" s="2" t="s">
        <v>12</v>
      </c>
      <c r="H551">
        <v>11</v>
      </c>
      <c r="I551" s="2" t="str">
        <f>TEXT(Sheet1[[#This Row],[claim_date]],"mmmm")</f>
        <v>October</v>
      </c>
      <c r="J551" s="2">
        <f>YEAR(Sheet1[[#This Row],[claim_date]])</f>
        <v>2021</v>
      </c>
      <c r="K551" s="2" t="str">
        <f>"Q"&amp;ROUNDUP(MONTH(Sheet1[[#This Row],[claim_date]])/3,0)</f>
        <v>Q4</v>
      </c>
      <c r="L551" s="2" t="str">
        <f>IF(Sheet1[[#This Row],[claim_amount]]&lt;100000,"Low",IF(Sheet1[[#This Row],[claim_amount]]&lt;200000,"Medium","High"))</f>
        <v>Medium</v>
      </c>
      <c r="M551" s="2" t="str">
        <f>IF(Sheet1[[#This Row],[days_to_process]]&lt;=30,"Fast","Slow")</f>
        <v>Fast</v>
      </c>
    </row>
    <row r="552" spans="1:13" x14ac:dyDescent="0.3">
      <c r="A552" t="s">
        <v>1068</v>
      </c>
      <c r="B552" s="2" t="s">
        <v>1069</v>
      </c>
      <c r="C552" s="1">
        <v>45690</v>
      </c>
      <c r="D552" s="35">
        <v>151760.6</v>
      </c>
      <c r="E552" s="2" t="s">
        <v>10</v>
      </c>
      <c r="F552" s="2" t="s">
        <v>16</v>
      </c>
      <c r="G552" s="2" t="s">
        <v>12</v>
      </c>
      <c r="H552">
        <v>45</v>
      </c>
      <c r="I552" s="2" t="str">
        <f>TEXT(Sheet1[[#This Row],[claim_date]],"mmmm")</f>
        <v>February</v>
      </c>
      <c r="J552" s="2">
        <f>YEAR(Sheet1[[#This Row],[claim_date]])</f>
        <v>2025</v>
      </c>
      <c r="K552" s="2" t="str">
        <f>"Q"&amp;ROUNDUP(MONTH(Sheet1[[#This Row],[claim_date]])/3,0)</f>
        <v>Q1</v>
      </c>
      <c r="L552" s="2" t="str">
        <f>IF(Sheet1[[#This Row],[claim_amount]]&lt;100000,"Low",IF(Sheet1[[#This Row],[claim_amount]]&lt;200000,"Medium","High"))</f>
        <v>Medium</v>
      </c>
      <c r="M552" s="2" t="str">
        <f>IF(Sheet1[[#This Row],[days_to_process]]&lt;=30,"Fast","Slow")</f>
        <v>Slow</v>
      </c>
    </row>
    <row r="553" spans="1:13" x14ac:dyDescent="0.3">
      <c r="A553" t="s">
        <v>1070</v>
      </c>
      <c r="B553" s="2" t="s">
        <v>1071</v>
      </c>
      <c r="C553" s="1">
        <v>44712</v>
      </c>
      <c r="D553" s="35">
        <v>140195.25</v>
      </c>
      <c r="E553" s="2" t="s">
        <v>19</v>
      </c>
      <c r="F553" s="2" t="s">
        <v>23</v>
      </c>
      <c r="G553" s="2" t="s">
        <v>24</v>
      </c>
      <c r="H553">
        <v>36</v>
      </c>
      <c r="I553" s="2" t="str">
        <f>TEXT(Sheet1[[#This Row],[claim_date]],"mmmm")</f>
        <v>May</v>
      </c>
      <c r="J553" s="2">
        <f>YEAR(Sheet1[[#This Row],[claim_date]])</f>
        <v>2022</v>
      </c>
      <c r="K553" s="2" t="str">
        <f>"Q"&amp;ROUNDUP(MONTH(Sheet1[[#This Row],[claim_date]])/3,0)</f>
        <v>Q2</v>
      </c>
      <c r="L553" s="2" t="str">
        <f>IF(Sheet1[[#This Row],[claim_amount]]&lt;100000,"Low",IF(Sheet1[[#This Row],[claim_amount]]&lt;200000,"Medium","High"))</f>
        <v>Medium</v>
      </c>
      <c r="M553" s="2" t="str">
        <f>IF(Sheet1[[#This Row],[days_to_process]]&lt;=30,"Fast","Slow")</f>
        <v>Slow</v>
      </c>
    </row>
    <row r="554" spans="1:13" x14ac:dyDescent="0.3">
      <c r="A554" t="s">
        <v>1072</v>
      </c>
      <c r="B554" s="2" t="s">
        <v>143</v>
      </c>
      <c r="C554" s="1">
        <v>44477</v>
      </c>
      <c r="D554" s="35">
        <v>484529.51</v>
      </c>
      <c r="E554" s="2" t="s">
        <v>10</v>
      </c>
      <c r="F554" s="2" t="s">
        <v>11</v>
      </c>
      <c r="G554" s="2" t="s">
        <v>24</v>
      </c>
      <c r="H554">
        <v>49</v>
      </c>
      <c r="I554" s="2" t="str">
        <f>TEXT(Sheet1[[#This Row],[claim_date]],"mmmm")</f>
        <v>October</v>
      </c>
      <c r="J554" s="2">
        <f>YEAR(Sheet1[[#This Row],[claim_date]])</f>
        <v>2021</v>
      </c>
      <c r="K554" s="2" t="str">
        <f>"Q"&amp;ROUNDUP(MONTH(Sheet1[[#This Row],[claim_date]])/3,0)</f>
        <v>Q4</v>
      </c>
      <c r="L554" s="2" t="str">
        <f>IF(Sheet1[[#This Row],[claim_amount]]&lt;100000,"Low",IF(Sheet1[[#This Row],[claim_amount]]&lt;200000,"Medium","High"))</f>
        <v>High</v>
      </c>
      <c r="M554" s="2" t="str">
        <f>IF(Sheet1[[#This Row],[days_to_process]]&lt;=30,"Fast","Slow")</f>
        <v>Slow</v>
      </c>
    </row>
    <row r="555" spans="1:13" x14ac:dyDescent="0.3">
      <c r="A555" t="s">
        <v>1073</v>
      </c>
      <c r="B555" s="2" t="s">
        <v>1074</v>
      </c>
      <c r="C555" s="1">
        <v>45424</v>
      </c>
      <c r="D555" s="35">
        <v>260330.29</v>
      </c>
      <c r="E555" s="2" t="s">
        <v>10</v>
      </c>
      <c r="F555" s="2" t="s">
        <v>11</v>
      </c>
      <c r="G555" s="2" t="s">
        <v>12</v>
      </c>
      <c r="H555">
        <v>38</v>
      </c>
      <c r="I555" s="2" t="str">
        <f>TEXT(Sheet1[[#This Row],[claim_date]],"mmmm")</f>
        <v>May</v>
      </c>
      <c r="J555" s="2">
        <f>YEAR(Sheet1[[#This Row],[claim_date]])</f>
        <v>2024</v>
      </c>
      <c r="K555" s="2" t="str">
        <f>"Q"&amp;ROUNDUP(MONTH(Sheet1[[#This Row],[claim_date]])/3,0)</f>
        <v>Q2</v>
      </c>
      <c r="L555" s="2" t="str">
        <f>IF(Sheet1[[#This Row],[claim_amount]]&lt;100000,"Low",IF(Sheet1[[#This Row],[claim_amount]]&lt;200000,"Medium","High"))</f>
        <v>High</v>
      </c>
      <c r="M555" s="2" t="str">
        <f>IF(Sheet1[[#This Row],[days_to_process]]&lt;=30,"Fast","Slow")</f>
        <v>Slow</v>
      </c>
    </row>
    <row r="556" spans="1:13" x14ac:dyDescent="0.3">
      <c r="A556" t="s">
        <v>1075</v>
      </c>
      <c r="B556" s="2" t="s">
        <v>1076</v>
      </c>
      <c r="C556" s="1">
        <v>45327</v>
      </c>
      <c r="D556" s="35">
        <v>353021.91</v>
      </c>
      <c r="E556" s="2" t="s">
        <v>15</v>
      </c>
      <c r="F556" s="2" t="s">
        <v>11</v>
      </c>
      <c r="G556" s="2" t="s">
        <v>12</v>
      </c>
      <c r="H556">
        <v>28</v>
      </c>
      <c r="I556" s="2" t="str">
        <f>TEXT(Sheet1[[#This Row],[claim_date]],"mmmm")</f>
        <v>February</v>
      </c>
      <c r="J556" s="2">
        <f>YEAR(Sheet1[[#This Row],[claim_date]])</f>
        <v>2024</v>
      </c>
      <c r="K556" s="2" t="str">
        <f>"Q"&amp;ROUNDUP(MONTH(Sheet1[[#This Row],[claim_date]])/3,0)</f>
        <v>Q1</v>
      </c>
      <c r="L556" s="2" t="str">
        <f>IF(Sheet1[[#This Row],[claim_amount]]&lt;100000,"Low",IF(Sheet1[[#This Row],[claim_amount]]&lt;200000,"Medium","High"))</f>
        <v>High</v>
      </c>
      <c r="M556" s="2" t="str">
        <f>IF(Sheet1[[#This Row],[days_to_process]]&lt;=30,"Fast","Slow")</f>
        <v>Fast</v>
      </c>
    </row>
    <row r="557" spans="1:13" x14ac:dyDescent="0.3">
      <c r="A557" t="s">
        <v>1077</v>
      </c>
      <c r="B557" s="2" t="s">
        <v>1078</v>
      </c>
      <c r="C557" s="1">
        <v>44762</v>
      </c>
      <c r="D557" s="35">
        <v>45547.6</v>
      </c>
      <c r="E557" s="2" t="s">
        <v>10</v>
      </c>
      <c r="F557" s="2" t="s">
        <v>11</v>
      </c>
      <c r="G557" s="2" t="s">
        <v>12</v>
      </c>
      <c r="H557">
        <v>8</v>
      </c>
      <c r="I557" s="2" t="str">
        <f>TEXT(Sheet1[[#This Row],[claim_date]],"mmmm")</f>
        <v>July</v>
      </c>
      <c r="J557" s="2">
        <f>YEAR(Sheet1[[#This Row],[claim_date]])</f>
        <v>2022</v>
      </c>
      <c r="K557" s="2" t="str">
        <f>"Q"&amp;ROUNDUP(MONTH(Sheet1[[#This Row],[claim_date]])/3,0)</f>
        <v>Q3</v>
      </c>
      <c r="L557" s="2" t="str">
        <f>IF(Sheet1[[#This Row],[claim_amount]]&lt;100000,"Low",IF(Sheet1[[#This Row],[claim_amount]]&lt;200000,"Medium","High"))</f>
        <v>Low</v>
      </c>
      <c r="M557" s="2" t="str">
        <f>IF(Sheet1[[#This Row],[days_to_process]]&lt;=30,"Fast","Slow")</f>
        <v>Fast</v>
      </c>
    </row>
    <row r="558" spans="1:13" x14ac:dyDescent="0.3">
      <c r="A558" t="s">
        <v>1079</v>
      </c>
      <c r="B558" s="2" t="s">
        <v>1080</v>
      </c>
      <c r="C558" s="1">
        <v>45252</v>
      </c>
      <c r="D558" s="35">
        <v>29489.54</v>
      </c>
      <c r="E558" s="2" t="s">
        <v>19</v>
      </c>
      <c r="F558" s="2" t="s">
        <v>23</v>
      </c>
      <c r="G558" s="2" t="s">
        <v>12</v>
      </c>
      <c r="H558">
        <v>15</v>
      </c>
      <c r="I558" s="2" t="str">
        <f>TEXT(Sheet1[[#This Row],[claim_date]],"mmmm")</f>
        <v>November</v>
      </c>
      <c r="J558" s="2">
        <f>YEAR(Sheet1[[#This Row],[claim_date]])</f>
        <v>2023</v>
      </c>
      <c r="K558" s="2" t="str">
        <f>"Q"&amp;ROUNDUP(MONTH(Sheet1[[#This Row],[claim_date]])/3,0)</f>
        <v>Q4</v>
      </c>
      <c r="L558" s="2" t="str">
        <f>IF(Sheet1[[#This Row],[claim_amount]]&lt;100000,"Low",IF(Sheet1[[#This Row],[claim_amount]]&lt;200000,"Medium","High"))</f>
        <v>Low</v>
      </c>
      <c r="M558" s="2" t="str">
        <f>IF(Sheet1[[#This Row],[days_to_process]]&lt;=30,"Fast","Slow")</f>
        <v>Fast</v>
      </c>
    </row>
    <row r="559" spans="1:13" x14ac:dyDescent="0.3">
      <c r="A559" t="s">
        <v>1081</v>
      </c>
      <c r="B559" s="2" t="s">
        <v>1082</v>
      </c>
      <c r="C559" s="1">
        <v>45640</v>
      </c>
      <c r="D559" s="35">
        <v>43967.42</v>
      </c>
      <c r="E559" s="2" t="s">
        <v>15</v>
      </c>
      <c r="F559" s="2" t="s">
        <v>16</v>
      </c>
      <c r="G559" s="2" t="s">
        <v>12</v>
      </c>
      <c r="H559">
        <v>55</v>
      </c>
      <c r="I559" s="2" t="str">
        <f>TEXT(Sheet1[[#This Row],[claim_date]],"mmmm")</f>
        <v>December</v>
      </c>
      <c r="J559" s="2">
        <f>YEAR(Sheet1[[#This Row],[claim_date]])</f>
        <v>2024</v>
      </c>
      <c r="K559" s="2" t="str">
        <f>"Q"&amp;ROUNDUP(MONTH(Sheet1[[#This Row],[claim_date]])/3,0)</f>
        <v>Q4</v>
      </c>
      <c r="L559" s="2" t="str">
        <f>IF(Sheet1[[#This Row],[claim_amount]]&lt;100000,"Low",IF(Sheet1[[#This Row],[claim_amount]]&lt;200000,"Medium","High"))</f>
        <v>Low</v>
      </c>
      <c r="M559" s="2" t="str">
        <f>IF(Sheet1[[#This Row],[days_to_process]]&lt;=30,"Fast","Slow")</f>
        <v>Slow</v>
      </c>
    </row>
    <row r="560" spans="1:13" x14ac:dyDescent="0.3">
      <c r="A560" t="s">
        <v>1083</v>
      </c>
      <c r="B560" s="2" t="s">
        <v>1084</v>
      </c>
      <c r="C560" s="1">
        <v>45130</v>
      </c>
      <c r="D560" s="35">
        <v>439851.51</v>
      </c>
      <c r="E560" s="2" t="s">
        <v>19</v>
      </c>
      <c r="F560" s="2" t="s">
        <v>20</v>
      </c>
      <c r="G560" s="2" t="s">
        <v>24</v>
      </c>
      <c r="H560">
        <v>24</v>
      </c>
      <c r="I560" s="2" t="str">
        <f>TEXT(Sheet1[[#This Row],[claim_date]],"mmmm")</f>
        <v>July</v>
      </c>
      <c r="J560" s="2">
        <f>YEAR(Sheet1[[#This Row],[claim_date]])</f>
        <v>2023</v>
      </c>
      <c r="K560" s="2" t="str">
        <f>"Q"&amp;ROUNDUP(MONTH(Sheet1[[#This Row],[claim_date]])/3,0)</f>
        <v>Q3</v>
      </c>
      <c r="L560" s="2" t="str">
        <f>IF(Sheet1[[#This Row],[claim_amount]]&lt;100000,"Low",IF(Sheet1[[#This Row],[claim_amount]]&lt;200000,"Medium","High"))</f>
        <v>High</v>
      </c>
      <c r="M560" s="2" t="str">
        <f>IF(Sheet1[[#This Row],[days_to_process]]&lt;=30,"Fast","Slow")</f>
        <v>Fast</v>
      </c>
    </row>
    <row r="561" spans="1:13" x14ac:dyDescent="0.3">
      <c r="A561" t="s">
        <v>1085</v>
      </c>
      <c r="B561" s="2" t="s">
        <v>109</v>
      </c>
      <c r="C561" s="1">
        <v>45632</v>
      </c>
      <c r="D561" s="35">
        <v>169069.19</v>
      </c>
      <c r="E561" s="2" t="s">
        <v>19</v>
      </c>
      <c r="F561" s="2" t="s">
        <v>16</v>
      </c>
      <c r="G561" s="2" t="s">
        <v>12</v>
      </c>
      <c r="H561">
        <v>29</v>
      </c>
      <c r="I561" s="2" t="str">
        <f>TEXT(Sheet1[[#This Row],[claim_date]],"mmmm")</f>
        <v>December</v>
      </c>
      <c r="J561" s="2">
        <f>YEAR(Sheet1[[#This Row],[claim_date]])</f>
        <v>2024</v>
      </c>
      <c r="K561" s="2" t="str">
        <f>"Q"&amp;ROUNDUP(MONTH(Sheet1[[#This Row],[claim_date]])/3,0)</f>
        <v>Q4</v>
      </c>
      <c r="L561" s="2" t="str">
        <f>IF(Sheet1[[#This Row],[claim_amount]]&lt;100000,"Low",IF(Sheet1[[#This Row],[claim_amount]]&lt;200000,"Medium","High"))</f>
        <v>Medium</v>
      </c>
      <c r="M561" s="2" t="str">
        <f>IF(Sheet1[[#This Row],[days_to_process]]&lt;=30,"Fast","Slow")</f>
        <v>Fast</v>
      </c>
    </row>
    <row r="562" spans="1:13" x14ac:dyDescent="0.3">
      <c r="A562" t="s">
        <v>1086</v>
      </c>
      <c r="B562" s="2" t="s">
        <v>1087</v>
      </c>
      <c r="C562" s="1">
        <v>45621</v>
      </c>
      <c r="D562" s="35">
        <v>97798.71</v>
      </c>
      <c r="E562" s="2" t="s">
        <v>15</v>
      </c>
      <c r="F562" s="2" t="s">
        <v>23</v>
      </c>
      <c r="G562" s="2" t="s">
        <v>24</v>
      </c>
      <c r="H562">
        <v>29</v>
      </c>
      <c r="I562" s="2" t="str">
        <f>TEXT(Sheet1[[#This Row],[claim_date]],"mmmm")</f>
        <v>November</v>
      </c>
      <c r="J562" s="2">
        <f>YEAR(Sheet1[[#This Row],[claim_date]])</f>
        <v>2024</v>
      </c>
      <c r="K562" s="2" t="str">
        <f>"Q"&amp;ROUNDUP(MONTH(Sheet1[[#This Row],[claim_date]])/3,0)</f>
        <v>Q4</v>
      </c>
      <c r="L562" s="2" t="str">
        <f>IF(Sheet1[[#This Row],[claim_amount]]&lt;100000,"Low",IF(Sheet1[[#This Row],[claim_amount]]&lt;200000,"Medium","High"))</f>
        <v>Low</v>
      </c>
      <c r="M562" s="2" t="str">
        <f>IF(Sheet1[[#This Row],[days_to_process]]&lt;=30,"Fast","Slow")</f>
        <v>Fast</v>
      </c>
    </row>
    <row r="563" spans="1:13" x14ac:dyDescent="0.3">
      <c r="A563" t="s">
        <v>1088</v>
      </c>
      <c r="B563" s="2" t="s">
        <v>1089</v>
      </c>
      <c r="C563" s="1">
        <v>45533</v>
      </c>
      <c r="D563" s="35">
        <v>260461.68</v>
      </c>
      <c r="E563" s="2" t="s">
        <v>10</v>
      </c>
      <c r="F563" s="2" t="s">
        <v>34</v>
      </c>
      <c r="G563" s="2" t="s">
        <v>24</v>
      </c>
      <c r="H563">
        <v>31</v>
      </c>
      <c r="I563" s="2" t="str">
        <f>TEXT(Sheet1[[#This Row],[claim_date]],"mmmm")</f>
        <v>August</v>
      </c>
      <c r="J563" s="2">
        <f>YEAR(Sheet1[[#This Row],[claim_date]])</f>
        <v>2024</v>
      </c>
      <c r="K563" s="2" t="str">
        <f>"Q"&amp;ROUNDUP(MONTH(Sheet1[[#This Row],[claim_date]])/3,0)</f>
        <v>Q3</v>
      </c>
      <c r="L563" s="2" t="str">
        <f>IF(Sheet1[[#This Row],[claim_amount]]&lt;100000,"Low",IF(Sheet1[[#This Row],[claim_amount]]&lt;200000,"Medium","High"))</f>
        <v>High</v>
      </c>
      <c r="M563" s="2" t="str">
        <f>IF(Sheet1[[#This Row],[days_to_process]]&lt;=30,"Fast","Slow")</f>
        <v>Slow</v>
      </c>
    </row>
    <row r="564" spans="1:13" x14ac:dyDescent="0.3">
      <c r="A564" t="s">
        <v>1090</v>
      </c>
      <c r="B564" s="2" t="s">
        <v>1091</v>
      </c>
      <c r="C564" s="1">
        <v>45494</v>
      </c>
      <c r="D564" s="35">
        <v>250870.05</v>
      </c>
      <c r="E564" s="2" t="s">
        <v>15</v>
      </c>
      <c r="F564" s="2" t="s">
        <v>16</v>
      </c>
      <c r="G564" s="2" t="s">
        <v>12</v>
      </c>
      <c r="H564">
        <v>2</v>
      </c>
      <c r="I564" s="2" t="str">
        <f>TEXT(Sheet1[[#This Row],[claim_date]],"mmmm")</f>
        <v>July</v>
      </c>
      <c r="J564" s="2">
        <f>YEAR(Sheet1[[#This Row],[claim_date]])</f>
        <v>2024</v>
      </c>
      <c r="K564" s="2" t="str">
        <f>"Q"&amp;ROUNDUP(MONTH(Sheet1[[#This Row],[claim_date]])/3,0)</f>
        <v>Q3</v>
      </c>
      <c r="L564" s="2" t="str">
        <f>IF(Sheet1[[#This Row],[claim_amount]]&lt;100000,"Low",IF(Sheet1[[#This Row],[claim_amount]]&lt;200000,"Medium","High"))</f>
        <v>High</v>
      </c>
      <c r="M564" s="2" t="str">
        <f>IF(Sheet1[[#This Row],[days_to_process]]&lt;=30,"Fast","Slow")</f>
        <v>Fast</v>
      </c>
    </row>
    <row r="565" spans="1:13" x14ac:dyDescent="0.3">
      <c r="A565" t="s">
        <v>1092</v>
      </c>
      <c r="B565" s="2" t="s">
        <v>1093</v>
      </c>
      <c r="C565" s="1">
        <v>45653</v>
      </c>
      <c r="D565" s="35">
        <v>15195.21</v>
      </c>
      <c r="E565" s="2" t="s">
        <v>19</v>
      </c>
      <c r="F565" s="2" t="s">
        <v>23</v>
      </c>
      <c r="G565" s="2" t="s">
        <v>24</v>
      </c>
      <c r="H565">
        <v>54</v>
      </c>
      <c r="I565" s="2" t="str">
        <f>TEXT(Sheet1[[#This Row],[claim_date]],"mmmm")</f>
        <v>December</v>
      </c>
      <c r="J565" s="2">
        <f>YEAR(Sheet1[[#This Row],[claim_date]])</f>
        <v>2024</v>
      </c>
      <c r="K565" s="2" t="str">
        <f>"Q"&amp;ROUNDUP(MONTH(Sheet1[[#This Row],[claim_date]])/3,0)</f>
        <v>Q4</v>
      </c>
      <c r="L565" s="2" t="str">
        <f>IF(Sheet1[[#This Row],[claim_amount]]&lt;100000,"Low",IF(Sheet1[[#This Row],[claim_amount]]&lt;200000,"Medium","High"))</f>
        <v>Low</v>
      </c>
      <c r="M565" s="2" t="str">
        <f>IF(Sheet1[[#This Row],[days_to_process]]&lt;=30,"Fast","Slow")</f>
        <v>Slow</v>
      </c>
    </row>
    <row r="566" spans="1:13" x14ac:dyDescent="0.3">
      <c r="A566" t="s">
        <v>1094</v>
      </c>
      <c r="B566" s="2" t="s">
        <v>1095</v>
      </c>
      <c r="C566" s="1">
        <v>44940</v>
      </c>
      <c r="D566" s="35">
        <v>100676.14</v>
      </c>
      <c r="E566" s="2" t="s">
        <v>19</v>
      </c>
      <c r="F566" s="2" t="s">
        <v>11</v>
      </c>
      <c r="G566" s="2" t="s">
        <v>12</v>
      </c>
      <c r="H566">
        <v>23</v>
      </c>
      <c r="I566" s="2" t="str">
        <f>TEXT(Sheet1[[#This Row],[claim_date]],"mmmm")</f>
        <v>January</v>
      </c>
      <c r="J566" s="2">
        <f>YEAR(Sheet1[[#This Row],[claim_date]])</f>
        <v>2023</v>
      </c>
      <c r="K566" s="2" t="str">
        <f>"Q"&amp;ROUNDUP(MONTH(Sheet1[[#This Row],[claim_date]])/3,0)</f>
        <v>Q1</v>
      </c>
      <c r="L566" s="2" t="str">
        <f>IF(Sheet1[[#This Row],[claim_amount]]&lt;100000,"Low",IF(Sheet1[[#This Row],[claim_amount]]&lt;200000,"Medium","High"))</f>
        <v>Medium</v>
      </c>
      <c r="M566" s="2" t="str">
        <f>IF(Sheet1[[#This Row],[days_to_process]]&lt;=30,"Fast","Slow")</f>
        <v>Fast</v>
      </c>
    </row>
    <row r="567" spans="1:13" x14ac:dyDescent="0.3">
      <c r="A567" t="s">
        <v>1096</v>
      </c>
      <c r="B567" s="2" t="s">
        <v>1097</v>
      </c>
      <c r="C567" s="1">
        <v>45408</v>
      </c>
      <c r="D567" s="35">
        <v>62949.09</v>
      </c>
      <c r="E567" s="2" t="s">
        <v>19</v>
      </c>
      <c r="F567" s="2" t="s">
        <v>11</v>
      </c>
      <c r="G567" s="2" t="s">
        <v>24</v>
      </c>
      <c r="H567">
        <v>45</v>
      </c>
      <c r="I567" s="2" t="str">
        <f>TEXT(Sheet1[[#This Row],[claim_date]],"mmmm")</f>
        <v>April</v>
      </c>
      <c r="J567" s="2">
        <f>YEAR(Sheet1[[#This Row],[claim_date]])</f>
        <v>2024</v>
      </c>
      <c r="K567" s="2" t="str">
        <f>"Q"&amp;ROUNDUP(MONTH(Sheet1[[#This Row],[claim_date]])/3,0)</f>
        <v>Q2</v>
      </c>
      <c r="L567" s="2" t="str">
        <f>IF(Sheet1[[#This Row],[claim_amount]]&lt;100000,"Low",IF(Sheet1[[#This Row],[claim_amount]]&lt;200000,"Medium","High"))</f>
        <v>Low</v>
      </c>
      <c r="M567" s="2" t="str">
        <f>IF(Sheet1[[#This Row],[days_to_process]]&lt;=30,"Fast","Slow")</f>
        <v>Slow</v>
      </c>
    </row>
    <row r="568" spans="1:13" x14ac:dyDescent="0.3">
      <c r="A568" t="s">
        <v>1098</v>
      </c>
      <c r="B568" s="2" t="s">
        <v>1099</v>
      </c>
      <c r="C568" s="1">
        <v>44872</v>
      </c>
      <c r="D568" s="35">
        <v>310115.18</v>
      </c>
      <c r="E568" s="2" t="s">
        <v>19</v>
      </c>
      <c r="F568" s="2" t="s">
        <v>11</v>
      </c>
      <c r="G568" s="2" t="s">
        <v>12</v>
      </c>
      <c r="H568">
        <v>19</v>
      </c>
      <c r="I568" s="2" t="str">
        <f>TEXT(Sheet1[[#This Row],[claim_date]],"mmmm")</f>
        <v>November</v>
      </c>
      <c r="J568" s="2">
        <f>YEAR(Sheet1[[#This Row],[claim_date]])</f>
        <v>2022</v>
      </c>
      <c r="K568" s="2" t="str">
        <f>"Q"&amp;ROUNDUP(MONTH(Sheet1[[#This Row],[claim_date]])/3,0)</f>
        <v>Q4</v>
      </c>
      <c r="L568" s="2" t="str">
        <f>IF(Sheet1[[#This Row],[claim_amount]]&lt;100000,"Low",IF(Sheet1[[#This Row],[claim_amount]]&lt;200000,"Medium","High"))</f>
        <v>High</v>
      </c>
      <c r="M568" s="2" t="str">
        <f>IF(Sheet1[[#This Row],[days_to_process]]&lt;=30,"Fast","Slow")</f>
        <v>Fast</v>
      </c>
    </row>
    <row r="569" spans="1:13" x14ac:dyDescent="0.3">
      <c r="A569" t="s">
        <v>1100</v>
      </c>
      <c r="B569" s="2" t="s">
        <v>194</v>
      </c>
      <c r="C569" s="1">
        <v>45278</v>
      </c>
      <c r="D569" s="35">
        <v>360929.83</v>
      </c>
      <c r="E569" s="2" t="s">
        <v>15</v>
      </c>
      <c r="F569" s="2" t="s">
        <v>23</v>
      </c>
      <c r="G569" s="2" t="s">
        <v>24</v>
      </c>
      <c r="H569">
        <v>12</v>
      </c>
      <c r="I569" s="2" t="str">
        <f>TEXT(Sheet1[[#This Row],[claim_date]],"mmmm")</f>
        <v>December</v>
      </c>
      <c r="J569" s="2">
        <f>YEAR(Sheet1[[#This Row],[claim_date]])</f>
        <v>2023</v>
      </c>
      <c r="K569" s="2" t="str">
        <f>"Q"&amp;ROUNDUP(MONTH(Sheet1[[#This Row],[claim_date]])/3,0)</f>
        <v>Q4</v>
      </c>
      <c r="L569" s="2" t="str">
        <f>IF(Sheet1[[#This Row],[claim_amount]]&lt;100000,"Low",IF(Sheet1[[#This Row],[claim_amount]]&lt;200000,"Medium","High"))</f>
        <v>High</v>
      </c>
      <c r="M569" s="2" t="str">
        <f>IF(Sheet1[[#This Row],[days_to_process]]&lt;=30,"Fast","Slow")</f>
        <v>Fast</v>
      </c>
    </row>
    <row r="570" spans="1:13" x14ac:dyDescent="0.3">
      <c r="A570" t="s">
        <v>1101</v>
      </c>
      <c r="B570" s="2" t="s">
        <v>1102</v>
      </c>
      <c r="C570" s="1">
        <v>44670</v>
      </c>
      <c r="D570" s="35">
        <v>441160.03</v>
      </c>
      <c r="E570" s="2" t="s">
        <v>15</v>
      </c>
      <c r="F570" s="2" t="s">
        <v>23</v>
      </c>
      <c r="G570" s="2" t="s">
        <v>24</v>
      </c>
      <c r="H570">
        <v>5</v>
      </c>
      <c r="I570" s="2" t="str">
        <f>TEXT(Sheet1[[#This Row],[claim_date]],"mmmm")</f>
        <v>April</v>
      </c>
      <c r="J570" s="2">
        <f>YEAR(Sheet1[[#This Row],[claim_date]])</f>
        <v>2022</v>
      </c>
      <c r="K570" s="2" t="str">
        <f>"Q"&amp;ROUNDUP(MONTH(Sheet1[[#This Row],[claim_date]])/3,0)</f>
        <v>Q2</v>
      </c>
      <c r="L570" s="2" t="str">
        <f>IF(Sheet1[[#This Row],[claim_amount]]&lt;100000,"Low",IF(Sheet1[[#This Row],[claim_amount]]&lt;200000,"Medium","High"))</f>
        <v>High</v>
      </c>
      <c r="M570" s="2" t="str">
        <f>IF(Sheet1[[#This Row],[days_to_process]]&lt;=30,"Fast","Slow")</f>
        <v>Fast</v>
      </c>
    </row>
    <row r="571" spans="1:13" x14ac:dyDescent="0.3">
      <c r="A571" t="s">
        <v>1103</v>
      </c>
      <c r="B571" s="2" t="s">
        <v>1104</v>
      </c>
      <c r="C571" s="1">
        <v>44751</v>
      </c>
      <c r="D571" s="35">
        <v>232780.06</v>
      </c>
      <c r="E571" s="2" t="s">
        <v>10</v>
      </c>
      <c r="F571" s="2" t="s">
        <v>20</v>
      </c>
      <c r="G571" s="2" t="s">
        <v>12</v>
      </c>
      <c r="H571">
        <v>41</v>
      </c>
      <c r="I571" s="2" t="str">
        <f>TEXT(Sheet1[[#This Row],[claim_date]],"mmmm")</f>
        <v>July</v>
      </c>
      <c r="J571" s="2">
        <f>YEAR(Sheet1[[#This Row],[claim_date]])</f>
        <v>2022</v>
      </c>
      <c r="K571" s="2" t="str">
        <f>"Q"&amp;ROUNDUP(MONTH(Sheet1[[#This Row],[claim_date]])/3,0)</f>
        <v>Q3</v>
      </c>
      <c r="L571" s="2" t="str">
        <f>IF(Sheet1[[#This Row],[claim_amount]]&lt;100000,"Low",IF(Sheet1[[#This Row],[claim_amount]]&lt;200000,"Medium","High"))</f>
        <v>High</v>
      </c>
      <c r="M571" s="2" t="str">
        <f>IF(Sheet1[[#This Row],[days_to_process]]&lt;=30,"Fast","Slow")</f>
        <v>Slow</v>
      </c>
    </row>
    <row r="572" spans="1:13" x14ac:dyDescent="0.3">
      <c r="A572" t="s">
        <v>1105</v>
      </c>
      <c r="B572" s="2" t="s">
        <v>732</v>
      </c>
      <c r="C572" s="1">
        <v>45509</v>
      </c>
      <c r="D572" s="35">
        <v>409378.04</v>
      </c>
      <c r="E572" s="2" t="s">
        <v>19</v>
      </c>
      <c r="F572" s="2" t="s">
        <v>11</v>
      </c>
      <c r="G572" s="2" t="s">
        <v>24</v>
      </c>
      <c r="H572">
        <v>2</v>
      </c>
      <c r="I572" s="2" t="str">
        <f>TEXT(Sheet1[[#This Row],[claim_date]],"mmmm")</f>
        <v>August</v>
      </c>
      <c r="J572" s="2">
        <f>YEAR(Sheet1[[#This Row],[claim_date]])</f>
        <v>2024</v>
      </c>
      <c r="K572" s="2" t="str">
        <f>"Q"&amp;ROUNDUP(MONTH(Sheet1[[#This Row],[claim_date]])/3,0)</f>
        <v>Q3</v>
      </c>
      <c r="L572" s="2" t="str">
        <f>IF(Sheet1[[#This Row],[claim_amount]]&lt;100000,"Low",IF(Sheet1[[#This Row],[claim_amount]]&lt;200000,"Medium","High"))</f>
        <v>High</v>
      </c>
      <c r="M572" s="2" t="str">
        <f>IF(Sheet1[[#This Row],[days_to_process]]&lt;=30,"Fast","Slow")</f>
        <v>Fast</v>
      </c>
    </row>
    <row r="573" spans="1:13" x14ac:dyDescent="0.3">
      <c r="A573" t="s">
        <v>1106</v>
      </c>
      <c r="B573" s="2" t="s">
        <v>437</v>
      </c>
      <c r="C573" s="1">
        <v>45283</v>
      </c>
      <c r="D573" s="35">
        <v>450128.24</v>
      </c>
      <c r="E573" s="2" t="s">
        <v>10</v>
      </c>
      <c r="F573" s="2" t="s">
        <v>11</v>
      </c>
      <c r="G573" s="2" t="s">
        <v>12</v>
      </c>
      <c r="H573">
        <v>6</v>
      </c>
      <c r="I573" s="2" t="str">
        <f>TEXT(Sheet1[[#This Row],[claim_date]],"mmmm")</f>
        <v>December</v>
      </c>
      <c r="J573" s="2">
        <f>YEAR(Sheet1[[#This Row],[claim_date]])</f>
        <v>2023</v>
      </c>
      <c r="K573" s="2" t="str">
        <f>"Q"&amp;ROUNDUP(MONTH(Sheet1[[#This Row],[claim_date]])/3,0)</f>
        <v>Q4</v>
      </c>
      <c r="L573" s="2" t="str">
        <f>IF(Sheet1[[#This Row],[claim_amount]]&lt;100000,"Low",IF(Sheet1[[#This Row],[claim_amount]]&lt;200000,"Medium","High"))</f>
        <v>High</v>
      </c>
      <c r="M573" s="2" t="str">
        <f>IF(Sheet1[[#This Row],[days_to_process]]&lt;=30,"Fast","Slow")</f>
        <v>Fast</v>
      </c>
    </row>
    <row r="574" spans="1:13" x14ac:dyDescent="0.3">
      <c r="A574" t="s">
        <v>1107</v>
      </c>
      <c r="B574" s="2" t="s">
        <v>1108</v>
      </c>
      <c r="C574" s="1">
        <v>44955</v>
      </c>
      <c r="D574" s="35">
        <v>475405.98</v>
      </c>
      <c r="E574" s="2" t="s">
        <v>15</v>
      </c>
      <c r="F574" s="2" t="s">
        <v>11</v>
      </c>
      <c r="G574" s="2" t="s">
        <v>12</v>
      </c>
      <c r="H574">
        <v>13</v>
      </c>
      <c r="I574" s="2" t="str">
        <f>TEXT(Sheet1[[#This Row],[claim_date]],"mmmm")</f>
        <v>January</v>
      </c>
      <c r="J574" s="2">
        <f>YEAR(Sheet1[[#This Row],[claim_date]])</f>
        <v>2023</v>
      </c>
      <c r="K574" s="2" t="str">
        <f>"Q"&amp;ROUNDUP(MONTH(Sheet1[[#This Row],[claim_date]])/3,0)</f>
        <v>Q1</v>
      </c>
      <c r="L574" s="2" t="str">
        <f>IF(Sheet1[[#This Row],[claim_amount]]&lt;100000,"Low",IF(Sheet1[[#This Row],[claim_amount]]&lt;200000,"Medium","High"))</f>
        <v>High</v>
      </c>
      <c r="M574" s="2" t="str">
        <f>IF(Sheet1[[#This Row],[days_to_process]]&lt;=30,"Fast","Slow")</f>
        <v>Fast</v>
      </c>
    </row>
    <row r="575" spans="1:13" x14ac:dyDescent="0.3">
      <c r="A575" t="s">
        <v>1109</v>
      </c>
      <c r="B575" s="2" t="s">
        <v>245</v>
      </c>
      <c r="C575" s="1">
        <v>44747</v>
      </c>
      <c r="D575" s="35">
        <v>384696.16</v>
      </c>
      <c r="E575" s="2" t="s">
        <v>19</v>
      </c>
      <c r="F575" s="2" t="s">
        <v>23</v>
      </c>
      <c r="G575" s="2" t="s">
        <v>12</v>
      </c>
      <c r="H575">
        <v>45</v>
      </c>
      <c r="I575" s="2" t="str">
        <f>TEXT(Sheet1[[#This Row],[claim_date]],"mmmm")</f>
        <v>July</v>
      </c>
      <c r="J575" s="2">
        <f>YEAR(Sheet1[[#This Row],[claim_date]])</f>
        <v>2022</v>
      </c>
      <c r="K575" s="2" t="str">
        <f>"Q"&amp;ROUNDUP(MONTH(Sheet1[[#This Row],[claim_date]])/3,0)</f>
        <v>Q3</v>
      </c>
      <c r="L575" s="2" t="str">
        <f>IF(Sheet1[[#This Row],[claim_amount]]&lt;100000,"Low",IF(Sheet1[[#This Row],[claim_amount]]&lt;200000,"Medium","High"))</f>
        <v>High</v>
      </c>
      <c r="M575" s="2" t="str">
        <f>IF(Sheet1[[#This Row],[days_to_process]]&lt;=30,"Fast","Slow")</f>
        <v>Slow</v>
      </c>
    </row>
    <row r="576" spans="1:13" x14ac:dyDescent="0.3">
      <c r="A576" t="s">
        <v>1110</v>
      </c>
      <c r="B576" s="2" t="s">
        <v>1111</v>
      </c>
      <c r="C576" s="1">
        <v>45064</v>
      </c>
      <c r="D576" s="35">
        <v>126199.29</v>
      </c>
      <c r="E576" s="2" t="s">
        <v>19</v>
      </c>
      <c r="F576" s="2" t="s">
        <v>23</v>
      </c>
      <c r="G576" s="2" t="s">
        <v>24</v>
      </c>
      <c r="H576">
        <v>49</v>
      </c>
      <c r="I576" s="2" t="str">
        <f>TEXT(Sheet1[[#This Row],[claim_date]],"mmmm")</f>
        <v>May</v>
      </c>
      <c r="J576" s="2">
        <f>YEAR(Sheet1[[#This Row],[claim_date]])</f>
        <v>2023</v>
      </c>
      <c r="K576" s="2" t="str">
        <f>"Q"&amp;ROUNDUP(MONTH(Sheet1[[#This Row],[claim_date]])/3,0)</f>
        <v>Q2</v>
      </c>
      <c r="L576" s="2" t="str">
        <f>IF(Sheet1[[#This Row],[claim_amount]]&lt;100000,"Low",IF(Sheet1[[#This Row],[claim_amount]]&lt;200000,"Medium","High"))</f>
        <v>Medium</v>
      </c>
      <c r="M576" s="2" t="str">
        <f>IF(Sheet1[[#This Row],[days_to_process]]&lt;=30,"Fast","Slow")</f>
        <v>Slow</v>
      </c>
    </row>
    <row r="577" spans="1:13" x14ac:dyDescent="0.3">
      <c r="A577" t="s">
        <v>1112</v>
      </c>
      <c r="B577" s="2" t="s">
        <v>806</v>
      </c>
      <c r="C577" s="1">
        <v>45320</v>
      </c>
      <c r="D577" s="35">
        <v>338160.11</v>
      </c>
      <c r="E577" s="2" t="s">
        <v>15</v>
      </c>
      <c r="F577" s="2" t="s">
        <v>34</v>
      </c>
      <c r="G577" s="2" t="s">
        <v>24</v>
      </c>
      <c r="H577">
        <v>21</v>
      </c>
      <c r="I577" s="2" t="str">
        <f>TEXT(Sheet1[[#This Row],[claim_date]],"mmmm")</f>
        <v>January</v>
      </c>
      <c r="J577" s="2">
        <f>YEAR(Sheet1[[#This Row],[claim_date]])</f>
        <v>2024</v>
      </c>
      <c r="K577" s="2" t="str">
        <f>"Q"&amp;ROUNDUP(MONTH(Sheet1[[#This Row],[claim_date]])/3,0)</f>
        <v>Q1</v>
      </c>
      <c r="L577" s="2" t="str">
        <f>IF(Sheet1[[#This Row],[claim_amount]]&lt;100000,"Low",IF(Sheet1[[#This Row],[claim_amount]]&lt;200000,"Medium","High"))</f>
        <v>High</v>
      </c>
      <c r="M577" s="2" t="str">
        <f>IF(Sheet1[[#This Row],[days_to_process]]&lt;=30,"Fast","Slow")</f>
        <v>Fast</v>
      </c>
    </row>
    <row r="578" spans="1:13" x14ac:dyDescent="0.3">
      <c r="A578" t="s">
        <v>1113</v>
      </c>
      <c r="B578" s="2" t="s">
        <v>1114</v>
      </c>
      <c r="C578" s="1">
        <v>44522</v>
      </c>
      <c r="D578" s="35">
        <v>198352.72</v>
      </c>
      <c r="E578" s="2" t="s">
        <v>15</v>
      </c>
      <c r="F578" s="2" t="s">
        <v>34</v>
      </c>
      <c r="G578" s="2" t="s">
        <v>12</v>
      </c>
      <c r="H578">
        <v>5</v>
      </c>
      <c r="I578" s="2" t="str">
        <f>TEXT(Sheet1[[#This Row],[claim_date]],"mmmm")</f>
        <v>November</v>
      </c>
      <c r="J578" s="2">
        <f>YEAR(Sheet1[[#This Row],[claim_date]])</f>
        <v>2021</v>
      </c>
      <c r="K578" s="2" t="str">
        <f>"Q"&amp;ROUNDUP(MONTH(Sheet1[[#This Row],[claim_date]])/3,0)</f>
        <v>Q4</v>
      </c>
      <c r="L578" s="2" t="str">
        <f>IF(Sheet1[[#This Row],[claim_amount]]&lt;100000,"Low",IF(Sheet1[[#This Row],[claim_amount]]&lt;200000,"Medium","High"))</f>
        <v>Medium</v>
      </c>
      <c r="M578" s="2" t="str">
        <f>IF(Sheet1[[#This Row],[days_to_process]]&lt;=30,"Fast","Slow")</f>
        <v>Fast</v>
      </c>
    </row>
    <row r="579" spans="1:13" x14ac:dyDescent="0.3">
      <c r="A579" t="s">
        <v>1115</v>
      </c>
      <c r="B579" s="2" t="s">
        <v>1116</v>
      </c>
      <c r="C579" s="1">
        <v>45050</v>
      </c>
      <c r="D579" s="35">
        <v>192458.68</v>
      </c>
      <c r="E579" s="2" t="s">
        <v>15</v>
      </c>
      <c r="F579" s="2" t="s">
        <v>34</v>
      </c>
      <c r="G579" s="2" t="s">
        <v>24</v>
      </c>
      <c r="H579">
        <v>23</v>
      </c>
      <c r="I579" s="2" t="str">
        <f>TEXT(Sheet1[[#This Row],[claim_date]],"mmmm")</f>
        <v>May</v>
      </c>
      <c r="J579" s="2">
        <f>YEAR(Sheet1[[#This Row],[claim_date]])</f>
        <v>2023</v>
      </c>
      <c r="K579" s="2" t="str">
        <f>"Q"&amp;ROUNDUP(MONTH(Sheet1[[#This Row],[claim_date]])/3,0)</f>
        <v>Q2</v>
      </c>
      <c r="L579" s="2" t="str">
        <f>IF(Sheet1[[#This Row],[claim_amount]]&lt;100000,"Low",IF(Sheet1[[#This Row],[claim_amount]]&lt;200000,"Medium","High"))</f>
        <v>Medium</v>
      </c>
      <c r="M579" s="2" t="str">
        <f>IF(Sheet1[[#This Row],[days_to_process]]&lt;=30,"Fast","Slow")</f>
        <v>Fast</v>
      </c>
    </row>
    <row r="580" spans="1:13" x14ac:dyDescent="0.3">
      <c r="A580" t="s">
        <v>1117</v>
      </c>
      <c r="B580" s="2" t="s">
        <v>1118</v>
      </c>
      <c r="C580" s="1">
        <v>45026</v>
      </c>
      <c r="D580" s="35">
        <v>36813.82</v>
      </c>
      <c r="E580" s="2" t="s">
        <v>15</v>
      </c>
      <c r="F580" s="2" t="s">
        <v>11</v>
      </c>
      <c r="G580" s="2" t="s">
        <v>24</v>
      </c>
      <c r="H580">
        <v>57</v>
      </c>
      <c r="I580" s="2" t="str">
        <f>TEXT(Sheet1[[#This Row],[claim_date]],"mmmm")</f>
        <v>April</v>
      </c>
      <c r="J580" s="2">
        <f>YEAR(Sheet1[[#This Row],[claim_date]])</f>
        <v>2023</v>
      </c>
      <c r="K580" s="2" t="str">
        <f>"Q"&amp;ROUNDUP(MONTH(Sheet1[[#This Row],[claim_date]])/3,0)</f>
        <v>Q2</v>
      </c>
      <c r="L580" s="2" t="str">
        <f>IF(Sheet1[[#This Row],[claim_amount]]&lt;100000,"Low",IF(Sheet1[[#This Row],[claim_amount]]&lt;200000,"Medium","High"))</f>
        <v>Low</v>
      </c>
      <c r="M580" s="2" t="str">
        <f>IF(Sheet1[[#This Row],[days_to_process]]&lt;=30,"Fast","Slow")</f>
        <v>Slow</v>
      </c>
    </row>
    <row r="581" spans="1:13" x14ac:dyDescent="0.3">
      <c r="A581" t="s">
        <v>1119</v>
      </c>
      <c r="B581" s="2" t="s">
        <v>1120</v>
      </c>
      <c r="C581" s="1">
        <v>45510</v>
      </c>
      <c r="D581" s="35">
        <v>193145.06</v>
      </c>
      <c r="E581" s="2" t="s">
        <v>19</v>
      </c>
      <c r="F581" s="2" t="s">
        <v>11</v>
      </c>
      <c r="G581" s="2" t="s">
        <v>12</v>
      </c>
      <c r="H581">
        <v>54</v>
      </c>
      <c r="I581" s="2" t="str">
        <f>TEXT(Sheet1[[#This Row],[claim_date]],"mmmm")</f>
        <v>August</v>
      </c>
      <c r="J581" s="2">
        <f>YEAR(Sheet1[[#This Row],[claim_date]])</f>
        <v>2024</v>
      </c>
      <c r="K581" s="2" t="str">
        <f>"Q"&amp;ROUNDUP(MONTH(Sheet1[[#This Row],[claim_date]])/3,0)</f>
        <v>Q3</v>
      </c>
      <c r="L581" s="2" t="str">
        <f>IF(Sheet1[[#This Row],[claim_amount]]&lt;100000,"Low",IF(Sheet1[[#This Row],[claim_amount]]&lt;200000,"Medium","High"))</f>
        <v>Medium</v>
      </c>
      <c r="M581" s="2" t="str">
        <f>IF(Sheet1[[#This Row],[days_to_process]]&lt;=30,"Fast","Slow")</f>
        <v>Slow</v>
      </c>
    </row>
    <row r="582" spans="1:13" x14ac:dyDescent="0.3">
      <c r="A582" t="s">
        <v>1121</v>
      </c>
      <c r="B582" s="2" t="s">
        <v>1122</v>
      </c>
      <c r="C582" s="1">
        <v>44967</v>
      </c>
      <c r="D582" s="35">
        <v>39003.769999999997</v>
      </c>
      <c r="E582" s="2" t="s">
        <v>10</v>
      </c>
      <c r="F582" s="2" t="s">
        <v>34</v>
      </c>
      <c r="G582" s="2" t="s">
        <v>12</v>
      </c>
      <c r="H582">
        <v>9</v>
      </c>
      <c r="I582" s="2" t="str">
        <f>TEXT(Sheet1[[#This Row],[claim_date]],"mmmm")</f>
        <v>February</v>
      </c>
      <c r="J582" s="2">
        <f>YEAR(Sheet1[[#This Row],[claim_date]])</f>
        <v>2023</v>
      </c>
      <c r="K582" s="2" t="str">
        <f>"Q"&amp;ROUNDUP(MONTH(Sheet1[[#This Row],[claim_date]])/3,0)</f>
        <v>Q1</v>
      </c>
      <c r="L582" s="2" t="str">
        <f>IF(Sheet1[[#This Row],[claim_amount]]&lt;100000,"Low",IF(Sheet1[[#This Row],[claim_amount]]&lt;200000,"Medium","High"))</f>
        <v>Low</v>
      </c>
      <c r="M582" s="2" t="str">
        <f>IF(Sheet1[[#This Row],[days_to_process]]&lt;=30,"Fast","Slow")</f>
        <v>Fast</v>
      </c>
    </row>
    <row r="583" spans="1:13" x14ac:dyDescent="0.3">
      <c r="A583" t="s">
        <v>1123</v>
      </c>
      <c r="B583" s="2" t="s">
        <v>1124</v>
      </c>
      <c r="C583" s="1">
        <v>45703</v>
      </c>
      <c r="D583" s="35">
        <v>313416.19</v>
      </c>
      <c r="E583" s="2" t="s">
        <v>15</v>
      </c>
      <c r="F583" s="2" t="s">
        <v>11</v>
      </c>
      <c r="G583" s="2" t="s">
        <v>24</v>
      </c>
      <c r="H583">
        <v>19</v>
      </c>
      <c r="I583" s="2" t="str">
        <f>TEXT(Sheet1[[#This Row],[claim_date]],"mmmm")</f>
        <v>February</v>
      </c>
      <c r="J583" s="2">
        <f>YEAR(Sheet1[[#This Row],[claim_date]])</f>
        <v>2025</v>
      </c>
      <c r="K583" s="2" t="str">
        <f>"Q"&amp;ROUNDUP(MONTH(Sheet1[[#This Row],[claim_date]])/3,0)</f>
        <v>Q1</v>
      </c>
      <c r="L583" s="2" t="str">
        <f>IF(Sheet1[[#This Row],[claim_amount]]&lt;100000,"Low",IF(Sheet1[[#This Row],[claim_amount]]&lt;200000,"Medium","High"))</f>
        <v>High</v>
      </c>
      <c r="M583" s="2" t="str">
        <f>IF(Sheet1[[#This Row],[days_to_process]]&lt;=30,"Fast","Slow")</f>
        <v>Fast</v>
      </c>
    </row>
    <row r="584" spans="1:13" x14ac:dyDescent="0.3">
      <c r="A584" t="s">
        <v>1125</v>
      </c>
      <c r="B584" s="2" t="s">
        <v>1126</v>
      </c>
      <c r="C584" s="1">
        <v>44691</v>
      </c>
      <c r="D584" s="35">
        <v>404407.15</v>
      </c>
      <c r="E584" s="2" t="s">
        <v>15</v>
      </c>
      <c r="F584" s="2" t="s">
        <v>11</v>
      </c>
      <c r="G584" s="2" t="s">
        <v>24</v>
      </c>
      <c r="H584">
        <v>4</v>
      </c>
      <c r="I584" s="2" t="str">
        <f>TEXT(Sheet1[[#This Row],[claim_date]],"mmmm")</f>
        <v>May</v>
      </c>
      <c r="J584" s="2">
        <f>YEAR(Sheet1[[#This Row],[claim_date]])</f>
        <v>2022</v>
      </c>
      <c r="K584" s="2" t="str">
        <f>"Q"&amp;ROUNDUP(MONTH(Sheet1[[#This Row],[claim_date]])/3,0)</f>
        <v>Q2</v>
      </c>
      <c r="L584" s="2" t="str">
        <f>IF(Sheet1[[#This Row],[claim_amount]]&lt;100000,"Low",IF(Sheet1[[#This Row],[claim_amount]]&lt;200000,"Medium","High"))</f>
        <v>High</v>
      </c>
      <c r="M584" s="2" t="str">
        <f>IF(Sheet1[[#This Row],[days_to_process]]&lt;=30,"Fast","Slow")</f>
        <v>Fast</v>
      </c>
    </row>
    <row r="585" spans="1:13" x14ac:dyDescent="0.3">
      <c r="A585" t="s">
        <v>1127</v>
      </c>
      <c r="B585" s="2" t="s">
        <v>525</v>
      </c>
      <c r="C585" s="1">
        <v>45680</v>
      </c>
      <c r="D585" s="35">
        <v>372763.44</v>
      </c>
      <c r="E585" s="2" t="s">
        <v>10</v>
      </c>
      <c r="F585" s="2" t="s">
        <v>20</v>
      </c>
      <c r="G585" s="2" t="s">
        <v>12</v>
      </c>
      <c r="H585">
        <v>47</v>
      </c>
      <c r="I585" s="2" t="str">
        <f>TEXT(Sheet1[[#This Row],[claim_date]],"mmmm")</f>
        <v>January</v>
      </c>
      <c r="J585" s="2">
        <f>YEAR(Sheet1[[#This Row],[claim_date]])</f>
        <v>2025</v>
      </c>
      <c r="K585" s="2" t="str">
        <f>"Q"&amp;ROUNDUP(MONTH(Sheet1[[#This Row],[claim_date]])/3,0)</f>
        <v>Q1</v>
      </c>
      <c r="L585" s="2" t="str">
        <f>IF(Sheet1[[#This Row],[claim_amount]]&lt;100000,"Low",IF(Sheet1[[#This Row],[claim_amount]]&lt;200000,"Medium","High"))</f>
        <v>High</v>
      </c>
      <c r="M585" s="2" t="str">
        <f>IF(Sheet1[[#This Row],[days_to_process]]&lt;=30,"Fast","Slow")</f>
        <v>Slow</v>
      </c>
    </row>
    <row r="586" spans="1:13" x14ac:dyDescent="0.3">
      <c r="A586" t="s">
        <v>1128</v>
      </c>
      <c r="B586" s="2" t="s">
        <v>1129</v>
      </c>
      <c r="C586" s="1">
        <v>45314</v>
      </c>
      <c r="D586" s="35">
        <v>123261.36</v>
      </c>
      <c r="E586" s="2" t="s">
        <v>19</v>
      </c>
      <c r="F586" s="2" t="s">
        <v>23</v>
      </c>
      <c r="G586" s="2" t="s">
        <v>24</v>
      </c>
      <c r="H586">
        <v>55</v>
      </c>
      <c r="I586" s="2" t="str">
        <f>TEXT(Sheet1[[#This Row],[claim_date]],"mmmm")</f>
        <v>January</v>
      </c>
      <c r="J586" s="2">
        <f>YEAR(Sheet1[[#This Row],[claim_date]])</f>
        <v>2024</v>
      </c>
      <c r="K586" s="2" t="str">
        <f>"Q"&amp;ROUNDUP(MONTH(Sheet1[[#This Row],[claim_date]])/3,0)</f>
        <v>Q1</v>
      </c>
      <c r="L586" s="2" t="str">
        <f>IF(Sheet1[[#This Row],[claim_amount]]&lt;100000,"Low",IF(Sheet1[[#This Row],[claim_amount]]&lt;200000,"Medium","High"))</f>
        <v>Medium</v>
      </c>
      <c r="M586" s="2" t="str">
        <f>IF(Sheet1[[#This Row],[days_to_process]]&lt;=30,"Fast","Slow")</f>
        <v>Slow</v>
      </c>
    </row>
    <row r="587" spans="1:13" x14ac:dyDescent="0.3">
      <c r="A587" t="s">
        <v>1130</v>
      </c>
      <c r="B587" s="2" t="s">
        <v>1131</v>
      </c>
      <c r="C587" s="1">
        <v>45538</v>
      </c>
      <c r="D587" s="35">
        <v>444705.3</v>
      </c>
      <c r="E587" s="2" t="s">
        <v>10</v>
      </c>
      <c r="F587" s="2" t="s">
        <v>23</v>
      </c>
      <c r="G587" s="2" t="s">
        <v>12</v>
      </c>
      <c r="H587">
        <v>11</v>
      </c>
      <c r="I587" s="2" t="str">
        <f>TEXT(Sheet1[[#This Row],[claim_date]],"mmmm")</f>
        <v>September</v>
      </c>
      <c r="J587" s="2">
        <f>YEAR(Sheet1[[#This Row],[claim_date]])</f>
        <v>2024</v>
      </c>
      <c r="K587" s="2" t="str">
        <f>"Q"&amp;ROUNDUP(MONTH(Sheet1[[#This Row],[claim_date]])/3,0)</f>
        <v>Q3</v>
      </c>
      <c r="L587" s="2" t="str">
        <f>IF(Sheet1[[#This Row],[claim_amount]]&lt;100000,"Low",IF(Sheet1[[#This Row],[claim_amount]]&lt;200000,"Medium","High"))</f>
        <v>High</v>
      </c>
      <c r="M587" s="2" t="str">
        <f>IF(Sheet1[[#This Row],[days_to_process]]&lt;=30,"Fast","Slow")</f>
        <v>Fast</v>
      </c>
    </row>
    <row r="588" spans="1:13" x14ac:dyDescent="0.3">
      <c r="A588" t="s">
        <v>1132</v>
      </c>
      <c r="B588" s="2" t="s">
        <v>1133</v>
      </c>
      <c r="C588" s="1">
        <v>45067</v>
      </c>
      <c r="D588" s="35">
        <v>401119.97</v>
      </c>
      <c r="E588" s="2" t="s">
        <v>19</v>
      </c>
      <c r="F588" s="2" t="s">
        <v>11</v>
      </c>
      <c r="G588" s="2" t="s">
        <v>12</v>
      </c>
      <c r="H588">
        <v>37</v>
      </c>
      <c r="I588" s="2" t="str">
        <f>TEXT(Sheet1[[#This Row],[claim_date]],"mmmm")</f>
        <v>May</v>
      </c>
      <c r="J588" s="2">
        <f>YEAR(Sheet1[[#This Row],[claim_date]])</f>
        <v>2023</v>
      </c>
      <c r="K588" s="2" t="str">
        <f>"Q"&amp;ROUNDUP(MONTH(Sheet1[[#This Row],[claim_date]])/3,0)</f>
        <v>Q2</v>
      </c>
      <c r="L588" s="2" t="str">
        <f>IF(Sheet1[[#This Row],[claim_amount]]&lt;100000,"Low",IF(Sheet1[[#This Row],[claim_amount]]&lt;200000,"Medium","High"))</f>
        <v>High</v>
      </c>
      <c r="M588" s="2" t="str">
        <f>IF(Sheet1[[#This Row],[days_to_process]]&lt;=30,"Fast","Slow")</f>
        <v>Slow</v>
      </c>
    </row>
    <row r="589" spans="1:13" x14ac:dyDescent="0.3">
      <c r="A589" t="s">
        <v>1134</v>
      </c>
      <c r="B589" s="2" t="s">
        <v>1005</v>
      </c>
      <c r="C589" s="1">
        <v>44582</v>
      </c>
      <c r="D589" s="35">
        <v>111099.58</v>
      </c>
      <c r="E589" s="2" t="s">
        <v>15</v>
      </c>
      <c r="F589" s="2" t="s">
        <v>34</v>
      </c>
      <c r="G589" s="2" t="s">
        <v>12</v>
      </c>
      <c r="H589">
        <v>52</v>
      </c>
      <c r="I589" s="2" t="str">
        <f>TEXT(Sheet1[[#This Row],[claim_date]],"mmmm")</f>
        <v>January</v>
      </c>
      <c r="J589" s="2">
        <f>YEAR(Sheet1[[#This Row],[claim_date]])</f>
        <v>2022</v>
      </c>
      <c r="K589" s="2" t="str">
        <f>"Q"&amp;ROUNDUP(MONTH(Sheet1[[#This Row],[claim_date]])/3,0)</f>
        <v>Q1</v>
      </c>
      <c r="L589" s="2" t="str">
        <f>IF(Sheet1[[#This Row],[claim_amount]]&lt;100000,"Low",IF(Sheet1[[#This Row],[claim_amount]]&lt;200000,"Medium","High"))</f>
        <v>Medium</v>
      </c>
      <c r="M589" s="2" t="str">
        <f>IF(Sheet1[[#This Row],[days_to_process]]&lt;=30,"Fast","Slow")</f>
        <v>Slow</v>
      </c>
    </row>
    <row r="590" spans="1:13" x14ac:dyDescent="0.3">
      <c r="A590" t="s">
        <v>1135</v>
      </c>
      <c r="B590" s="2" t="s">
        <v>1136</v>
      </c>
      <c r="C590" s="1">
        <v>45180</v>
      </c>
      <c r="D590" s="35">
        <v>238275.65</v>
      </c>
      <c r="E590" s="2" t="s">
        <v>19</v>
      </c>
      <c r="F590" s="2" t="s">
        <v>34</v>
      </c>
      <c r="G590" s="2" t="s">
        <v>12</v>
      </c>
      <c r="H590">
        <v>8</v>
      </c>
      <c r="I590" s="2" t="str">
        <f>TEXT(Sheet1[[#This Row],[claim_date]],"mmmm")</f>
        <v>September</v>
      </c>
      <c r="J590" s="2">
        <f>YEAR(Sheet1[[#This Row],[claim_date]])</f>
        <v>2023</v>
      </c>
      <c r="K590" s="2" t="str">
        <f>"Q"&amp;ROUNDUP(MONTH(Sheet1[[#This Row],[claim_date]])/3,0)</f>
        <v>Q3</v>
      </c>
      <c r="L590" s="2" t="str">
        <f>IF(Sheet1[[#This Row],[claim_amount]]&lt;100000,"Low",IF(Sheet1[[#This Row],[claim_amount]]&lt;200000,"Medium","High"))</f>
        <v>High</v>
      </c>
      <c r="M590" s="2" t="str">
        <f>IF(Sheet1[[#This Row],[days_to_process]]&lt;=30,"Fast","Slow")</f>
        <v>Fast</v>
      </c>
    </row>
    <row r="591" spans="1:13" x14ac:dyDescent="0.3">
      <c r="A591" t="s">
        <v>1137</v>
      </c>
      <c r="B591" s="2" t="s">
        <v>1138</v>
      </c>
      <c r="C591" s="1">
        <v>45080</v>
      </c>
      <c r="D591" s="35">
        <v>348858.46</v>
      </c>
      <c r="E591" s="2" t="s">
        <v>10</v>
      </c>
      <c r="F591" s="2" t="s">
        <v>11</v>
      </c>
      <c r="G591" s="2" t="s">
        <v>12</v>
      </c>
      <c r="H591">
        <v>58</v>
      </c>
      <c r="I591" s="2" t="str">
        <f>TEXT(Sheet1[[#This Row],[claim_date]],"mmmm")</f>
        <v>June</v>
      </c>
      <c r="J591" s="2">
        <f>YEAR(Sheet1[[#This Row],[claim_date]])</f>
        <v>2023</v>
      </c>
      <c r="K591" s="2" t="str">
        <f>"Q"&amp;ROUNDUP(MONTH(Sheet1[[#This Row],[claim_date]])/3,0)</f>
        <v>Q2</v>
      </c>
      <c r="L591" s="2" t="str">
        <f>IF(Sheet1[[#This Row],[claim_amount]]&lt;100000,"Low",IF(Sheet1[[#This Row],[claim_amount]]&lt;200000,"Medium","High"))</f>
        <v>High</v>
      </c>
      <c r="M591" s="2" t="str">
        <f>IF(Sheet1[[#This Row],[days_to_process]]&lt;=30,"Fast","Slow")</f>
        <v>Slow</v>
      </c>
    </row>
    <row r="592" spans="1:13" x14ac:dyDescent="0.3">
      <c r="A592" t="s">
        <v>1139</v>
      </c>
      <c r="B592" s="2" t="s">
        <v>1140</v>
      </c>
      <c r="C592" s="1">
        <v>45057</v>
      </c>
      <c r="D592" s="35">
        <v>181932.73</v>
      </c>
      <c r="E592" s="2" t="s">
        <v>15</v>
      </c>
      <c r="F592" s="2" t="s">
        <v>16</v>
      </c>
      <c r="G592" s="2" t="s">
        <v>12</v>
      </c>
      <c r="H592">
        <v>35</v>
      </c>
      <c r="I592" s="2" t="str">
        <f>TEXT(Sheet1[[#This Row],[claim_date]],"mmmm")</f>
        <v>May</v>
      </c>
      <c r="J592" s="2">
        <f>YEAR(Sheet1[[#This Row],[claim_date]])</f>
        <v>2023</v>
      </c>
      <c r="K592" s="2" t="str">
        <f>"Q"&amp;ROUNDUP(MONTH(Sheet1[[#This Row],[claim_date]])/3,0)</f>
        <v>Q2</v>
      </c>
      <c r="L592" s="2" t="str">
        <f>IF(Sheet1[[#This Row],[claim_amount]]&lt;100000,"Low",IF(Sheet1[[#This Row],[claim_amount]]&lt;200000,"Medium","High"))</f>
        <v>Medium</v>
      </c>
      <c r="M592" s="2" t="str">
        <f>IF(Sheet1[[#This Row],[days_to_process]]&lt;=30,"Fast","Slow")</f>
        <v>Slow</v>
      </c>
    </row>
    <row r="593" spans="1:13" x14ac:dyDescent="0.3">
      <c r="A593" t="s">
        <v>1141</v>
      </c>
      <c r="B593" s="2" t="s">
        <v>1142</v>
      </c>
      <c r="C593" s="1">
        <v>45365</v>
      </c>
      <c r="D593" s="35">
        <v>352511.39</v>
      </c>
      <c r="E593" s="2" t="s">
        <v>10</v>
      </c>
      <c r="F593" s="2" t="s">
        <v>11</v>
      </c>
      <c r="G593" s="2" t="s">
        <v>12</v>
      </c>
      <c r="H593">
        <v>29</v>
      </c>
      <c r="I593" s="2" t="str">
        <f>TEXT(Sheet1[[#This Row],[claim_date]],"mmmm")</f>
        <v>March</v>
      </c>
      <c r="J593" s="2">
        <f>YEAR(Sheet1[[#This Row],[claim_date]])</f>
        <v>2024</v>
      </c>
      <c r="K593" s="2" t="str">
        <f>"Q"&amp;ROUNDUP(MONTH(Sheet1[[#This Row],[claim_date]])/3,0)</f>
        <v>Q1</v>
      </c>
      <c r="L593" s="2" t="str">
        <f>IF(Sheet1[[#This Row],[claim_amount]]&lt;100000,"Low",IF(Sheet1[[#This Row],[claim_amount]]&lt;200000,"Medium","High"))</f>
        <v>High</v>
      </c>
      <c r="M593" s="2" t="str">
        <f>IF(Sheet1[[#This Row],[days_to_process]]&lt;=30,"Fast","Slow")</f>
        <v>Fast</v>
      </c>
    </row>
    <row r="594" spans="1:13" x14ac:dyDescent="0.3">
      <c r="A594" t="s">
        <v>1143</v>
      </c>
      <c r="B594" s="2" t="s">
        <v>574</v>
      </c>
      <c r="C594" s="1">
        <v>45388</v>
      </c>
      <c r="D594" s="35">
        <v>495942.35</v>
      </c>
      <c r="E594" s="2" t="s">
        <v>19</v>
      </c>
      <c r="F594" s="2" t="s">
        <v>11</v>
      </c>
      <c r="G594" s="2" t="s">
        <v>24</v>
      </c>
      <c r="H594">
        <v>37</v>
      </c>
      <c r="I594" s="2" t="str">
        <f>TEXT(Sheet1[[#This Row],[claim_date]],"mmmm")</f>
        <v>April</v>
      </c>
      <c r="J594" s="2">
        <f>YEAR(Sheet1[[#This Row],[claim_date]])</f>
        <v>2024</v>
      </c>
      <c r="K594" s="2" t="str">
        <f>"Q"&amp;ROUNDUP(MONTH(Sheet1[[#This Row],[claim_date]])/3,0)</f>
        <v>Q2</v>
      </c>
      <c r="L594" s="2" t="str">
        <f>IF(Sheet1[[#This Row],[claim_amount]]&lt;100000,"Low",IF(Sheet1[[#This Row],[claim_amount]]&lt;200000,"Medium","High"))</f>
        <v>High</v>
      </c>
      <c r="M594" s="2" t="str">
        <f>IF(Sheet1[[#This Row],[days_to_process]]&lt;=30,"Fast","Slow")</f>
        <v>Slow</v>
      </c>
    </row>
    <row r="595" spans="1:13" x14ac:dyDescent="0.3">
      <c r="A595" t="s">
        <v>1144</v>
      </c>
      <c r="B595" s="2" t="s">
        <v>1145</v>
      </c>
      <c r="C595" s="1">
        <v>45471</v>
      </c>
      <c r="D595" s="35">
        <v>431774.34</v>
      </c>
      <c r="E595" s="2" t="s">
        <v>15</v>
      </c>
      <c r="F595" s="2" t="s">
        <v>23</v>
      </c>
      <c r="G595" s="2" t="s">
        <v>24</v>
      </c>
      <c r="H595">
        <v>11</v>
      </c>
      <c r="I595" s="2" t="str">
        <f>TEXT(Sheet1[[#This Row],[claim_date]],"mmmm")</f>
        <v>June</v>
      </c>
      <c r="J595" s="2">
        <f>YEAR(Sheet1[[#This Row],[claim_date]])</f>
        <v>2024</v>
      </c>
      <c r="K595" s="2" t="str">
        <f>"Q"&amp;ROUNDUP(MONTH(Sheet1[[#This Row],[claim_date]])/3,0)</f>
        <v>Q2</v>
      </c>
      <c r="L595" s="2" t="str">
        <f>IF(Sheet1[[#This Row],[claim_amount]]&lt;100000,"Low",IF(Sheet1[[#This Row],[claim_amount]]&lt;200000,"Medium","High"))</f>
        <v>High</v>
      </c>
      <c r="M595" s="2" t="str">
        <f>IF(Sheet1[[#This Row],[days_to_process]]&lt;=30,"Fast","Slow")</f>
        <v>Fast</v>
      </c>
    </row>
    <row r="596" spans="1:13" x14ac:dyDescent="0.3">
      <c r="A596" t="s">
        <v>1146</v>
      </c>
      <c r="B596" s="2" t="s">
        <v>1147</v>
      </c>
      <c r="C596" s="1">
        <v>45207</v>
      </c>
      <c r="D596" s="35">
        <v>388944.5</v>
      </c>
      <c r="E596" s="2" t="s">
        <v>15</v>
      </c>
      <c r="F596" s="2" t="s">
        <v>16</v>
      </c>
      <c r="G596" s="2" t="s">
        <v>24</v>
      </c>
      <c r="H596">
        <v>30</v>
      </c>
      <c r="I596" s="2" t="str">
        <f>TEXT(Sheet1[[#This Row],[claim_date]],"mmmm")</f>
        <v>October</v>
      </c>
      <c r="J596" s="2">
        <f>YEAR(Sheet1[[#This Row],[claim_date]])</f>
        <v>2023</v>
      </c>
      <c r="K596" s="2" t="str">
        <f>"Q"&amp;ROUNDUP(MONTH(Sheet1[[#This Row],[claim_date]])/3,0)</f>
        <v>Q4</v>
      </c>
      <c r="L596" s="2" t="str">
        <f>IF(Sheet1[[#This Row],[claim_amount]]&lt;100000,"Low",IF(Sheet1[[#This Row],[claim_amount]]&lt;200000,"Medium","High"))</f>
        <v>High</v>
      </c>
      <c r="M596" s="2" t="str">
        <f>IF(Sheet1[[#This Row],[days_to_process]]&lt;=30,"Fast","Slow")</f>
        <v>Fast</v>
      </c>
    </row>
    <row r="597" spans="1:13" x14ac:dyDescent="0.3">
      <c r="A597" t="s">
        <v>1148</v>
      </c>
      <c r="B597" s="2" t="s">
        <v>1149</v>
      </c>
      <c r="C597" s="1">
        <v>44178</v>
      </c>
      <c r="D597" s="35">
        <v>198077.76</v>
      </c>
      <c r="E597" s="2" t="s">
        <v>15</v>
      </c>
      <c r="F597" s="2" t="s">
        <v>23</v>
      </c>
      <c r="G597" s="2" t="s">
        <v>24</v>
      </c>
      <c r="H597">
        <v>48</v>
      </c>
      <c r="I597" s="2" t="str">
        <f>TEXT(Sheet1[[#This Row],[claim_date]],"mmmm")</f>
        <v>December</v>
      </c>
      <c r="J597" s="2">
        <f>YEAR(Sheet1[[#This Row],[claim_date]])</f>
        <v>2020</v>
      </c>
      <c r="K597" s="2" t="str">
        <f>"Q"&amp;ROUNDUP(MONTH(Sheet1[[#This Row],[claim_date]])/3,0)</f>
        <v>Q4</v>
      </c>
      <c r="L597" s="2" t="str">
        <f>IF(Sheet1[[#This Row],[claim_amount]]&lt;100000,"Low",IF(Sheet1[[#This Row],[claim_amount]]&lt;200000,"Medium","High"))</f>
        <v>Medium</v>
      </c>
      <c r="M597" s="2" t="str">
        <f>IF(Sheet1[[#This Row],[days_to_process]]&lt;=30,"Fast","Slow")</f>
        <v>Slow</v>
      </c>
    </row>
    <row r="598" spans="1:13" x14ac:dyDescent="0.3">
      <c r="A598" t="s">
        <v>1150</v>
      </c>
      <c r="B598" s="2" t="s">
        <v>1151</v>
      </c>
      <c r="C598" s="1">
        <v>45675</v>
      </c>
      <c r="D598" s="35">
        <v>259848.99</v>
      </c>
      <c r="E598" s="2" t="s">
        <v>15</v>
      </c>
      <c r="F598" s="2" t="s">
        <v>23</v>
      </c>
      <c r="G598" s="2" t="s">
        <v>12</v>
      </c>
      <c r="H598">
        <v>34</v>
      </c>
      <c r="I598" s="2" t="str">
        <f>TEXT(Sheet1[[#This Row],[claim_date]],"mmmm")</f>
        <v>January</v>
      </c>
      <c r="J598" s="2">
        <f>YEAR(Sheet1[[#This Row],[claim_date]])</f>
        <v>2025</v>
      </c>
      <c r="K598" s="2" t="str">
        <f>"Q"&amp;ROUNDUP(MONTH(Sheet1[[#This Row],[claim_date]])/3,0)</f>
        <v>Q1</v>
      </c>
      <c r="L598" s="2" t="str">
        <f>IF(Sheet1[[#This Row],[claim_amount]]&lt;100000,"Low",IF(Sheet1[[#This Row],[claim_amount]]&lt;200000,"Medium","High"))</f>
        <v>High</v>
      </c>
      <c r="M598" s="2" t="str">
        <f>IF(Sheet1[[#This Row],[days_to_process]]&lt;=30,"Fast","Slow")</f>
        <v>Slow</v>
      </c>
    </row>
    <row r="599" spans="1:13" x14ac:dyDescent="0.3">
      <c r="A599" t="s">
        <v>1152</v>
      </c>
      <c r="B599" s="2" t="s">
        <v>1153</v>
      </c>
      <c r="C599" s="1">
        <v>44769</v>
      </c>
      <c r="D599" s="35">
        <v>121182.15</v>
      </c>
      <c r="E599" s="2" t="s">
        <v>19</v>
      </c>
      <c r="F599" s="2" t="s">
        <v>23</v>
      </c>
      <c r="G599" s="2" t="s">
        <v>24</v>
      </c>
      <c r="H599">
        <v>31</v>
      </c>
      <c r="I599" s="2" t="str">
        <f>TEXT(Sheet1[[#This Row],[claim_date]],"mmmm")</f>
        <v>July</v>
      </c>
      <c r="J599" s="2">
        <f>YEAR(Sheet1[[#This Row],[claim_date]])</f>
        <v>2022</v>
      </c>
      <c r="K599" s="2" t="str">
        <f>"Q"&amp;ROUNDUP(MONTH(Sheet1[[#This Row],[claim_date]])/3,0)</f>
        <v>Q3</v>
      </c>
      <c r="L599" s="2" t="str">
        <f>IF(Sheet1[[#This Row],[claim_amount]]&lt;100000,"Low",IF(Sheet1[[#This Row],[claim_amount]]&lt;200000,"Medium","High"))</f>
        <v>Medium</v>
      </c>
      <c r="M599" s="2" t="str">
        <f>IF(Sheet1[[#This Row],[days_to_process]]&lt;=30,"Fast","Slow")</f>
        <v>Slow</v>
      </c>
    </row>
    <row r="600" spans="1:13" x14ac:dyDescent="0.3">
      <c r="A600" t="s">
        <v>1154</v>
      </c>
      <c r="B600" s="2" t="s">
        <v>1155</v>
      </c>
      <c r="C600" s="1">
        <v>44938</v>
      </c>
      <c r="D600" s="35">
        <v>436990.75</v>
      </c>
      <c r="E600" s="2" t="s">
        <v>15</v>
      </c>
      <c r="F600" s="2" t="s">
        <v>34</v>
      </c>
      <c r="G600" s="2" t="s">
        <v>12</v>
      </c>
      <c r="H600">
        <v>10</v>
      </c>
      <c r="I600" s="2" t="str">
        <f>TEXT(Sheet1[[#This Row],[claim_date]],"mmmm")</f>
        <v>January</v>
      </c>
      <c r="J600" s="2">
        <f>YEAR(Sheet1[[#This Row],[claim_date]])</f>
        <v>2023</v>
      </c>
      <c r="K600" s="2" t="str">
        <f>"Q"&amp;ROUNDUP(MONTH(Sheet1[[#This Row],[claim_date]])/3,0)</f>
        <v>Q1</v>
      </c>
      <c r="L600" s="2" t="str">
        <f>IF(Sheet1[[#This Row],[claim_amount]]&lt;100000,"Low",IF(Sheet1[[#This Row],[claim_amount]]&lt;200000,"Medium","High"))</f>
        <v>High</v>
      </c>
      <c r="M600" s="2" t="str">
        <f>IF(Sheet1[[#This Row],[days_to_process]]&lt;=30,"Fast","Slow")</f>
        <v>Fast</v>
      </c>
    </row>
    <row r="601" spans="1:13" x14ac:dyDescent="0.3">
      <c r="A601" t="s">
        <v>1156</v>
      </c>
      <c r="B601" s="2" t="s">
        <v>1157</v>
      </c>
      <c r="C601" s="1">
        <v>45204</v>
      </c>
      <c r="D601" s="35">
        <v>405906.8</v>
      </c>
      <c r="E601" s="2" t="s">
        <v>15</v>
      </c>
      <c r="F601" s="2" t="s">
        <v>23</v>
      </c>
      <c r="G601" s="2" t="s">
        <v>12</v>
      </c>
      <c r="H601">
        <v>59</v>
      </c>
      <c r="I601" s="2" t="str">
        <f>TEXT(Sheet1[[#This Row],[claim_date]],"mmmm")</f>
        <v>October</v>
      </c>
      <c r="J601" s="2">
        <f>YEAR(Sheet1[[#This Row],[claim_date]])</f>
        <v>2023</v>
      </c>
      <c r="K601" s="2" t="str">
        <f>"Q"&amp;ROUNDUP(MONTH(Sheet1[[#This Row],[claim_date]])/3,0)</f>
        <v>Q4</v>
      </c>
      <c r="L601" s="2" t="str">
        <f>IF(Sheet1[[#This Row],[claim_amount]]&lt;100000,"Low",IF(Sheet1[[#This Row],[claim_amount]]&lt;200000,"Medium","High"))</f>
        <v>High</v>
      </c>
      <c r="M601" s="2" t="str">
        <f>IF(Sheet1[[#This Row],[days_to_process]]&lt;=30,"Fast","Slow")</f>
        <v>Slow</v>
      </c>
    </row>
    <row r="602" spans="1:13" x14ac:dyDescent="0.3">
      <c r="A602" t="s">
        <v>1158</v>
      </c>
      <c r="B602" s="2" t="s">
        <v>693</v>
      </c>
      <c r="C602" s="1">
        <v>45549</v>
      </c>
      <c r="D602" s="35">
        <v>462208.67</v>
      </c>
      <c r="E602" s="2" t="s">
        <v>19</v>
      </c>
      <c r="F602" s="2" t="s">
        <v>11</v>
      </c>
      <c r="G602" s="2" t="s">
        <v>24</v>
      </c>
      <c r="H602">
        <v>3</v>
      </c>
      <c r="I602" s="2" t="str">
        <f>TEXT(Sheet1[[#This Row],[claim_date]],"mmmm")</f>
        <v>September</v>
      </c>
      <c r="J602" s="2">
        <f>YEAR(Sheet1[[#This Row],[claim_date]])</f>
        <v>2024</v>
      </c>
      <c r="K602" s="2" t="str">
        <f>"Q"&amp;ROUNDUP(MONTH(Sheet1[[#This Row],[claim_date]])/3,0)</f>
        <v>Q3</v>
      </c>
      <c r="L602" s="2" t="str">
        <f>IF(Sheet1[[#This Row],[claim_amount]]&lt;100000,"Low",IF(Sheet1[[#This Row],[claim_amount]]&lt;200000,"Medium","High"))</f>
        <v>High</v>
      </c>
      <c r="M602" s="2" t="str">
        <f>IF(Sheet1[[#This Row],[days_to_process]]&lt;=30,"Fast","Slow")</f>
        <v>Fast</v>
      </c>
    </row>
    <row r="603" spans="1:13" x14ac:dyDescent="0.3">
      <c r="A603" t="s">
        <v>1159</v>
      </c>
      <c r="B603" s="2" t="s">
        <v>1160</v>
      </c>
      <c r="C603" s="1">
        <v>45066</v>
      </c>
      <c r="D603" s="35">
        <v>170320.27</v>
      </c>
      <c r="E603" s="2" t="s">
        <v>10</v>
      </c>
      <c r="F603" s="2" t="s">
        <v>16</v>
      </c>
      <c r="G603" s="2" t="s">
        <v>24</v>
      </c>
      <c r="H603">
        <v>50</v>
      </c>
      <c r="I603" s="2" t="str">
        <f>TEXT(Sheet1[[#This Row],[claim_date]],"mmmm")</f>
        <v>May</v>
      </c>
      <c r="J603" s="2">
        <f>YEAR(Sheet1[[#This Row],[claim_date]])</f>
        <v>2023</v>
      </c>
      <c r="K603" s="2" t="str">
        <f>"Q"&amp;ROUNDUP(MONTH(Sheet1[[#This Row],[claim_date]])/3,0)</f>
        <v>Q2</v>
      </c>
      <c r="L603" s="2" t="str">
        <f>IF(Sheet1[[#This Row],[claim_amount]]&lt;100000,"Low",IF(Sheet1[[#This Row],[claim_amount]]&lt;200000,"Medium","High"))</f>
        <v>Medium</v>
      </c>
      <c r="M603" s="2" t="str">
        <f>IF(Sheet1[[#This Row],[days_to_process]]&lt;=30,"Fast","Slow")</f>
        <v>Slow</v>
      </c>
    </row>
    <row r="604" spans="1:13" x14ac:dyDescent="0.3">
      <c r="A604" t="s">
        <v>1161</v>
      </c>
      <c r="B604" s="2" t="s">
        <v>1162</v>
      </c>
      <c r="C604" s="1">
        <v>45383</v>
      </c>
      <c r="D604" s="35">
        <v>392599.76</v>
      </c>
      <c r="E604" s="2" t="s">
        <v>19</v>
      </c>
      <c r="F604" s="2" t="s">
        <v>20</v>
      </c>
      <c r="G604" s="2" t="s">
        <v>24</v>
      </c>
      <c r="H604">
        <v>29</v>
      </c>
      <c r="I604" s="2" t="str">
        <f>TEXT(Sheet1[[#This Row],[claim_date]],"mmmm")</f>
        <v>April</v>
      </c>
      <c r="J604" s="2">
        <f>YEAR(Sheet1[[#This Row],[claim_date]])</f>
        <v>2024</v>
      </c>
      <c r="K604" s="2" t="str">
        <f>"Q"&amp;ROUNDUP(MONTH(Sheet1[[#This Row],[claim_date]])/3,0)</f>
        <v>Q2</v>
      </c>
      <c r="L604" s="2" t="str">
        <f>IF(Sheet1[[#This Row],[claim_amount]]&lt;100000,"Low",IF(Sheet1[[#This Row],[claim_amount]]&lt;200000,"Medium","High"))</f>
        <v>High</v>
      </c>
      <c r="M604" s="2" t="str">
        <f>IF(Sheet1[[#This Row],[days_to_process]]&lt;=30,"Fast","Slow")</f>
        <v>Fast</v>
      </c>
    </row>
    <row r="605" spans="1:13" x14ac:dyDescent="0.3">
      <c r="A605" t="s">
        <v>1163</v>
      </c>
      <c r="B605" s="2" t="s">
        <v>948</v>
      </c>
      <c r="C605" s="1">
        <v>45687</v>
      </c>
      <c r="D605" s="35">
        <v>401446.41</v>
      </c>
      <c r="E605" s="2" t="s">
        <v>19</v>
      </c>
      <c r="F605" s="2" t="s">
        <v>20</v>
      </c>
      <c r="G605" s="2" t="s">
        <v>12</v>
      </c>
      <c r="H605">
        <v>29</v>
      </c>
      <c r="I605" s="2" t="str">
        <f>TEXT(Sheet1[[#This Row],[claim_date]],"mmmm")</f>
        <v>January</v>
      </c>
      <c r="J605" s="2">
        <f>YEAR(Sheet1[[#This Row],[claim_date]])</f>
        <v>2025</v>
      </c>
      <c r="K605" s="2" t="str">
        <f>"Q"&amp;ROUNDUP(MONTH(Sheet1[[#This Row],[claim_date]])/3,0)</f>
        <v>Q1</v>
      </c>
      <c r="L605" s="2" t="str">
        <f>IF(Sheet1[[#This Row],[claim_amount]]&lt;100000,"Low",IF(Sheet1[[#This Row],[claim_amount]]&lt;200000,"Medium","High"))</f>
        <v>High</v>
      </c>
      <c r="M605" s="2" t="str">
        <f>IF(Sheet1[[#This Row],[days_to_process]]&lt;=30,"Fast","Slow")</f>
        <v>Fast</v>
      </c>
    </row>
    <row r="606" spans="1:13" x14ac:dyDescent="0.3">
      <c r="A606" t="s">
        <v>1164</v>
      </c>
      <c r="B606" s="2" t="s">
        <v>1165</v>
      </c>
      <c r="C606" s="1">
        <v>45095</v>
      </c>
      <c r="D606" s="35">
        <v>105864.36</v>
      </c>
      <c r="E606" s="2" t="s">
        <v>19</v>
      </c>
      <c r="F606" s="2" t="s">
        <v>11</v>
      </c>
      <c r="G606" s="2" t="s">
        <v>24</v>
      </c>
      <c r="H606">
        <v>39</v>
      </c>
      <c r="I606" s="2" t="str">
        <f>TEXT(Sheet1[[#This Row],[claim_date]],"mmmm")</f>
        <v>June</v>
      </c>
      <c r="J606" s="2">
        <f>YEAR(Sheet1[[#This Row],[claim_date]])</f>
        <v>2023</v>
      </c>
      <c r="K606" s="2" t="str">
        <f>"Q"&amp;ROUNDUP(MONTH(Sheet1[[#This Row],[claim_date]])/3,0)</f>
        <v>Q2</v>
      </c>
      <c r="L606" s="2" t="str">
        <f>IF(Sheet1[[#This Row],[claim_amount]]&lt;100000,"Low",IF(Sheet1[[#This Row],[claim_amount]]&lt;200000,"Medium","High"))</f>
        <v>Medium</v>
      </c>
      <c r="M606" s="2" t="str">
        <f>IF(Sheet1[[#This Row],[days_to_process]]&lt;=30,"Fast","Slow")</f>
        <v>Slow</v>
      </c>
    </row>
    <row r="607" spans="1:13" x14ac:dyDescent="0.3">
      <c r="A607" t="s">
        <v>1166</v>
      </c>
      <c r="B607" s="2" t="s">
        <v>1167</v>
      </c>
      <c r="C607" s="1">
        <v>45252</v>
      </c>
      <c r="D607" s="35">
        <v>214399.2</v>
      </c>
      <c r="E607" s="2" t="s">
        <v>19</v>
      </c>
      <c r="F607" s="2" t="s">
        <v>20</v>
      </c>
      <c r="G607" s="2" t="s">
        <v>12</v>
      </c>
      <c r="H607">
        <v>40</v>
      </c>
      <c r="I607" s="2" t="str">
        <f>TEXT(Sheet1[[#This Row],[claim_date]],"mmmm")</f>
        <v>November</v>
      </c>
      <c r="J607" s="2">
        <f>YEAR(Sheet1[[#This Row],[claim_date]])</f>
        <v>2023</v>
      </c>
      <c r="K607" s="2" t="str">
        <f>"Q"&amp;ROUNDUP(MONTH(Sheet1[[#This Row],[claim_date]])/3,0)</f>
        <v>Q4</v>
      </c>
      <c r="L607" s="2" t="str">
        <f>IF(Sheet1[[#This Row],[claim_amount]]&lt;100000,"Low",IF(Sheet1[[#This Row],[claim_amount]]&lt;200000,"Medium","High"))</f>
        <v>High</v>
      </c>
      <c r="M607" s="2" t="str">
        <f>IF(Sheet1[[#This Row],[days_to_process]]&lt;=30,"Fast","Slow")</f>
        <v>Slow</v>
      </c>
    </row>
    <row r="608" spans="1:13" x14ac:dyDescent="0.3">
      <c r="A608" t="s">
        <v>1168</v>
      </c>
      <c r="B608" s="2" t="s">
        <v>1169</v>
      </c>
      <c r="C608" s="1">
        <v>45316</v>
      </c>
      <c r="D608" s="35">
        <v>231364.2</v>
      </c>
      <c r="E608" s="2" t="s">
        <v>15</v>
      </c>
      <c r="F608" s="2" t="s">
        <v>34</v>
      </c>
      <c r="G608" s="2" t="s">
        <v>24</v>
      </c>
      <c r="H608">
        <v>27</v>
      </c>
      <c r="I608" s="2" t="str">
        <f>TEXT(Sheet1[[#This Row],[claim_date]],"mmmm")</f>
        <v>January</v>
      </c>
      <c r="J608" s="2">
        <f>YEAR(Sheet1[[#This Row],[claim_date]])</f>
        <v>2024</v>
      </c>
      <c r="K608" s="2" t="str">
        <f>"Q"&amp;ROUNDUP(MONTH(Sheet1[[#This Row],[claim_date]])/3,0)</f>
        <v>Q1</v>
      </c>
      <c r="L608" s="2" t="str">
        <f>IF(Sheet1[[#This Row],[claim_amount]]&lt;100000,"Low",IF(Sheet1[[#This Row],[claim_amount]]&lt;200000,"Medium","High"))</f>
        <v>High</v>
      </c>
      <c r="M608" s="2" t="str">
        <f>IF(Sheet1[[#This Row],[days_to_process]]&lt;=30,"Fast","Slow")</f>
        <v>Fast</v>
      </c>
    </row>
    <row r="609" spans="1:13" x14ac:dyDescent="0.3">
      <c r="A609" t="s">
        <v>1170</v>
      </c>
      <c r="B609" s="2" t="s">
        <v>1171</v>
      </c>
      <c r="C609" s="1">
        <v>45416</v>
      </c>
      <c r="D609" s="35">
        <v>43954.91</v>
      </c>
      <c r="E609" s="2" t="s">
        <v>19</v>
      </c>
      <c r="F609" s="2" t="s">
        <v>23</v>
      </c>
      <c r="G609" s="2" t="s">
        <v>12</v>
      </c>
      <c r="H609">
        <v>41</v>
      </c>
      <c r="I609" s="2" t="str">
        <f>TEXT(Sheet1[[#This Row],[claim_date]],"mmmm")</f>
        <v>May</v>
      </c>
      <c r="J609" s="2">
        <f>YEAR(Sheet1[[#This Row],[claim_date]])</f>
        <v>2024</v>
      </c>
      <c r="K609" s="2" t="str">
        <f>"Q"&amp;ROUNDUP(MONTH(Sheet1[[#This Row],[claim_date]])/3,0)</f>
        <v>Q2</v>
      </c>
      <c r="L609" s="2" t="str">
        <f>IF(Sheet1[[#This Row],[claim_amount]]&lt;100000,"Low",IF(Sheet1[[#This Row],[claim_amount]]&lt;200000,"Medium","High"))</f>
        <v>Low</v>
      </c>
      <c r="M609" s="2" t="str">
        <f>IF(Sheet1[[#This Row],[days_to_process]]&lt;=30,"Fast","Slow")</f>
        <v>Slow</v>
      </c>
    </row>
    <row r="610" spans="1:13" x14ac:dyDescent="0.3">
      <c r="A610" t="s">
        <v>1172</v>
      </c>
      <c r="B610" s="2" t="s">
        <v>1173</v>
      </c>
      <c r="C610" s="1">
        <v>44475</v>
      </c>
      <c r="D610" s="35">
        <v>226307.39</v>
      </c>
      <c r="E610" s="2" t="s">
        <v>19</v>
      </c>
      <c r="F610" s="2" t="s">
        <v>11</v>
      </c>
      <c r="G610" s="2" t="s">
        <v>24</v>
      </c>
      <c r="H610">
        <v>35</v>
      </c>
      <c r="I610" s="2" t="str">
        <f>TEXT(Sheet1[[#This Row],[claim_date]],"mmmm")</f>
        <v>October</v>
      </c>
      <c r="J610" s="2">
        <f>YEAR(Sheet1[[#This Row],[claim_date]])</f>
        <v>2021</v>
      </c>
      <c r="K610" s="2" t="str">
        <f>"Q"&amp;ROUNDUP(MONTH(Sheet1[[#This Row],[claim_date]])/3,0)</f>
        <v>Q4</v>
      </c>
      <c r="L610" s="2" t="str">
        <f>IF(Sheet1[[#This Row],[claim_amount]]&lt;100000,"Low",IF(Sheet1[[#This Row],[claim_amount]]&lt;200000,"Medium","High"))</f>
        <v>High</v>
      </c>
      <c r="M610" s="2" t="str">
        <f>IF(Sheet1[[#This Row],[days_to_process]]&lt;=30,"Fast","Slow")</f>
        <v>Slow</v>
      </c>
    </row>
    <row r="611" spans="1:13" x14ac:dyDescent="0.3">
      <c r="A611" t="s">
        <v>1174</v>
      </c>
      <c r="B611" s="2" t="s">
        <v>1175</v>
      </c>
      <c r="C611" s="1">
        <v>44652</v>
      </c>
      <c r="D611" s="35">
        <v>294584.23</v>
      </c>
      <c r="E611" s="2" t="s">
        <v>15</v>
      </c>
      <c r="F611" s="2" t="s">
        <v>23</v>
      </c>
      <c r="G611" s="2" t="s">
        <v>24</v>
      </c>
      <c r="H611">
        <v>40</v>
      </c>
      <c r="I611" s="2" t="str">
        <f>TEXT(Sheet1[[#This Row],[claim_date]],"mmmm")</f>
        <v>April</v>
      </c>
      <c r="J611" s="2">
        <f>YEAR(Sheet1[[#This Row],[claim_date]])</f>
        <v>2022</v>
      </c>
      <c r="K611" s="2" t="str">
        <f>"Q"&amp;ROUNDUP(MONTH(Sheet1[[#This Row],[claim_date]])/3,0)</f>
        <v>Q2</v>
      </c>
      <c r="L611" s="2" t="str">
        <f>IF(Sheet1[[#This Row],[claim_amount]]&lt;100000,"Low",IF(Sheet1[[#This Row],[claim_amount]]&lt;200000,"Medium","High"))</f>
        <v>High</v>
      </c>
      <c r="M611" s="2" t="str">
        <f>IF(Sheet1[[#This Row],[days_to_process]]&lt;=30,"Fast","Slow")</f>
        <v>Slow</v>
      </c>
    </row>
    <row r="612" spans="1:13" x14ac:dyDescent="0.3">
      <c r="A612" t="s">
        <v>1176</v>
      </c>
      <c r="B612" s="2" t="s">
        <v>1177</v>
      </c>
      <c r="C612" s="1">
        <v>44281</v>
      </c>
      <c r="D612" s="35">
        <v>317523.13</v>
      </c>
      <c r="E612" s="2" t="s">
        <v>19</v>
      </c>
      <c r="F612" s="2" t="s">
        <v>23</v>
      </c>
      <c r="G612" s="2" t="s">
        <v>24</v>
      </c>
      <c r="H612">
        <v>41</v>
      </c>
      <c r="I612" s="2" t="str">
        <f>TEXT(Sheet1[[#This Row],[claim_date]],"mmmm")</f>
        <v>March</v>
      </c>
      <c r="J612" s="2">
        <f>YEAR(Sheet1[[#This Row],[claim_date]])</f>
        <v>2021</v>
      </c>
      <c r="K612" s="2" t="str">
        <f>"Q"&amp;ROUNDUP(MONTH(Sheet1[[#This Row],[claim_date]])/3,0)</f>
        <v>Q1</v>
      </c>
      <c r="L612" s="2" t="str">
        <f>IF(Sheet1[[#This Row],[claim_amount]]&lt;100000,"Low",IF(Sheet1[[#This Row],[claim_amount]]&lt;200000,"Medium","High"))</f>
        <v>High</v>
      </c>
      <c r="M612" s="2" t="str">
        <f>IF(Sheet1[[#This Row],[days_to_process]]&lt;=30,"Fast","Slow")</f>
        <v>Slow</v>
      </c>
    </row>
    <row r="613" spans="1:13" x14ac:dyDescent="0.3">
      <c r="A613" t="s">
        <v>1178</v>
      </c>
      <c r="B613" s="2" t="s">
        <v>1179</v>
      </c>
      <c r="C613" s="1">
        <v>45420</v>
      </c>
      <c r="D613" s="35">
        <v>466912.42</v>
      </c>
      <c r="E613" s="2" t="s">
        <v>15</v>
      </c>
      <c r="F613" s="2" t="s">
        <v>23</v>
      </c>
      <c r="G613" s="2" t="s">
        <v>12</v>
      </c>
      <c r="H613">
        <v>9</v>
      </c>
      <c r="I613" s="2" t="str">
        <f>TEXT(Sheet1[[#This Row],[claim_date]],"mmmm")</f>
        <v>May</v>
      </c>
      <c r="J613" s="2">
        <f>YEAR(Sheet1[[#This Row],[claim_date]])</f>
        <v>2024</v>
      </c>
      <c r="K613" s="2" t="str">
        <f>"Q"&amp;ROUNDUP(MONTH(Sheet1[[#This Row],[claim_date]])/3,0)</f>
        <v>Q2</v>
      </c>
      <c r="L613" s="2" t="str">
        <f>IF(Sheet1[[#This Row],[claim_amount]]&lt;100000,"Low",IF(Sheet1[[#This Row],[claim_amount]]&lt;200000,"Medium","High"))</f>
        <v>High</v>
      </c>
      <c r="M613" s="2" t="str">
        <f>IF(Sheet1[[#This Row],[days_to_process]]&lt;=30,"Fast","Slow")</f>
        <v>Fast</v>
      </c>
    </row>
    <row r="614" spans="1:13" x14ac:dyDescent="0.3">
      <c r="A614" t="s">
        <v>1180</v>
      </c>
      <c r="B614" s="2" t="s">
        <v>738</v>
      </c>
      <c r="C614" s="1">
        <v>44776</v>
      </c>
      <c r="D614" s="35">
        <v>100298.08</v>
      </c>
      <c r="E614" s="2" t="s">
        <v>10</v>
      </c>
      <c r="F614" s="2" t="s">
        <v>34</v>
      </c>
      <c r="G614" s="2" t="s">
        <v>12</v>
      </c>
      <c r="H614">
        <v>39</v>
      </c>
      <c r="I614" s="2" t="str">
        <f>TEXT(Sheet1[[#This Row],[claim_date]],"mmmm")</f>
        <v>August</v>
      </c>
      <c r="J614" s="2">
        <f>YEAR(Sheet1[[#This Row],[claim_date]])</f>
        <v>2022</v>
      </c>
      <c r="K614" s="2" t="str">
        <f>"Q"&amp;ROUNDUP(MONTH(Sheet1[[#This Row],[claim_date]])/3,0)</f>
        <v>Q3</v>
      </c>
      <c r="L614" s="2" t="str">
        <f>IF(Sheet1[[#This Row],[claim_amount]]&lt;100000,"Low",IF(Sheet1[[#This Row],[claim_amount]]&lt;200000,"Medium","High"))</f>
        <v>Medium</v>
      </c>
      <c r="M614" s="2" t="str">
        <f>IF(Sheet1[[#This Row],[days_to_process]]&lt;=30,"Fast","Slow")</f>
        <v>Slow</v>
      </c>
    </row>
    <row r="615" spans="1:13" x14ac:dyDescent="0.3">
      <c r="A615" t="s">
        <v>1181</v>
      </c>
      <c r="B615" s="2" t="s">
        <v>660</v>
      </c>
      <c r="C615" s="1">
        <v>44638</v>
      </c>
      <c r="D615" s="35">
        <v>95172.6</v>
      </c>
      <c r="E615" s="2" t="s">
        <v>19</v>
      </c>
      <c r="F615" s="2" t="s">
        <v>34</v>
      </c>
      <c r="G615" s="2" t="s">
        <v>24</v>
      </c>
      <c r="H615">
        <v>41</v>
      </c>
      <c r="I615" s="2" t="str">
        <f>TEXT(Sheet1[[#This Row],[claim_date]],"mmmm")</f>
        <v>March</v>
      </c>
      <c r="J615" s="2">
        <f>YEAR(Sheet1[[#This Row],[claim_date]])</f>
        <v>2022</v>
      </c>
      <c r="K615" s="2" t="str">
        <f>"Q"&amp;ROUNDUP(MONTH(Sheet1[[#This Row],[claim_date]])/3,0)</f>
        <v>Q1</v>
      </c>
      <c r="L615" s="2" t="str">
        <f>IF(Sheet1[[#This Row],[claim_amount]]&lt;100000,"Low",IF(Sheet1[[#This Row],[claim_amount]]&lt;200000,"Medium","High"))</f>
        <v>Low</v>
      </c>
      <c r="M615" s="2" t="str">
        <f>IF(Sheet1[[#This Row],[days_to_process]]&lt;=30,"Fast","Slow")</f>
        <v>Slow</v>
      </c>
    </row>
    <row r="616" spans="1:13" x14ac:dyDescent="0.3">
      <c r="A616" t="s">
        <v>1182</v>
      </c>
      <c r="B616" s="2" t="s">
        <v>1183</v>
      </c>
      <c r="C616" s="1">
        <v>45408</v>
      </c>
      <c r="D616" s="35">
        <v>75085.679999999993</v>
      </c>
      <c r="E616" s="2" t="s">
        <v>10</v>
      </c>
      <c r="F616" s="2" t="s">
        <v>34</v>
      </c>
      <c r="G616" s="2" t="s">
        <v>24</v>
      </c>
      <c r="H616">
        <v>16</v>
      </c>
      <c r="I616" s="2" t="str">
        <f>TEXT(Sheet1[[#This Row],[claim_date]],"mmmm")</f>
        <v>April</v>
      </c>
      <c r="J616" s="2">
        <f>YEAR(Sheet1[[#This Row],[claim_date]])</f>
        <v>2024</v>
      </c>
      <c r="K616" s="2" t="str">
        <f>"Q"&amp;ROUNDUP(MONTH(Sheet1[[#This Row],[claim_date]])/3,0)</f>
        <v>Q2</v>
      </c>
      <c r="L616" s="2" t="str">
        <f>IF(Sheet1[[#This Row],[claim_amount]]&lt;100000,"Low",IF(Sheet1[[#This Row],[claim_amount]]&lt;200000,"Medium","High"))</f>
        <v>Low</v>
      </c>
      <c r="M616" s="2" t="str">
        <f>IF(Sheet1[[#This Row],[days_to_process]]&lt;=30,"Fast","Slow")</f>
        <v>Fast</v>
      </c>
    </row>
    <row r="617" spans="1:13" x14ac:dyDescent="0.3">
      <c r="A617" t="s">
        <v>1184</v>
      </c>
      <c r="B617" s="2" t="s">
        <v>1185</v>
      </c>
      <c r="C617" s="1">
        <v>45328</v>
      </c>
      <c r="D617" s="35">
        <v>295605.88</v>
      </c>
      <c r="E617" s="2" t="s">
        <v>15</v>
      </c>
      <c r="F617" s="2" t="s">
        <v>11</v>
      </c>
      <c r="G617" s="2" t="s">
        <v>24</v>
      </c>
      <c r="H617">
        <v>53</v>
      </c>
      <c r="I617" s="2" t="str">
        <f>TEXT(Sheet1[[#This Row],[claim_date]],"mmmm")</f>
        <v>February</v>
      </c>
      <c r="J617" s="2">
        <f>YEAR(Sheet1[[#This Row],[claim_date]])</f>
        <v>2024</v>
      </c>
      <c r="K617" s="2" t="str">
        <f>"Q"&amp;ROUNDUP(MONTH(Sheet1[[#This Row],[claim_date]])/3,0)</f>
        <v>Q1</v>
      </c>
      <c r="L617" s="2" t="str">
        <f>IF(Sheet1[[#This Row],[claim_amount]]&lt;100000,"Low",IF(Sheet1[[#This Row],[claim_amount]]&lt;200000,"Medium","High"))</f>
        <v>High</v>
      </c>
      <c r="M617" s="2" t="str">
        <f>IF(Sheet1[[#This Row],[days_to_process]]&lt;=30,"Fast","Slow")</f>
        <v>Slow</v>
      </c>
    </row>
    <row r="618" spans="1:13" x14ac:dyDescent="0.3">
      <c r="A618" t="s">
        <v>1186</v>
      </c>
      <c r="B618" s="2" t="s">
        <v>1187</v>
      </c>
      <c r="C618" s="1">
        <v>45327</v>
      </c>
      <c r="D618" s="35">
        <v>392667.58</v>
      </c>
      <c r="E618" s="2" t="s">
        <v>15</v>
      </c>
      <c r="F618" s="2" t="s">
        <v>20</v>
      </c>
      <c r="G618" s="2" t="s">
        <v>12</v>
      </c>
      <c r="H618">
        <v>54</v>
      </c>
      <c r="I618" s="2" t="str">
        <f>TEXT(Sheet1[[#This Row],[claim_date]],"mmmm")</f>
        <v>February</v>
      </c>
      <c r="J618" s="2">
        <f>YEAR(Sheet1[[#This Row],[claim_date]])</f>
        <v>2024</v>
      </c>
      <c r="K618" s="2" t="str">
        <f>"Q"&amp;ROUNDUP(MONTH(Sheet1[[#This Row],[claim_date]])/3,0)</f>
        <v>Q1</v>
      </c>
      <c r="L618" s="2" t="str">
        <f>IF(Sheet1[[#This Row],[claim_amount]]&lt;100000,"Low",IF(Sheet1[[#This Row],[claim_amount]]&lt;200000,"Medium","High"))</f>
        <v>High</v>
      </c>
      <c r="M618" s="2" t="str">
        <f>IF(Sheet1[[#This Row],[days_to_process]]&lt;=30,"Fast","Slow")</f>
        <v>Slow</v>
      </c>
    </row>
    <row r="619" spans="1:13" x14ac:dyDescent="0.3">
      <c r="A619" t="s">
        <v>1188</v>
      </c>
      <c r="B619" s="2" t="s">
        <v>1189</v>
      </c>
      <c r="C619" s="1">
        <v>45356</v>
      </c>
      <c r="D619" s="35">
        <v>484154.11</v>
      </c>
      <c r="E619" s="2" t="s">
        <v>10</v>
      </c>
      <c r="F619" s="2" t="s">
        <v>16</v>
      </c>
      <c r="G619" s="2" t="s">
        <v>12</v>
      </c>
      <c r="H619">
        <v>57</v>
      </c>
      <c r="I619" s="2" t="str">
        <f>TEXT(Sheet1[[#This Row],[claim_date]],"mmmm")</f>
        <v>March</v>
      </c>
      <c r="J619" s="2">
        <f>YEAR(Sheet1[[#This Row],[claim_date]])</f>
        <v>2024</v>
      </c>
      <c r="K619" s="2" t="str">
        <f>"Q"&amp;ROUNDUP(MONTH(Sheet1[[#This Row],[claim_date]])/3,0)</f>
        <v>Q1</v>
      </c>
      <c r="L619" s="2" t="str">
        <f>IF(Sheet1[[#This Row],[claim_amount]]&lt;100000,"Low",IF(Sheet1[[#This Row],[claim_amount]]&lt;200000,"Medium","High"))</f>
        <v>High</v>
      </c>
      <c r="M619" s="2" t="str">
        <f>IF(Sheet1[[#This Row],[days_to_process]]&lt;=30,"Fast","Slow")</f>
        <v>Slow</v>
      </c>
    </row>
    <row r="620" spans="1:13" x14ac:dyDescent="0.3">
      <c r="A620" t="s">
        <v>1190</v>
      </c>
      <c r="B620" s="2" t="s">
        <v>1191</v>
      </c>
      <c r="C620" s="1">
        <v>45315</v>
      </c>
      <c r="D620" s="35">
        <v>297579.31</v>
      </c>
      <c r="E620" s="2" t="s">
        <v>10</v>
      </c>
      <c r="F620" s="2" t="s">
        <v>11</v>
      </c>
      <c r="G620" s="2" t="s">
        <v>12</v>
      </c>
      <c r="H620">
        <v>23</v>
      </c>
      <c r="I620" s="2" t="str">
        <f>TEXT(Sheet1[[#This Row],[claim_date]],"mmmm")</f>
        <v>January</v>
      </c>
      <c r="J620" s="2">
        <f>YEAR(Sheet1[[#This Row],[claim_date]])</f>
        <v>2024</v>
      </c>
      <c r="K620" s="2" t="str">
        <f>"Q"&amp;ROUNDUP(MONTH(Sheet1[[#This Row],[claim_date]])/3,0)</f>
        <v>Q1</v>
      </c>
      <c r="L620" s="2" t="str">
        <f>IF(Sheet1[[#This Row],[claim_amount]]&lt;100000,"Low",IF(Sheet1[[#This Row],[claim_amount]]&lt;200000,"Medium","High"))</f>
        <v>High</v>
      </c>
      <c r="M620" s="2" t="str">
        <f>IF(Sheet1[[#This Row],[days_to_process]]&lt;=30,"Fast","Slow")</f>
        <v>Fast</v>
      </c>
    </row>
    <row r="621" spans="1:13" x14ac:dyDescent="0.3">
      <c r="A621" t="s">
        <v>1192</v>
      </c>
      <c r="B621" s="2" t="s">
        <v>1193</v>
      </c>
      <c r="C621" s="1">
        <v>45525</v>
      </c>
      <c r="D621" s="35">
        <v>18945.71</v>
      </c>
      <c r="E621" s="2" t="s">
        <v>19</v>
      </c>
      <c r="F621" s="2" t="s">
        <v>34</v>
      </c>
      <c r="G621" s="2" t="s">
        <v>24</v>
      </c>
      <c r="H621">
        <v>29</v>
      </c>
      <c r="I621" s="2" t="str">
        <f>TEXT(Sheet1[[#This Row],[claim_date]],"mmmm")</f>
        <v>August</v>
      </c>
      <c r="J621" s="2">
        <f>YEAR(Sheet1[[#This Row],[claim_date]])</f>
        <v>2024</v>
      </c>
      <c r="K621" s="2" t="str">
        <f>"Q"&amp;ROUNDUP(MONTH(Sheet1[[#This Row],[claim_date]])/3,0)</f>
        <v>Q3</v>
      </c>
      <c r="L621" s="2" t="str">
        <f>IF(Sheet1[[#This Row],[claim_amount]]&lt;100000,"Low",IF(Sheet1[[#This Row],[claim_amount]]&lt;200000,"Medium","High"))</f>
        <v>Low</v>
      </c>
      <c r="M621" s="2" t="str">
        <f>IF(Sheet1[[#This Row],[days_to_process]]&lt;=30,"Fast","Slow")</f>
        <v>Fast</v>
      </c>
    </row>
    <row r="622" spans="1:13" x14ac:dyDescent="0.3">
      <c r="A622" t="s">
        <v>1194</v>
      </c>
      <c r="B622" s="2" t="s">
        <v>1195</v>
      </c>
      <c r="C622" s="1">
        <v>45269</v>
      </c>
      <c r="D622" s="35">
        <v>297545.99</v>
      </c>
      <c r="E622" s="2" t="s">
        <v>19</v>
      </c>
      <c r="F622" s="2" t="s">
        <v>34</v>
      </c>
      <c r="G622" s="2" t="s">
        <v>12</v>
      </c>
      <c r="H622">
        <v>56</v>
      </c>
      <c r="I622" s="2" t="str">
        <f>TEXT(Sheet1[[#This Row],[claim_date]],"mmmm")</f>
        <v>December</v>
      </c>
      <c r="J622" s="2">
        <f>YEAR(Sheet1[[#This Row],[claim_date]])</f>
        <v>2023</v>
      </c>
      <c r="K622" s="2" t="str">
        <f>"Q"&amp;ROUNDUP(MONTH(Sheet1[[#This Row],[claim_date]])/3,0)</f>
        <v>Q4</v>
      </c>
      <c r="L622" s="2" t="str">
        <f>IF(Sheet1[[#This Row],[claim_amount]]&lt;100000,"Low",IF(Sheet1[[#This Row],[claim_amount]]&lt;200000,"Medium","High"))</f>
        <v>High</v>
      </c>
      <c r="M622" s="2" t="str">
        <f>IF(Sheet1[[#This Row],[days_to_process]]&lt;=30,"Fast","Slow")</f>
        <v>Slow</v>
      </c>
    </row>
    <row r="623" spans="1:13" x14ac:dyDescent="0.3">
      <c r="A623" t="s">
        <v>1196</v>
      </c>
      <c r="B623" s="2" t="s">
        <v>1197</v>
      </c>
      <c r="C623" s="1">
        <v>44664</v>
      </c>
      <c r="D623" s="35">
        <v>159646.66</v>
      </c>
      <c r="E623" s="2" t="s">
        <v>10</v>
      </c>
      <c r="F623" s="2" t="s">
        <v>20</v>
      </c>
      <c r="G623" s="2" t="s">
        <v>24</v>
      </c>
      <c r="H623">
        <v>13</v>
      </c>
      <c r="I623" s="2" t="str">
        <f>TEXT(Sheet1[[#This Row],[claim_date]],"mmmm")</f>
        <v>April</v>
      </c>
      <c r="J623" s="2">
        <f>YEAR(Sheet1[[#This Row],[claim_date]])</f>
        <v>2022</v>
      </c>
      <c r="K623" s="2" t="str">
        <f>"Q"&amp;ROUNDUP(MONTH(Sheet1[[#This Row],[claim_date]])/3,0)</f>
        <v>Q2</v>
      </c>
      <c r="L623" s="2" t="str">
        <f>IF(Sheet1[[#This Row],[claim_amount]]&lt;100000,"Low",IF(Sheet1[[#This Row],[claim_amount]]&lt;200000,"Medium","High"))</f>
        <v>Medium</v>
      </c>
      <c r="M623" s="2" t="str">
        <f>IF(Sheet1[[#This Row],[days_to_process]]&lt;=30,"Fast","Slow")</f>
        <v>Fast</v>
      </c>
    </row>
    <row r="624" spans="1:13" x14ac:dyDescent="0.3">
      <c r="A624" t="s">
        <v>1198</v>
      </c>
      <c r="B624" s="2" t="s">
        <v>1199</v>
      </c>
      <c r="C624" s="1">
        <v>45143</v>
      </c>
      <c r="D624" s="35">
        <v>107215.57</v>
      </c>
      <c r="E624" s="2" t="s">
        <v>15</v>
      </c>
      <c r="F624" s="2" t="s">
        <v>34</v>
      </c>
      <c r="G624" s="2" t="s">
        <v>24</v>
      </c>
      <c r="H624">
        <v>38</v>
      </c>
      <c r="I624" s="2" t="str">
        <f>TEXT(Sheet1[[#This Row],[claim_date]],"mmmm")</f>
        <v>August</v>
      </c>
      <c r="J624" s="2">
        <f>YEAR(Sheet1[[#This Row],[claim_date]])</f>
        <v>2023</v>
      </c>
      <c r="K624" s="2" t="str">
        <f>"Q"&amp;ROUNDUP(MONTH(Sheet1[[#This Row],[claim_date]])/3,0)</f>
        <v>Q3</v>
      </c>
      <c r="L624" s="2" t="str">
        <f>IF(Sheet1[[#This Row],[claim_amount]]&lt;100000,"Low",IF(Sheet1[[#This Row],[claim_amount]]&lt;200000,"Medium","High"))</f>
        <v>Medium</v>
      </c>
      <c r="M624" s="2" t="str">
        <f>IF(Sheet1[[#This Row],[days_to_process]]&lt;=30,"Fast","Slow")</f>
        <v>Slow</v>
      </c>
    </row>
    <row r="625" spans="1:13" x14ac:dyDescent="0.3">
      <c r="A625" t="s">
        <v>1200</v>
      </c>
      <c r="B625" s="2" t="s">
        <v>1201</v>
      </c>
      <c r="C625" s="1">
        <v>45489</v>
      </c>
      <c r="D625" s="35">
        <v>109793.3</v>
      </c>
      <c r="E625" s="2" t="s">
        <v>15</v>
      </c>
      <c r="F625" s="2" t="s">
        <v>11</v>
      </c>
      <c r="G625" s="2" t="s">
        <v>12</v>
      </c>
      <c r="H625">
        <v>25</v>
      </c>
      <c r="I625" s="2" t="str">
        <f>TEXT(Sheet1[[#This Row],[claim_date]],"mmmm")</f>
        <v>July</v>
      </c>
      <c r="J625" s="2">
        <f>YEAR(Sheet1[[#This Row],[claim_date]])</f>
        <v>2024</v>
      </c>
      <c r="K625" s="2" t="str">
        <f>"Q"&amp;ROUNDUP(MONTH(Sheet1[[#This Row],[claim_date]])/3,0)</f>
        <v>Q3</v>
      </c>
      <c r="L625" s="2" t="str">
        <f>IF(Sheet1[[#This Row],[claim_amount]]&lt;100000,"Low",IF(Sheet1[[#This Row],[claim_amount]]&lt;200000,"Medium","High"))</f>
        <v>Medium</v>
      </c>
      <c r="M625" s="2" t="str">
        <f>IF(Sheet1[[#This Row],[days_to_process]]&lt;=30,"Fast","Slow")</f>
        <v>Fast</v>
      </c>
    </row>
    <row r="626" spans="1:13" x14ac:dyDescent="0.3">
      <c r="A626" t="s">
        <v>1202</v>
      </c>
      <c r="B626" s="2" t="s">
        <v>1203</v>
      </c>
      <c r="C626" s="1">
        <v>45468</v>
      </c>
      <c r="D626" s="35">
        <v>386387.63</v>
      </c>
      <c r="E626" s="2" t="s">
        <v>10</v>
      </c>
      <c r="F626" s="2" t="s">
        <v>16</v>
      </c>
      <c r="G626" s="2" t="s">
        <v>12</v>
      </c>
      <c r="H626">
        <v>51</v>
      </c>
      <c r="I626" s="2" t="str">
        <f>TEXT(Sheet1[[#This Row],[claim_date]],"mmmm")</f>
        <v>June</v>
      </c>
      <c r="J626" s="2">
        <f>YEAR(Sheet1[[#This Row],[claim_date]])</f>
        <v>2024</v>
      </c>
      <c r="K626" s="2" t="str">
        <f>"Q"&amp;ROUNDUP(MONTH(Sheet1[[#This Row],[claim_date]])/3,0)</f>
        <v>Q2</v>
      </c>
      <c r="L626" s="2" t="str">
        <f>IF(Sheet1[[#This Row],[claim_amount]]&lt;100000,"Low",IF(Sheet1[[#This Row],[claim_amount]]&lt;200000,"Medium","High"))</f>
        <v>High</v>
      </c>
      <c r="M626" s="2" t="str">
        <f>IF(Sheet1[[#This Row],[days_to_process]]&lt;=30,"Fast","Slow")</f>
        <v>Slow</v>
      </c>
    </row>
    <row r="627" spans="1:13" x14ac:dyDescent="0.3">
      <c r="A627" t="s">
        <v>1204</v>
      </c>
      <c r="B627" s="2" t="s">
        <v>1205</v>
      </c>
      <c r="C627" s="1">
        <v>45529</v>
      </c>
      <c r="D627" s="35">
        <v>270465</v>
      </c>
      <c r="E627" s="2" t="s">
        <v>15</v>
      </c>
      <c r="F627" s="2" t="s">
        <v>34</v>
      </c>
      <c r="G627" s="2" t="s">
        <v>12</v>
      </c>
      <c r="H627">
        <v>56</v>
      </c>
      <c r="I627" s="2" t="str">
        <f>TEXT(Sheet1[[#This Row],[claim_date]],"mmmm")</f>
        <v>August</v>
      </c>
      <c r="J627" s="2">
        <f>YEAR(Sheet1[[#This Row],[claim_date]])</f>
        <v>2024</v>
      </c>
      <c r="K627" s="2" t="str">
        <f>"Q"&amp;ROUNDUP(MONTH(Sheet1[[#This Row],[claim_date]])/3,0)</f>
        <v>Q3</v>
      </c>
      <c r="L627" s="2" t="str">
        <f>IF(Sheet1[[#This Row],[claim_amount]]&lt;100000,"Low",IF(Sheet1[[#This Row],[claim_amount]]&lt;200000,"Medium","High"))</f>
        <v>High</v>
      </c>
      <c r="M627" s="2" t="str">
        <f>IF(Sheet1[[#This Row],[days_to_process]]&lt;=30,"Fast","Slow")</f>
        <v>Slow</v>
      </c>
    </row>
    <row r="628" spans="1:13" x14ac:dyDescent="0.3">
      <c r="A628" t="s">
        <v>1206</v>
      </c>
      <c r="B628" s="2" t="s">
        <v>1207</v>
      </c>
      <c r="C628" s="1">
        <v>45658</v>
      </c>
      <c r="D628" s="35">
        <v>498748.22</v>
      </c>
      <c r="E628" s="2" t="s">
        <v>19</v>
      </c>
      <c r="F628" s="2" t="s">
        <v>16</v>
      </c>
      <c r="G628" s="2" t="s">
        <v>12</v>
      </c>
      <c r="H628">
        <v>50</v>
      </c>
      <c r="I628" s="2" t="str">
        <f>TEXT(Sheet1[[#This Row],[claim_date]],"mmmm")</f>
        <v>January</v>
      </c>
      <c r="J628" s="2">
        <f>YEAR(Sheet1[[#This Row],[claim_date]])</f>
        <v>2025</v>
      </c>
      <c r="K628" s="2" t="str">
        <f>"Q"&amp;ROUNDUP(MONTH(Sheet1[[#This Row],[claim_date]])/3,0)</f>
        <v>Q1</v>
      </c>
      <c r="L628" s="2" t="str">
        <f>IF(Sheet1[[#This Row],[claim_amount]]&lt;100000,"Low",IF(Sheet1[[#This Row],[claim_amount]]&lt;200000,"Medium","High"))</f>
        <v>High</v>
      </c>
      <c r="M628" s="2" t="str">
        <f>IF(Sheet1[[#This Row],[days_to_process]]&lt;=30,"Fast","Slow")</f>
        <v>Slow</v>
      </c>
    </row>
    <row r="629" spans="1:13" x14ac:dyDescent="0.3">
      <c r="A629" t="s">
        <v>1208</v>
      </c>
      <c r="B629" s="2" t="s">
        <v>1209</v>
      </c>
      <c r="C629" s="1">
        <v>45060</v>
      </c>
      <c r="D629" s="35">
        <v>167934.13</v>
      </c>
      <c r="E629" s="2" t="s">
        <v>10</v>
      </c>
      <c r="F629" s="2" t="s">
        <v>11</v>
      </c>
      <c r="G629" s="2" t="s">
        <v>24</v>
      </c>
      <c r="H629">
        <v>32</v>
      </c>
      <c r="I629" s="2" t="str">
        <f>TEXT(Sheet1[[#This Row],[claim_date]],"mmmm")</f>
        <v>May</v>
      </c>
      <c r="J629" s="2">
        <f>YEAR(Sheet1[[#This Row],[claim_date]])</f>
        <v>2023</v>
      </c>
      <c r="K629" s="2" t="str">
        <f>"Q"&amp;ROUNDUP(MONTH(Sheet1[[#This Row],[claim_date]])/3,0)</f>
        <v>Q2</v>
      </c>
      <c r="L629" s="2" t="str">
        <f>IF(Sheet1[[#This Row],[claim_amount]]&lt;100000,"Low",IF(Sheet1[[#This Row],[claim_amount]]&lt;200000,"Medium","High"))</f>
        <v>Medium</v>
      </c>
      <c r="M629" s="2" t="str">
        <f>IF(Sheet1[[#This Row],[days_to_process]]&lt;=30,"Fast","Slow")</f>
        <v>Slow</v>
      </c>
    </row>
    <row r="630" spans="1:13" x14ac:dyDescent="0.3">
      <c r="A630" t="s">
        <v>1210</v>
      </c>
      <c r="B630" s="2" t="s">
        <v>1211</v>
      </c>
      <c r="C630" s="1">
        <v>44874</v>
      </c>
      <c r="D630" s="35">
        <v>44116.87</v>
      </c>
      <c r="E630" s="2" t="s">
        <v>15</v>
      </c>
      <c r="F630" s="2" t="s">
        <v>34</v>
      </c>
      <c r="G630" s="2" t="s">
        <v>12</v>
      </c>
      <c r="H630">
        <v>48</v>
      </c>
      <c r="I630" s="2" t="str">
        <f>TEXT(Sheet1[[#This Row],[claim_date]],"mmmm")</f>
        <v>November</v>
      </c>
      <c r="J630" s="2">
        <f>YEAR(Sheet1[[#This Row],[claim_date]])</f>
        <v>2022</v>
      </c>
      <c r="K630" s="2" t="str">
        <f>"Q"&amp;ROUNDUP(MONTH(Sheet1[[#This Row],[claim_date]])/3,0)</f>
        <v>Q4</v>
      </c>
      <c r="L630" s="2" t="str">
        <f>IF(Sheet1[[#This Row],[claim_amount]]&lt;100000,"Low",IF(Sheet1[[#This Row],[claim_amount]]&lt;200000,"Medium","High"))</f>
        <v>Low</v>
      </c>
      <c r="M630" s="2" t="str">
        <f>IF(Sheet1[[#This Row],[days_to_process]]&lt;=30,"Fast","Slow")</f>
        <v>Slow</v>
      </c>
    </row>
    <row r="631" spans="1:13" x14ac:dyDescent="0.3">
      <c r="A631" t="s">
        <v>1212</v>
      </c>
      <c r="B631" s="2" t="s">
        <v>1213</v>
      </c>
      <c r="C631" s="1">
        <v>45020</v>
      </c>
      <c r="D631" s="35">
        <v>451820.07</v>
      </c>
      <c r="E631" s="2" t="s">
        <v>10</v>
      </c>
      <c r="F631" s="2" t="s">
        <v>11</v>
      </c>
      <c r="G631" s="2" t="s">
        <v>24</v>
      </c>
      <c r="H631">
        <v>52</v>
      </c>
      <c r="I631" s="2" t="str">
        <f>TEXT(Sheet1[[#This Row],[claim_date]],"mmmm")</f>
        <v>April</v>
      </c>
      <c r="J631" s="2">
        <f>YEAR(Sheet1[[#This Row],[claim_date]])</f>
        <v>2023</v>
      </c>
      <c r="K631" s="2" t="str">
        <f>"Q"&amp;ROUNDUP(MONTH(Sheet1[[#This Row],[claim_date]])/3,0)</f>
        <v>Q2</v>
      </c>
      <c r="L631" s="2" t="str">
        <f>IF(Sheet1[[#This Row],[claim_amount]]&lt;100000,"Low",IF(Sheet1[[#This Row],[claim_amount]]&lt;200000,"Medium","High"))</f>
        <v>High</v>
      </c>
      <c r="M631" s="2" t="str">
        <f>IF(Sheet1[[#This Row],[days_to_process]]&lt;=30,"Fast","Slow")</f>
        <v>Slow</v>
      </c>
    </row>
    <row r="632" spans="1:13" x14ac:dyDescent="0.3">
      <c r="A632" t="s">
        <v>1214</v>
      </c>
      <c r="B632" s="2" t="s">
        <v>1215</v>
      </c>
      <c r="C632" s="1">
        <v>44713</v>
      </c>
      <c r="D632" s="35">
        <v>277690.40000000002</v>
      </c>
      <c r="E632" s="2" t="s">
        <v>10</v>
      </c>
      <c r="F632" s="2" t="s">
        <v>11</v>
      </c>
      <c r="G632" s="2" t="s">
        <v>12</v>
      </c>
      <c r="H632">
        <v>19</v>
      </c>
      <c r="I632" s="2" t="str">
        <f>TEXT(Sheet1[[#This Row],[claim_date]],"mmmm")</f>
        <v>June</v>
      </c>
      <c r="J632" s="2">
        <f>YEAR(Sheet1[[#This Row],[claim_date]])</f>
        <v>2022</v>
      </c>
      <c r="K632" s="2" t="str">
        <f>"Q"&amp;ROUNDUP(MONTH(Sheet1[[#This Row],[claim_date]])/3,0)</f>
        <v>Q2</v>
      </c>
      <c r="L632" s="2" t="str">
        <f>IF(Sheet1[[#This Row],[claim_amount]]&lt;100000,"Low",IF(Sheet1[[#This Row],[claim_amount]]&lt;200000,"Medium","High"))</f>
        <v>High</v>
      </c>
      <c r="M632" s="2" t="str">
        <f>IF(Sheet1[[#This Row],[days_to_process]]&lt;=30,"Fast","Slow")</f>
        <v>Fast</v>
      </c>
    </row>
    <row r="633" spans="1:13" x14ac:dyDescent="0.3">
      <c r="A633" t="s">
        <v>1216</v>
      </c>
      <c r="B633" s="2" t="s">
        <v>1217</v>
      </c>
      <c r="C633" s="1">
        <v>44520</v>
      </c>
      <c r="D633" s="35">
        <v>273066.11</v>
      </c>
      <c r="E633" s="2" t="s">
        <v>10</v>
      </c>
      <c r="F633" s="2" t="s">
        <v>20</v>
      </c>
      <c r="G633" s="2" t="s">
        <v>24</v>
      </c>
      <c r="H633">
        <v>20</v>
      </c>
      <c r="I633" s="2" t="str">
        <f>TEXT(Sheet1[[#This Row],[claim_date]],"mmmm")</f>
        <v>November</v>
      </c>
      <c r="J633" s="2">
        <f>YEAR(Sheet1[[#This Row],[claim_date]])</f>
        <v>2021</v>
      </c>
      <c r="K633" s="2" t="str">
        <f>"Q"&amp;ROUNDUP(MONTH(Sheet1[[#This Row],[claim_date]])/3,0)</f>
        <v>Q4</v>
      </c>
      <c r="L633" s="2" t="str">
        <f>IF(Sheet1[[#This Row],[claim_amount]]&lt;100000,"Low",IF(Sheet1[[#This Row],[claim_amount]]&lt;200000,"Medium","High"))</f>
        <v>High</v>
      </c>
      <c r="M633" s="2" t="str">
        <f>IF(Sheet1[[#This Row],[days_to_process]]&lt;=30,"Fast","Slow")</f>
        <v>Fast</v>
      </c>
    </row>
    <row r="634" spans="1:13" x14ac:dyDescent="0.3">
      <c r="A634" t="s">
        <v>1218</v>
      </c>
      <c r="B634" s="2" t="s">
        <v>1219</v>
      </c>
      <c r="C634" s="1">
        <v>44685</v>
      </c>
      <c r="D634" s="35">
        <v>260048.9</v>
      </c>
      <c r="E634" s="2" t="s">
        <v>15</v>
      </c>
      <c r="F634" s="2" t="s">
        <v>20</v>
      </c>
      <c r="G634" s="2" t="s">
        <v>24</v>
      </c>
      <c r="H634">
        <v>35</v>
      </c>
      <c r="I634" s="2" t="str">
        <f>TEXT(Sheet1[[#This Row],[claim_date]],"mmmm")</f>
        <v>May</v>
      </c>
      <c r="J634" s="2">
        <f>YEAR(Sheet1[[#This Row],[claim_date]])</f>
        <v>2022</v>
      </c>
      <c r="K634" s="2" t="str">
        <f>"Q"&amp;ROUNDUP(MONTH(Sheet1[[#This Row],[claim_date]])/3,0)</f>
        <v>Q2</v>
      </c>
      <c r="L634" s="2" t="str">
        <f>IF(Sheet1[[#This Row],[claim_amount]]&lt;100000,"Low",IF(Sheet1[[#This Row],[claim_amount]]&lt;200000,"Medium","High"))</f>
        <v>High</v>
      </c>
      <c r="M634" s="2" t="str">
        <f>IF(Sheet1[[#This Row],[days_to_process]]&lt;=30,"Fast","Slow")</f>
        <v>Slow</v>
      </c>
    </row>
    <row r="635" spans="1:13" x14ac:dyDescent="0.3">
      <c r="A635" t="s">
        <v>1220</v>
      </c>
      <c r="B635" s="2" t="s">
        <v>1221</v>
      </c>
      <c r="C635" s="1">
        <v>45056</v>
      </c>
      <c r="D635" s="35">
        <v>220719.21</v>
      </c>
      <c r="E635" s="2" t="s">
        <v>15</v>
      </c>
      <c r="F635" s="2" t="s">
        <v>23</v>
      </c>
      <c r="G635" s="2" t="s">
        <v>24</v>
      </c>
      <c r="H635">
        <v>15</v>
      </c>
      <c r="I635" s="2" t="str">
        <f>TEXT(Sheet1[[#This Row],[claim_date]],"mmmm")</f>
        <v>May</v>
      </c>
      <c r="J635" s="2">
        <f>YEAR(Sheet1[[#This Row],[claim_date]])</f>
        <v>2023</v>
      </c>
      <c r="K635" s="2" t="str">
        <f>"Q"&amp;ROUNDUP(MONTH(Sheet1[[#This Row],[claim_date]])/3,0)</f>
        <v>Q2</v>
      </c>
      <c r="L635" s="2" t="str">
        <f>IF(Sheet1[[#This Row],[claim_amount]]&lt;100000,"Low",IF(Sheet1[[#This Row],[claim_amount]]&lt;200000,"Medium","High"))</f>
        <v>High</v>
      </c>
      <c r="M635" s="2" t="str">
        <f>IF(Sheet1[[#This Row],[days_to_process]]&lt;=30,"Fast","Slow")</f>
        <v>Fast</v>
      </c>
    </row>
    <row r="636" spans="1:13" x14ac:dyDescent="0.3">
      <c r="A636" t="s">
        <v>1222</v>
      </c>
      <c r="B636" s="2" t="s">
        <v>1223</v>
      </c>
      <c r="C636" s="1">
        <v>45246</v>
      </c>
      <c r="D636" s="35">
        <v>278234.56</v>
      </c>
      <c r="E636" s="2" t="s">
        <v>15</v>
      </c>
      <c r="F636" s="2" t="s">
        <v>34</v>
      </c>
      <c r="G636" s="2" t="s">
        <v>12</v>
      </c>
      <c r="H636">
        <v>26</v>
      </c>
      <c r="I636" s="2" t="str">
        <f>TEXT(Sheet1[[#This Row],[claim_date]],"mmmm")</f>
        <v>November</v>
      </c>
      <c r="J636" s="2">
        <f>YEAR(Sheet1[[#This Row],[claim_date]])</f>
        <v>2023</v>
      </c>
      <c r="K636" s="2" t="str">
        <f>"Q"&amp;ROUNDUP(MONTH(Sheet1[[#This Row],[claim_date]])/3,0)</f>
        <v>Q4</v>
      </c>
      <c r="L636" s="2" t="str">
        <f>IF(Sheet1[[#This Row],[claim_amount]]&lt;100000,"Low",IF(Sheet1[[#This Row],[claim_amount]]&lt;200000,"Medium","High"))</f>
        <v>High</v>
      </c>
      <c r="M636" s="2" t="str">
        <f>IF(Sheet1[[#This Row],[days_to_process]]&lt;=30,"Fast","Slow")</f>
        <v>Fast</v>
      </c>
    </row>
    <row r="637" spans="1:13" x14ac:dyDescent="0.3">
      <c r="A637" t="s">
        <v>1224</v>
      </c>
      <c r="B637" s="2" t="s">
        <v>1225</v>
      </c>
      <c r="C637" s="1">
        <v>45223</v>
      </c>
      <c r="D637" s="35">
        <v>465176.73</v>
      </c>
      <c r="E637" s="2" t="s">
        <v>15</v>
      </c>
      <c r="F637" s="2" t="s">
        <v>23</v>
      </c>
      <c r="G637" s="2" t="s">
        <v>24</v>
      </c>
      <c r="H637">
        <v>14</v>
      </c>
      <c r="I637" s="2" t="str">
        <f>TEXT(Sheet1[[#This Row],[claim_date]],"mmmm")</f>
        <v>October</v>
      </c>
      <c r="J637" s="2">
        <f>YEAR(Sheet1[[#This Row],[claim_date]])</f>
        <v>2023</v>
      </c>
      <c r="K637" s="2" t="str">
        <f>"Q"&amp;ROUNDUP(MONTH(Sheet1[[#This Row],[claim_date]])/3,0)</f>
        <v>Q4</v>
      </c>
      <c r="L637" s="2" t="str">
        <f>IF(Sheet1[[#This Row],[claim_amount]]&lt;100000,"Low",IF(Sheet1[[#This Row],[claim_amount]]&lt;200000,"Medium","High"))</f>
        <v>High</v>
      </c>
      <c r="M637" s="2" t="str">
        <f>IF(Sheet1[[#This Row],[days_to_process]]&lt;=30,"Fast","Slow")</f>
        <v>Fast</v>
      </c>
    </row>
    <row r="638" spans="1:13" x14ac:dyDescent="0.3">
      <c r="A638" t="s">
        <v>1226</v>
      </c>
      <c r="B638" s="2" t="s">
        <v>1227</v>
      </c>
      <c r="C638" s="1">
        <v>45502</v>
      </c>
      <c r="D638" s="35">
        <v>203537.55</v>
      </c>
      <c r="E638" s="2" t="s">
        <v>19</v>
      </c>
      <c r="F638" s="2" t="s">
        <v>34</v>
      </c>
      <c r="G638" s="2" t="s">
        <v>12</v>
      </c>
      <c r="H638">
        <v>22</v>
      </c>
      <c r="I638" s="2" t="str">
        <f>TEXT(Sheet1[[#This Row],[claim_date]],"mmmm")</f>
        <v>July</v>
      </c>
      <c r="J638" s="2">
        <f>YEAR(Sheet1[[#This Row],[claim_date]])</f>
        <v>2024</v>
      </c>
      <c r="K638" s="2" t="str">
        <f>"Q"&amp;ROUNDUP(MONTH(Sheet1[[#This Row],[claim_date]])/3,0)</f>
        <v>Q3</v>
      </c>
      <c r="L638" s="2" t="str">
        <f>IF(Sheet1[[#This Row],[claim_amount]]&lt;100000,"Low",IF(Sheet1[[#This Row],[claim_amount]]&lt;200000,"Medium","High"))</f>
        <v>High</v>
      </c>
      <c r="M638" s="2" t="str">
        <f>IF(Sheet1[[#This Row],[days_to_process]]&lt;=30,"Fast","Slow")</f>
        <v>Fast</v>
      </c>
    </row>
    <row r="639" spans="1:13" x14ac:dyDescent="0.3">
      <c r="A639" t="s">
        <v>1228</v>
      </c>
      <c r="B639" s="2" t="s">
        <v>1229</v>
      </c>
      <c r="C639" s="1">
        <v>44819</v>
      </c>
      <c r="D639" s="35">
        <v>458726.37</v>
      </c>
      <c r="E639" s="2" t="s">
        <v>15</v>
      </c>
      <c r="F639" s="2" t="s">
        <v>20</v>
      </c>
      <c r="G639" s="2" t="s">
        <v>12</v>
      </c>
      <c r="H639">
        <v>20</v>
      </c>
      <c r="I639" s="2" t="str">
        <f>TEXT(Sheet1[[#This Row],[claim_date]],"mmmm")</f>
        <v>September</v>
      </c>
      <c r="J639" s="2">
        <f>YEAR(Sheet1[[#This Row],[claim_date]])</f>
        <v>2022</v>
      </c>
      <c r="K639" s="2" t="str">
        <f>"Q"&amp;ROUNDUP(MONTH(Sheet1[[#This Row],[claim_date]])/3,0)</f>
        <v>Q3</v>
      </c>
      <c r="L639" s="2" t="str">
        <f>IF(Sheet1[[#This Row],[claim_amount]]&lt;100000,"Low",IF(Sheet1[[#This Row],[claim_amount]]&lt;200000,"Medium","High"))</f>
        <v>High</v>
      </c>
      <c r="M639" s="2" t="str">
        <f>IF(Sheet1[[#This Row],[days_to_process]]&lt;=30,"Fast","Slow")</f>
        <v>Fast</v>
      </c>
    </row>
    <row r="640" spans="1:13" x14ac:dyDescent="0.3">
      <c r="A640" t="s">
        <v>1230</v>
      </c>
      <c r="B640" s="2" t="s">
        <v>1231</v>
      </c>
      <c r="C640" s="1">
        <v>44969</v>
      </c>
      <c r="D640" s="35">
        <v>165337.81</v>
      </c>
      <c r="E640" s="2" t="s">
        <v>10</v>
      </c>
      <c r="F640" s="2" t="s">
        <v>20</v>
      </c>
      <c r="G640" s="2" t="s">
        <v>12</v>
      </c>
      <c r="H640">
        <v>28</v>
      </c>
      <c r="I640" s="2" t="str">
        <f>TEXT(Sheet1[[#This Row],[claim_date]],"mmmm")</f>
        <v>February</v>
      </c>
      <c r="J640" s="2">
        <f>YEAR(Sheet1[[#This Row],[claim_date]])</f>
        <v>2023</v>
      </c>
      <c r="K640" s="2" t="str">
        <f>"Q"&amp;ROUNDUP(MONTH(Sheet1[[#This Row],[claim_date]])/3,0)</f>
        <v>Q1</v>
      </c>
      <c r="L640" s="2" t="str">
        <f>IF(Sheet1[[#This Row],[claim_amount]]&lt;100000,"Low",IF(Sheet1[[#This Row],[claim_amount]]&lt;200000,"Medium","High"))</f>
        <v>Medium</v>
      </c>
      <c r="M640" s="2" t="str">
        <f>IF(Sheet1[[#This Row],[days_to_process]]&lt;=30,"Fast","Slow")</f>
        <v>Fast</v>
      </c>
    </row>
    <row r="641" spans="1:13" x14ac:dyDescent="0.3">
      <c r="A641" t="s">
        <v>1232</v>
      </c>
      <c r="B641" s="2" t="s">
        <v>1233</v>
      </c>
      <c r="C641" s="1">
        <v>44981</v>
      </c>
      <c r="D641" s="35">
        <v>139371.9</v>
      </c>
      <c r="E641" s="2" t="s">
        <v>19</v>
      </c>
      <c r="F641" s="2" t="s">
        <v>20</v>
      </c>
      <c r="G641" s="2" t="s">
        <v>12</v>
      </c>
      <c r="H641">
        <v>16</v>
      </c>
      <c r="I641" s="2" t="str">
        <f>TEXT(Sheet1[[#This Row],[claim_date]],"mmmm")</f>
        <v>February</v>
      </c>
      <c r="J641" s="2">
        <f>YEAR(Sheet1[[#This Row],[claim_date]])</f>
        <v>2023</v>
      </c>
      <c r="K641" s="2" t="str">
        <f>"Q"&amp;ROUNDUP(MONTH(Sheet1[[#This Row],[claim_date]])/3,0)</f>
        <v>Q1</v>
      </c>
      <c r="L641" s="2" t="str">
        <f>IF(Sheet1[[#This Row],[claim_amount]]&lt;100000,"Low",IF(Sheet1[[#This Row],[claim_amount]]&lt;200000,"Medium","High"))</f>
        <v>Medium</v>
      </c>
      <c r="M641" s="2" t="str">
        <f>IF(Sheet1[[#This Row],[days_to_process]]&lt;=30,"Fast","Slow")</f>
        <v>Fast</v>
      </c>
    </row>
    <row r="642" spans="1:13" x14ac:dyDescent="0.3">
      <c r="A642" t="s">
        <v>1234</v>
      </c>
      <c r="B642" s="2" t="s">
        <v>1042</v>
      </c>
      <c r="C642" s="1">
        <v>44521</v>
      </c>
      <c r="D642" s="35">
        <v>246388.75</v>
      </c>
      <c r="E642" s="2" t="s">
        <v>15</v>
      </c>
      <c r="F642" s="2" t="s">
        <v>20</v>
      </c>
      <c r="G642" s="2" t="s">
        <v>24</v>
      </c>
      <c r="H642">
        <v>53</v>
      </c>
      <c r="I642" s="2" t="str">
        <f>TEXT(Sheet1[[#This Row],[claim_date]],"mmmm")</f>
        <v>November</v>
      </c>
      <c r="J642" s="2">
        <f>YEAR(Sheet1[[#This Row],[claim_date]])</f>
        <v>2021</v>
      </c>
      <c r="K642" s="2" t="str">
        <f>"Q"&amp;ROUNDUP(MONTH(Sheet1[[#This Row],[claim_date]])/3,0)</f>
        <v>Q4</v>
      </c>
      <c r="L642" s="2" t="str">
        <f>IF(Sheet1[[#This Row],[claim_amount]]&lt;100000,"Low",IF(Sheet1[[#This Row],[claim_amount]]&lt;200000,"Medium","High"))</f>
        <v>High</v>
      </c>
      <c r="M642" s="2" t="str">
        <f>IF(Sheet1[[#This Row],[days_to_process]]&lt;=30,"Fast","Slow")</f>
        <v>Slow</v>
      </c>
    </row>
    <row r="643" spans="1:13" x14ac:dyDescent="0.3">
      <c r="A643" t="s">
        <v>1235</v>
      </c>
      <c r="B643" s="2" t="s">
        <v>1236</v>
      </c>
      <c r="C643" s="1">
        <v>44551</v>
      </c>
      <c r="D643" s="35">
        <v>434997.73</v>
      </c>
      <c r="E643" s="2" t="s">
        <v>19</v>
      </c>
      <c r="F643" s="2" t="s">
        <v>23</v>
      </c>
      <c r="G643" s="2" t="s">
        <v>24</v>
      </c>
      <c r="H643">
        <v>2</v>
      </c>
      <c r="I643" s="2" t="str">
        <f>TEXT(Sheet1[[#This Row],[claim_date]],"mmmm")</f>
        <v>December</v>
      </c>
      <c r="J643" s="2">
        <f>YEAR(Sheet1[[#This Row],[claim_date]])</f>
        <v>2021</v>
      </c>
      <c r="K643" s="2" t="str">
        <f>"Q"&amp;ROUNDUP(MONTH(Sheet1[[#This Row],[claim_date]])/3,0)</f>
        <v>Q4</v>
      </c>
      <c r="L643" s="2" t="str">
        <f>IF(Sheet1[[#This Row],[claim_amount]]&lt;100000,"Low",IF(Sheet1[[#This Row],[claim_amount]]&lt;200000,"Medium","High"))</f>
        <v>High</v>
      </c>
      <c r="M643" s="2" t="str">
        <f>IF(Sheet1[[#This Row],[days_to_process]]&lt;=30,"Fast","Slow")</f>
        <v>Fast</v>
      </c>
    </row>
    <row r="644" spans="1:13" x14ac:dyDescent="0.3">
      <c r="A644" t="s">
        <v>1237</v>
      </c>
      <c r="B644" s="2" t="s">
        <v>1238</v>
      </c>
      <c r="C644" s="1">
        <v>45032</v>
      </c>
      <c r="D644" s="35">
        <v>321776.40000000002</v>
      </c>
      <c r="E644" s="2" t="s">
        <v>15</v>
      </c>
      <c r="F644" s="2" t="s">
        <v>20</v>
      </c>
      <c r="G644" s="2" t="s">
        <v>24</v>
      </c>
      <c r="H644">
        <v>42</v>
      </c>
      <c r="I644" s="2" t="str">
        <f>TEXT(Sheet1[[#This Row],[claim_date]],"mmmm")</f>
        <v>April</v>
      </c>
      <c r="J644" s="2">
        <f>YEAR(Sheet1[[#This Row],[claim_date]])</f>
        <v>2023</v>
      </c>
      <c r="K644" s="2" t="str">
        <f>"Q"&amp;ROUNDUP(MONTH(Sheet1[[#This Row],[claim_date]])/3,0)</f>
        <v>Q2</v>
      </c>
      <c r="L644" s="2" t="str">
        <f>IF(Sheet1[[#This Row],[claim_amount]]&lt;100000,"Low",IF(Sheet1[[#This Row],[claim_amount]]&lt;200000,"Medium","High"))</f>
        <v>High</v>
      </c>
      <c r="M644" s="2" t="str">
        <f>IF(Sheet1[[#This Row],[days_to_process]]&lt;=30,"Fast","Slow")</f>
        <v>Slow</v>
      </c>
    </row>
    <row r="645" spans="1:13" x14ac:dyDescent="0.3">
      <c r="A645" t="s">
        <v>1239</v>
      </c>
      <c r="B645" s="2" t="s">
        <v>1240</v>
      </c>
      <c r="C645" s="1">
        <v>44827</v>
      </c>
      <c r="D645" s="35">
        <v>72444.95</v>
      </c>
      <c r="E645" s="2" t="s">
        <v>15</v>
      </c>
      <c r="F645" s="2" t="s">
        <v>16</v>
      </c>
      <c r="G645" s="2" t="s">
        <v>12</v>
      </c>
      <c r="H645">
        <v>2</v>
      </c>
      <c r="I645" s="2" t="str">
        <f>TEXT(Sheet1[[#This Row],[claim_date]],"mmmm")</f>
        <v>September</v>
      </c>
      <c r="J645" s="2">
        <f>YEAR(Sheet1[[#This Row],[claim_date]])</f>
        <v>2022</v>
      </c>
      <c r="K645" s="2" t="str">
        <f>"Q"&amp;ROUNDUP(MONTH(Sheet1[[#This Row],[claim_date]])/3,0)</f>
        <v>Q3</v>
      </c>
      <c r="L645" s="2" t="str">
        <f>IF(Sheet1[[#This Row],[claim_amount]]&lt;100000,"Low",IF(Sheet1[[#This Row],[claim_amount]]&lt;200000,"Medium","High"))</f>
        <v>Low</v>
      </c>
      <c r="M645" s="2" t="str">
        <f>IF(Sheet1[[#This Row],[days_to_process]]&lt;=30,"Fast","Slow")</f>
        <v>Fast</v>
      </c>
    </row>
    <row r="646" spans="1:13" x14ac:dyDescent="0.3">
      <c r="A646" t="s">
        <v>1241</v>
      </c>
      <c r="B646" s="2" t="s">
        <v>113</v>
      </c>
      <c r="C646" s="1">
        <v>45624</v>
      </c>
      <c r="D646" s="35">
        <v>86625.52</v>
      </c>
      <c r="E646" s="2" t="s">
        <v>10</v>
      </c>
      <c r="F646" s="2" t="s">
        <v>23</v>
      </c>
      <c r="G646" s="2" t="s">
        <v>12</v>
      </c>
      <c r="H646">
        <v>23</v>
      </c>
      <c r="I646" s="2" t="str">
        <f>TEXT(Sheet1[[#This Row],[claim_date]],"mmmm")</f>
        <v>November</v>
      </c>
      <c r="J646" s="2">
        <f>YEAR(Sheet1[[#This Row],[claim_date]])</f>
        <v>2024</v>
      </c>
      <c r="K646" s="2" t="str">
        <f>"Q"&amp;ROUNDUP(MONTH(Sheet1[[#This Row],[claim_date]])/3,0)</f>
        <v>Q4</v>
      </c>
      <c r="L646" s="2" t="str">
        <f>IF(Sheet1[[#This Row],[claim_amount]]&lt;100000,"Low",IF(Sheet1[[#This Row],[claim_amount]]&lt;200000,"Medium","High"))</f>
        <v>Low</v>
      </c>
      <c r="M646" s="2" t="str">
        <f>IF(Sheet1[[#This Row],[days_to_process]]&lt;=30,"Fast","Slow")</f>
        <v>Fast</v>
      </c>
    </row>
    <row r="647" spans="1:13" x14ac:dyDescent="0.3">
      <c r="A647" t="s">
        <v>1242</v>
      </c>
      <c r="B647" s="2" t="s">
        <v>1243</v>
      </c>
      <c r="C647" s="1">
        <v>45425</v>
      </c>
      <c r="D647" s="35">
        <v>268157.78000000003</v>
      </c>
      <c r="E647" s="2" t="s">
        <v>19</v>
      </c>
      <c r="F647" s="2" t="s">
        <v>20</v>
      </c>
      <c r="G647" s="2" t="s">
        <v>24</v>
      </c>
      <c r="H647">
        <v>54</v>
      </c>
      <c r="I647" s="2" t="str">
        <f>TEXT(Sheet1[[#This Row],[claim_date]],"mmmm")</f>
        <v>May</v>
      </c>
      <c r="J647" s="2">
        <f>YEAR(Sheet1[[#This Row],[claim_date]])</f>
        <v>2024</v>
      </c>
      <c r="K647" s="2" t="str">
        <f>"Q"&amp;ROUNDUP(MONTH(Sheet1[[#This Row],[claim_date]])/3,0)</f>
        <v>Q2</v>
      </c>
      <c r="L647" s="2" t="str">
        <f>IF(Sheet1[[#This Row],[claim_amount]]&lt;100000,"Low",IF(Sheet1[[#This Row],[claim_amount]]&lt;200000,"Medium","High"))</f>
        <v>High</v>
      </c>
      <c r="M647" s="2" t="str">
        <f>IF(Sheet1[[#This Row],[days_to_process]]&lt;=30,"Fast","Slow")</f>
        <v>Slow</v>
      </c>
    </row>
    <row r="648" spans="1:13" x14ac:dyDescent="0.3">
      <c r="A648" t="s">
        <v>1244</v>
      </c>
      <c r="B648" s="2" t="s">
        <v>1245</v>
      </c>
      <c r="C648" s="1">
        <v>44837</v>
      </c>
      <c r="D648" s="35">
        <v>265189.88</v>
      </c>
      <c r="E648" s="2" t="s">
        <v>15</v>
      </c>
      <c r="F648" s="2" t="s">
        <v>20</v>
      </c>
      <c r="G648" s="2" t="s">
        <v>24</v>
      </c>
      <c r="H648">
        <v>10</v>
      </c>
      <c r="I648" s="2" t="str">
        <f>TEXT(Sheet1[[#This Row],[claim_date]],"mmmm")</f>
        <v>October</v>
      </c>
      <c r="J648" s="2">
        <f>YEAR(Sheet1[[#This Row],[claim_date]])</f>
        <v>2022</v>
      </c>
      <c r="K648" s="2" t="str">
        <f>"Q"&amp;ROUNDUP(MONTH(Sheet1[[#This Row],[claim_date]])/3,0)</f>
        <v>Q4</v>
      </c>
      <c r="L648" s="2" t="str">
        <f>IF(Sheet1[[#This Row],[claim_amount]]&lt;100000,"Low",IF(Sheet1[[#This Row],[claim_amount]]&lt;200000,"Medium","High"))</f>
        <v>High</v>
      </c>
      <c r="M648" s="2" t="str">
        <f>IF(Sheet1[[#This Row],[days_to_process]]&lt;=30,"Fast","Slow")</f>
        <v>Fast</v>
      </c>
    </row>
    <row r="649" spans="1:13" x14ac:dyDescent="0.3">
      <c r="A649" t="s">
        <v>1246</v>
      </c>
      <c r="B649" s="2" t="s">
        <v>1247</v>
      </c>
      <c r="C649" s="1">
        <v>44983</v>
      </c>
      <c r="D649" s="35">
        <v>184914.62</v>
      </c>
      <c r="E649" s="2" t="s">
        <v>10</v>
      </c>
      <c r="F649" s="2" t="s">
        <v>16</v>
      </c>
      <c r="G649" s="2" t="s">
        <v>24</v>
      </c>
      <c r="H649">
        <v>54</v>
      </c>
      <c r="I649" s="2" t="str">
        <f>TEXT(Sheet1[[#This Row],[claim_date]],"mmmm")</f>
        <v>February</v>
      </c>
      <c r="J649" s="2">
        <f>YEAR(Sheet1[[#This Row],[claim_date]])</f>
        <v>2023</v>
      </c>
      <c r="K649" s="2" t="str">
        <f>"Q"&amp;ROUNDUP(MONTH(Sheet1[[#This Row],[claim_date]])/3,0)</f>
        <v>Q1</v>
      </c>
      <c r="L649" s="2" t="str">
        <f>IF(Sheet1[[#This Row],[claim_amount]]&lt;100000,"Low",IF(Sheet1[[#This Row],[claim_amount]]&lt;200000,"Medium","High"))</f>
        <v>Medium</v>
      </c>
      <c r="M649" s="2" t="str">
        <f>IF(Sheet1[[#This Row],[days_to_process]]&lt;=30,"Fast","Slow")</f>
        <v>Slow</v>
      </c>
    </row>
    <row r="650" spans="1:13" x14ac:dyDescent="0.3">
      <c r="A650" t="s">
        <v>1248</v>
      </c>
      <c r="B650" s="2" t="s">
        <v>1249</v>
      </c>
      <c r="C650" s="1">
        <v>45138</v>
      </c>
      <c r="D650" s="35">
        <v>49825.79</v>
      </c>
      <c r="E650" s="2" t="s">
        <v>15</v>
      </c>
      <c r="F650" s="2" t="s">
        <v>11</v>
      </c>
      <c r="G650" s="2" t="s">
        <v>24</v>
      </c>
      <c r="H650">
        <v>20</v>
      </c>
      <c r="I650" s="2" t="str">
        <f>TEXT(Sheet1[[#This Row],[claim_date]],"mmmm")</f>
        <v>July</v>
      </c>
      <c r="J650" s="2">
        <f>YEAR(Sheet1[[#This Row],[claim_date]])</f>
        <v>2023</v>
      </c>
      <c r="K650" s="2" t="str">
        <f>"Q"&amp;ROUNDUP(MONTH(Sheet1[[#This Row],[claim_date]])/3,0)</f>
        <v>Q3</v>
      </c>
      <c r="L650" s="2" t="str">
        <f>IF(Sheet1[[#This Row],[claim_amount]]&lt;100000,"Low",IF(Sheet1[[#This Row],[claim_amount]]&lt;200000,"Medium","High"))</f>
        <v>Low</v>
      </c>
      <c r="M650" s="2" t="str">
        <f>IF(Sheet1[[#This Row],[days_to_process]]&lt;=30,"Fast","Slow")</f>
        <v>Fast</v>
      </c>
    </row>
    <row r="651" spans="1:13" x14ac:dyDescent="0.3">
      <c r="A651" t="s">
        <v>1250</v>
      </c>
      <c r="B651" s="2" t="s">
        <v>1251</v>
      </c>
      <c r="C651" s="1">
        <v>44903</v>
      </c>
      <c r="D651" s="35">
        <v>462778.77</v>
      </c>
      <c r="E651" s="2" t="s">
        <v>15</v>
      </c>
      <c r="F651" s="2" t="s">
        <v>11</v>
      </c>
      <c r="G651" s="2" t="s">
        <v>12</v>
      </c>
      <c r="H651">
        <v>52</v>
      </c>
      <c r="I651" s="2" t="str">
        <f>TEXT(Sheet1[[#This Row],[claim_date]],"mmmm")</f>
        <v>December</v>
      </c>
      <c r="J651" s="2">
        <f>YEAR(Sheet1[[#This Row],[claim_date]])</f>
        <v>2022</v>
      </c>
      <c r="K651" s="2" t="str">
        <f>"Q"&amp;ROUNDUP(MONTH(Sheet1[[#This Row],[claim_date]])/3,0)</f>
        <v>Q4</v>
      </c>
      <c r="L651" s="2" t="str">
        <f>IF(Sheet1[[#This Row],[claim_amount]]&lt;100000,"Low",IF(Sheet1[[#This Row],[claim_amount]]&lt;200000,"Medium","High"))</f>
        <v>High</v>
      </c>
      <c r="M651" s="2" t="str">
        <f>IF(Sheet1[[#This Row],[days_to_process]]&lt;=30,"Fast","Slow")</f>
        <v>Slow</v>
      </c>
    </row>
    <row r="652" spans="1:13" x14ac:dyDescent="0.3">
      <c r="A652" t="s">
        <v>1252</v>
      </c>
      <c r="B652" s="2" t="s">
        <v>282</v>
      </c>
      <c r="C652" s="1">
        <v>44804</v>
      </c>
      <c r="D652" s="35">
        <v>264121.57</v>
      </c>
      <c r="E652" s="2" t="s">
        <v>19</v>
      </c>
      <c r="F652" s="2" t="s">
        <v>20</v>
      </c>
      <c r="G652" s="2" t="s">
        <v>24</v>
      </c>
      <c r="H652">
        <v>5</v>
      </c>
      <c r="I652" s="2" t="str">
        <f>TEXT(Sheet1[[#This Row],[claim_date]],"mmmm")</f>
        <v>August</v>
      </c>
      <c r="J652" s="2">
        <f>YEAR(Sheet1[[#This Row],[claim_date]])</f>
        <v>2022</v>
      </c>
      <c r="K652" s="2" t="str">
        <f>"Q"&amp;ROUNDUP(MONTH(Sheet1[[#This Row],[claim_date]])/3,0)</f>
        <v>Q3</v>
      </c>
      <c r="L652" s="2" t="str">
        <f>IF(Sheet1[[#This Row],[claim_amount]]&lt;100000,"Low",IF(Sheet1[[#This Row],[claim_amount]]&lt;200000,"Medium","High"))</f>
        <v>High</v>
      </c>
      <c r="M652" s="2" t="str">
        <f>IF(Sheet1[[#This Row],[days_to_process]]&lt;=30,"Fast","Slow")</f>
        <v>Fast</v>
      </c>
    </row>
    <row r="653" spans="1:13" x14ac:dyDescent="0.3">
      <c r="A653" t="s">
        <v>1253</v>
      </c>
      <c r="B653" s="2" t="s">
        <v>1254</v>
      </c>
      <c r="C653" s="1">
        <v>45355</v>
      </c>
      <c r="D653" s="35">
        <v>447669.65</v>
      </c>
      <c r="E653" s="2" t="s">
        <v>15</v>
      </c>
      <c r="F653" s="2" t="s">
        <v>23</v>
      </c>
      <c r="G653" s="2" t="s">
        <v>12</v>
      </c>
      <c r="H653">
        <v>57</v>
      </c>
      <c r="I653" s="2" t="str">
        <f>TEXT(Sheet1[[#This Row],[claim_date]],"mmmm")</f>
        <v>March</v>
      </c>
      <c r="J653" s="2">
        <f>YEAR(Sheet1[[#This Row],[claim_date]])</f>
        <v>2024</v>
      </c>
      <c r="K653" s="2" t="str">
        <f>"Q"&amp;ROUNDUP(MONTH(Sheet1[[#This Row],[claim_date]])/3,0)</f>
        <v>Q1</v>
      </c>
      <c r="L653" s="2" t="str">
        <f>IF(Sheet1[[#This Row],[claim_amount]]&lt;100000,"Low",IF(Sheet1[[#This Row],[claim_amount]]&lt;200000,"Medium","High"))</f>
        <v>High</v>
      </c>
      <c r="M653" s="2" t="str">
        <f>IF(Sheet1[[#This Row],[days_to_process]]&lt;=30,"Fast","Slow")</f>
        <v>Slow</v>
      </c>
    </row>
    <row r="654" spans="1:13" x14ac:dyDescent="0.3">
      <c r="A654" t="s">
        <v>1255</v>
      </c>
      <c r="B654" s="2" t="s">
        <v>549</v>
      </c>
      <c r="C654" s="1">
        <v>44740</v>
      </c>
      <c r="D654" s="35">
        <v>179713.16</v>
      </c>
      <c r="E654" s="2" t="s">
        <v>15</v>
      </c>
      <c r="F654" s="2" t="s">
        <v>16</v>
      </c>
      <c r="G654" s="2" t="s">
        <v>24</v>
      </c>
      <c r="H654">
        <v>49</v>
      </c>
      <c r="I654" s="2" t="str">
        <f>TEXT(Sheet1[[#This Row],[claim_date]],"mmmm")</f>
        <v>June</v>
      </c>
      <c r="J654" s="2">
        <f>YEAR(Sheet1[[#This Row],[claim_date]])</f>
        <v>2022</v>
      </c>
      <c r="K654" s="2" t="str">
        <f>"Q"&amp;ROUNDUP(MONTH(Sheet1[[#This Row],[claim_date]])/3,0)</f>
        <v>Q2</v>
      </c>
      <c r="L654" s="2" t="str">
        <f>IF(Sheet1[[#This Row],[claim_amount]]&lt;100000,"Low",IF(Sheet1[[#This Row],[claim_amount]]&lt;200000,"Medium","High"))</f>
        <v>Medium</v>
      </c>
      <c r="M654" s="2" t="str">
        <f>IF(Sheet1[[#This Row],[days_to_process]]&lt;=30,"Fast","Slow")</f>
        <v>Slow</v>
      </c>
    </row>
    <row r="655" spans="1:13" x14ac:dyDescent="0.3">
      <c r="A655" t="s">
        <v>1256</v>
      </c>
      <c r="B655" s="2" t="s">
        <v>932</v>
      </c>
      <c r="C655" s="1">
        <v>45542</v>
      </c>
      <c r="D655" s="35">
        <v>324825.77</v>
      </c>
      <c r="E655" s="2" t="s">
        <v>15</v>
      </c>
      <c r="F655" s="2" t="s">
        <v>34</v>
      </c>
      <c r="G655" s="2" t="s">
        <v>24</v>
      </c>
      <c r="H655">
        <v>52</v>
      </c>
      <c r="I655" s="2" t="str">
        <f>TEXT(Sheet1[[#This Row],[claim_date]],"mmmm")</f>
        <v>September</v>
      </c>
      <c r="J655" s="2">
        <f>YEAR(Sheet1[[#This Row],[claim_date]])</f>
        <v>2024</v>
      </c>
      <c r="K655" s="2" t="str">
        <f>"Q"&amp;ROUNDUP(MONTH(Sheet1[[#This Row],[claim_date]])/3,0)</f>
        <v>Q3</v>
      </c>
      <c r="L655" s="2" t="str">
        <f>IF(Sheet1[[#This Row],[claim_amount]]&lt;100000,"Low",IF(Sheet1[[#This Row],[claim_amount]]&lt;200000,"Medium","High"))</f>
        <v>High</v>
      </c>
      <c r="M655" s="2" t="str">
        <f>IF(Sheet1[[#This Row],[days_to_process]]&lt;=30,"Fast","Slow")</f>
        <v>Slow</v>
      </c>
    </row>
    <row r="656" spans="1:13" x14ac:dyDescent="0.3">
      <c r="A656" t="s">
        <v>1257</v>
      </c>
      <c r="B656" s="2" t="s">
        <v>352</v>
      </c>
      <c r="C656" s="1">
        <v>44217</v>
      </c>
      <c r="D656" s="35">
        <v>64301.9</v>
      </c>
      <c r="E656" s="2" t="s">
        <v>15</v>
      </c>
      <c r="F656" s="2" t="s">
        <v>11</v>
      </c>
      <c r="G656" s="2" t="s">
        <v>24</v>
      </c>
      <c r="H656">
        <v>49</v>
      </c>
      <c r="I656" s="2" t="str">
        <f>TEXT(Sheet1[[#This Row],[claim_date]],"mmmm")</f>
        <v>January</v>
      </c>
      <c r="J656" s="2">
        <f>YEAR(Sheet1[[#This Row],[claim_date]])</f>
        <v>2021</v>
      </c>
      <c r="K656" s="2" t="str">
        <f>"Q"&amp;ROUNDUP(MONTH(Sheet1[[#This Row],[claim_date]])/3,0)</f>
        <v>Q1</v>
      </c>
      <c r="L656" s="2" t="str">
        <f>IF(Sheet1[[#This Row],[claim_amount]]&lt;100000,"Low",IF(Sheet1[[#This Row],[claim_amount]]&lt;200000,"Medium","High"))</f>
        <v>Low</v>
      </c>
      <c r="M656" s="2" t="str">
        <f>IF(Sheet1[[#This Row],[days_to_process]]&lt;=30,"Fast","Slow")</f>
        <v>Slow</v>
      </c>
    </row>
    <row r="657" spans="1:13" x14ac:dyDescent="0.3">
      <c r="A657" t="s">
        <v>1258</v>
      </c>
      <c r="B657" s="2" t="s">
        <v>1259</v>
      </c>
      <c r="C657" s="1">
        <v>45417</v>
      </c>
      <c r="D657" s="35">
        <v>193337.9</v>
      </c>
      <c r="E657" s="2" t="s">
        <v>15</v>
      </c>
      <c r="F657" s="2" t="s">
        <v>34</v>
      </c>
      <c r="G657" s="2" t="s">
        <v>12</v>
      </c>
      <c r="H657">
        <v>53</v>
      </c>
      <c r="I657" s="2" t="str">
        <f>TEXT(Sheet1[[#This Row],[claim_date]],"mmmm")</f>
        <v>May</v>
      </c>
      <c r="J657" s="2">
        <f>YEAR(Sheet1[[#This Row],[claim_date]])</f>
        <v>2024</v>
      </c>
      <c r="K657" s="2" t="str">
        <f>"Q"&amp;ROUNDUP(MONTH(Sheet1[[#This Row],[claim_date]])/3,0)</f>
        <v>Q2</v>
      </c>
      <c r="L657" s="2" t="str">
        <f>IF(Sheet1[[#This Row],[claim_amount]]&lt;100000,"Low",IF(Sheet1[[#This Row],[claim_amount]]&lt;200000,"Medium","High"))</f>
        <v>Medium</v>
      </c>
      <c r="M657" s="2" t="str">
        <f>IF(Sheet1[[#This Row],[days_to_process]]&lt;=30,"Fast","Slow")</f>
        <v>Slow</v>
      </c>
    </row>
    <row r="658" spans="1:13" x14ac:dyDescent="0.3">
      <c r="A658" t="s">
        <v>1260</v>
      </c>
      <c r="B658" s="2" t="s">
        <v>1116</v>
      </c>
      <c r="C658" s="1">
        <v>45232</v>
      </c>
      <c r="D658" s="35">
        <v>206109.17</v>
      </c>
      <c r="E658" s="2" t="s">
        <v>15</v>
      </c>
      <c r="F658" s="2" t="s">
        <v>11</v>
      </c>
      <c r="G658" s="2" t="s">
        <v>24</v>
      </c>
      <c r="H658">
        <v>38</v>
      </c>
      <c r="I658" s="2" t="str">
        <f>TEXT(Sheet1[[#This Row],[claim_date]],"mmmm")</f>
        <v>November</v>
      </c>
      <c r="J658" s="2">
        <f>YEAR(Sheet1[[#This Row],[claim_date]])</f>
        <v>2023</v>
      </c>
      <c r="K658" s="2" t="str">
        <f>"Q"&amp;ROUNDUP(MONTH(Sheet1[[#This Row],[claim_date]])/3,0)</f>
        <v>Q4</v>
      </c>
      <c r="L658" s="2" t="str">
        <f>IF(Sheet1[[#This Row],[claim_amount]]&lt;100000,"Low",IF(Sheet1[[#This Row],[claim_amount]]&lt;200000,"Medium","High"))</f>
        <v>High</v>
      </c>
      <c r="M658" s="2" t="str">
        <f>IF(Sheet1[[#This Row],[days_to_process]]&lt;=30,"Fast","Slow")</f>
        <v>Slow</v>
      </c>
    </row>
    <row r="659" spans="1:13" x14ac:dyDescent="0.3">
      <c r="A659" t="s">
        <v>1261</v>
      </c>
      <c r="B659" s="2" t="s">
        <v>1262</v>
      </c>
      <c r="C659" s="1">
        <v>44856</v>
      </c>
      <c r="D659" s="35">
        <v>287410.67</v>
      </c>
      <c r="E659" s="2" t="s">
        <v>10</v>
      </c>
      <c r="F659" s="2" t="s">
        <v>20</v>
      </c>
      <c r="G659" s="2" t="s">
        <v>24</v>
      </c>
      <c r="H659">
        <v>57</v>
      </c>
      <c r="I659" s="2" t="str">
        <f>TEXT(Sheet1[[#This Row],[claim_date]],"mmmm")</f>
        <v>October</v>
      </c>
      <c r="J659" s="2">
        <f>YEAR(Sheet1[[#This Row],[claim_date]])</f>
        <v>2022</v>
      </c>
      <c r="K659" s="2" t="str">
        <f>"Q"&amp;ROUNDUP(MONTH(Sheet1[[#This Row],[claim_date]])/3,0)</f>
        <v>Q4</v>
      </c>
      <c r="L659" s="2" t="str">
        <f>IF(Sheet1[[#This Row],[claim_amount]]&lt;100000,"Low",IF(Sheet1[[#This Row],[claim_amount]]&lt;200000,"Medium","High"))</f>
        <v>High</v>
      </c>
      <c r="M659" s="2" t="str">
        <f>IF(Sheet1[[#This Row],[days_to_process]]&lt;=30,"Fast","Slow")</f>
        <v>Slow</v>
      </c>
    </row>
    <row r="660" spans="1:13" x14ac:dyDescent="0.3">
      <c r="A660" t="s">
        <v>1263</v>
      </c>
      <c r="B660" s="2" t="s">
        <v>1264</v>
      </c>
      <c r="C660" s="1">
        <v>45248</v>
      </c>
      <c r="D660" s="35">
        <v>167720.25</v>
      </c>
      <c r="E660" s="2" t="s">
        <v>15</v>
      </c>
      <c r="F660" s="2" t="s">
        <v>11</v>
      </c>
      <c r="G660" s="2" t="s">
        <v>24</v>
      </c>
      <c r="H660">
        <v>21</v>
      </c>
      <c r="I660" s="2" t="str">
        <f>TEXT(Sheet1[[#This Row],[claim_date]],"mmmm")</f>
        <v>November</v>
      </c>
      <c r="J660" s="2">
        <f>YEAR(Sheet1[[#This Row],[claim_date]])</f>
        <v>2023</v>
      </c>
      <c r="K660" s="2" t="str">
        <f>"Q"&amp;ROUNDUP(MONTH(Sheet1[[#This Row],[claim_date]])/3,0)</f>
        <v>Q4</v>
      </c>
      <c r="L660" s="2" t="str">
        <f>IF(Sheet1[[#This Row],[claim_amount]]&lt;100000,"Low",IF(Sheet1[[#This Row],[claim_amount]]&lt;200000,"Medium","High"))</f>
        <v>Medium</v>
      </c>
      <c r="M660" s="2" t="str">
        <f>IF(Sheet1[[#This Row],[days_to_process]]&lt;=30,"Fast","Slow")</f>
        <v>Fast</v>
      </c>
    </row>
    <row r="661" spans="1:13" x14ac:dyDescent="0.3">
      <c r="A661" t="s">
        <v>1265</v>
      </c>
      <c r="B661" s="2" t="s">
        <v>1266</v>
      </c>
      <c r="C661" s="1">
        <v>45417</v>
      </c>
      <c r="D661" s="35">
        <v>386486.86</v>
      </c>
      <c r="E661" s="2" t="s">
        <v>15</v>
      </c>
      <c r="F661" s="2" t="s">
        <v>34</v>
      </c>
      <c r="G661" s="2" t="s">
        <v>12</v>
      </c>
      <c r="H661">
        <v>26</v>
      </c>
      <c r="I661" s="2" t="str">
        <f>TEXT(Sheet1[[#This Row],[claim_date]],"mmmm")</f>
        <v>May</v>
      </c>
      <c r="J661" s="2">
        <f>YEAR(Sheet1[[#This Row],[claim_date]])</f>
        <v>2024</v>
      </c>
      <c r="K661" s="2" t="str">
        <f>"Q"&amp;ROUNDUP(MONTH(Sheet1[[#This Row],[claim_date]])/3,0)</f>
        <v>Q2</v>
      </c>
      <c r="L661" s="2" t="str">
        <f>IF(Sheet1[[#This Row],[claim_amount]]&lt;100000,"Low",IF(Sheet1[[#This Row],[claim_amount]]&lt;200000,"Medium","High"))</f>
        <v>High</v>
      </c>
      <c r="M661" s="2" t="str">
        <f>IF(Sheet1[[#This Row],[days_to_process]]&lt;=30,"Fast","Slow")</f>
        <v>Fast</v>
      </c>
    </row>
    <row r="662" spans="1:13" x14ac:dyDescent="0.3">
      <c r="A662" t="s">
        <v>1267</v>
      </c>
      <c r="B662" s="2" t="s">
        <v>1268</v>
      </c>
      <c r="C662" s="1">
        <v>45645</v>
      </c>
      <c r="D662" s="35">
        <v>461748.87</v>
      </c>
      <c r="E662" s="2" t="s">
        <v>15</v>
      </c>
      <c r="F662" s="2" t="s">
        <v>34</v>
      </c>
      <c r="G662" s="2" t="s">
        <v>12</v>
      </c>
      <c r="H662">
        <v>13</v>
      </c>
      <c r="I662" s="2" t="str">
        <f>TEXT(Sheet1[[#This Row],[claim_date]],"mmmm")</f>
        <v>December</v>
      </c>
      <c r="J662" s="2">
        <f>YEAR(Sheet1[[#This Row],[claim_date]])</f>
        <v>2024</v>
      </c>
      <c r="K662" s="2" t="str">
        <f>"Q"&amp;ROUNDUP(MONTH(Sheet1[[#This Row],[claim_date]])/3,0)</f>
        <v>Q4</v>
      </c>
      <c r="L662" s="2" t="str">
        <f>IF(Sheet1[[#This Row],[claim_amount]]&lt;100000,"Low",IF(Sheet1[[#This Row],[claim_amount]]&lt;200000,"Medium","High"))</f>
        <v>High</v>
      </c>
      <c r="M662" s="2" t="str">
        <f>IF(Sheet1[[#This Row],[days_to_process]]&lt;=30,"Fast","Slow")</f>
        <v>Fast</v>
      </c>
    </row>
    <row r="663" spans="1:13" x14ac:dyDescent="0.3">
      <c r="A663" t="s">
        <v>1269</v>
      </c>
      <c r="B663" s="2" t="s">
        <v>1270</v>
      </c>
      <c r="C663" s="1">
        <v>45544</v>
      </c>
      <c r="D663" s="35">
        <v>127506.05</v>
      </c>
      <c r="E663" s="2" t="s">
        <v>10</v>
      </c>
      <c r="F663" s="2" t="s">
        <v>23</v>
      </c>
      <c r="G663" s="2" t="s">
        <v>12</v>
      </c>
      <c r="H663">
        <v>8</v>
      </c>
      <c r="I663" s="2" t="str">
        <f>TEXT(Sheet1[[#This Row],[claim_date]],"mmmm")</f>
        <v>September</v>
      </c>
      <c r="J663" s="2">
        <f>YEAR(Sheet1[[#This Row],[claim_date]])</f>
        <v>2024</v>
      </c>
      <c r="K663" s="2" t="str">
        <f>"Q"&amp;ROUNDUP(MONTH(Sheet1[[#This Row],[claim_date]])/3,0)</f>
        <v>Q3</v>
      </c>
      <c r="L663" s="2" t="str">
        <f>IF(Sheet1[[#This Row],[claim_amount]]&lt;100000,"Low",IF(Sheet1[[#This Row],[claim_amount]]&lt;200000,"Medium","High"))</f>
        <v>Medium</v>
      </c>
      <c r="M663" s="2" t="str">
        <f>IF(Sheet1[[#This Row],[days_to_process]]&lt;=30,"Fast","Slow")</f>
        <v>Fast</v>
      </c>
    </row>
    <row r="664" spans="1:13" x14ac:dyDescent="0.3">
      <c r="A664" t="s">
        <v>1271</v>
      </c>
      <c r="B664" s="2" t="s">
        <v>1272</v>
      </c>
      <c r="C664" s="1">
        <v>44939</v>
      </c>
      <c r="D664" s="35">
        <v>104690.04</v>
      </c>
      <c r="E664" s="2" t="s">
        <v>19</v>
      </c>
      <c r="F664" s="2" t="s">
        <v>34</v>
      </c>
      <c r="G664" s="2" t="s">
        <v>12</v>
      </c>
      <c r="H664">
        <v>3</v>
      </c>
      <c r="I664" s="2" t="str">
        <f>TEXT(Sheet1[[#This Row],[claim_date]],"mmmm")</f>
        <v>January</v>
      </c>
      <c r="J664" s="2">
        <f>YEAR(Sheet1[[#This Row],[claim_date]])</f>
        <v>2023</v>
      </c>
      <c r="K664" s="2" t="str">
        <f>"Q"&amp;ROUNDUP(MONTH(Sheet1[[#This Row],[claim_date]])/3,0)</f>
        <v>Q1</v>
      </c>
      <c r="L664" s="2" t="str">
        <f>IF(Sheet1[[#This Row],[claim_amount]]&lt;100000,"Low",IF(Sheet1[[#This Row],[claim_amount]]&lt;200000,"Medium","High"))</f>
        <v>Medium</v>
      </c>
      <c r="M664" s="2" t="str">
        <f>IF(Sheet1[[#This Row],[days_to_process]]&lt;=30,"Fast","Slow")</f>
        <v>Fast</v>
      </c>
    </row>
    <row r="665" spans="1:13" x14ac:dyDescent="0.3">
      <c r="A665" t="s">
        <v>1273</v>
      </c>
      <c r="B665" s="2" t="s">
        <v>528</v>
      </c>
      <c r="C665" s="1">
        <v>44591</v>
      </c>
      <c r="D665" s="35">
        <v>90820.2</v>
      </c>
      <c r="E665" s="2" t="s">
        <v>19</v>
      </c>
      <c r="F665" s="2" t="s">
        <v>34</v>
      </c>
      <c r="G665" s="2" t="s">
        <v>24</v>
      </c>
      <c r="H665">
        <v>36</v>
      </c>
      <c r="I665" s="2" t="str">
        <f>TEXT(Sheet1[[#This Row],[claim_date]],"mmmm")</f>
        <v>January</v>
      </c>
      <c r="J665" s="2">
        <f>YEAR(Sheet1[[#This Row],[claim_date]])</f>
        <v>2022</v>
      </c>
      <c r="K665" s="2" t="str">
        <f>"Q"&amp;ROUNDUP(MONTH(Sheet1[[#This Row],[claim_date]])/3,0)</f>
        <v>Q1</v>
      </c>
      <c r="L665" s="2" t="str">
        <f>IF(Sheet1[[#This Row],[claim_amount]]&lt;100000,"Low",IF(Sheet1[[#This Row],[claim_amount]]&lt;200000,"Medium","High"))</f>
        <v>Low</v>
      </c>
      <c r="M665" s="2" t="str">
        <f>IF(Sheet1[[#This Row],[days_to_process]]&lt;=30,"Fast","Slow")</f>
        <v>Slow</v>
      </c>
    </row>
    <row r="666" spans="1:13" x14ac:dyDescent="0.3">
      <c r="A666" t="s">
        <v>1274</v>
      </c>
      <c r="B666" s="2" t="s">
        <v>82</v>
      </c>
      <c r="C666" s="1">
        <v>45520</v>
      </c>
      <c r="D666" s="35">
        <v>100467.14</v>
      </c>
      <c r="E666" s="2" t="s">
        <v>15</v>
      </c>
      <c r="F666" s="2" t="s">
        <v>11</v>
      </c>
      <c r="G666" s="2" t="s">
        <v>24</v>
      </c>
      <c r="H666">
        <v>37</v>
      </c>
      <c r="I666" s="2" t="str">
        <f>TEXT(Sheet1[[#This Row],[claim_date]],"mmmm")</f>
        <v>August</v>
      </c>
      <c r="J666" s="2">
        <f>YEAR(Sheet1[[#This Row],[claim_date]])</f>
        <v>2024</v>
      </c>
      <c r="K666" s="2" t="str">
        <f>"Q"&amp;ROUNDUP(MONTH(Sheet1[[#This Row],[claim_date]])/3,0)</f>
        <v>Q3</v>
      </c>
      <c r="L666" s="2" t="str">
        <f>IF(Sheet1[[#This Row],[claim_amount]]&lt;100000,"Low",IF(Sheet1[[#This Row],[claim_amount]]&lt;200000,"Medium","High"))</f>
        <v>Medium</v>
      </c>
      <c r="M666" s="2" t="str">
        <f>IF(Sheet1[[#This Row],[days_to_process]]&lt;=30,"Fast","Slow")</f>
        <v>Slow</v>
      </c>
    </row>
    <row r="667" spans="1:13" x14ac:dyDescent="0.3">
      <c r="A667" t="s">
        <v>1275</v>
      </c>
      <c r="B667" s="2" t="s">
        <v>1276</v>
      </c>
      <c r="C667" s="1">
        <v>45054</v>
      </c>
      <c r="D667" s="35">
        <v>372766.05</v>
      </c>
      <c r="E667" s="2" t="s">
        <v>10</v>
      </c>
      <c r="F667" s="2" t="s">
        <v>23</v>
      </c>
      <c r="G667" s="2" t="s">
        <v>12</v>
      </c>
      <c r="H667">
        <v>8</v>
      </c>
      <c r="I667" s="2" t="str">
        <f>TEXT(Sheet1[[#This Row],[claim_date]],"mmmm")</f>
        <v>May</v>
      </c>
      <c r="J667" s="2">
        <f>YEAR(Sheet1[[#This Row],[claim_date]])</f>
        <v>2023</v>
      </c>
      <c r="K667" s="2" t="str">
        <f>"Q"&amp;ROUNDUP(MONTH(Sheet1[[#This Row],[claim_date]])/3,0)</f>
        <v>Q2</v>
      </c>
      <c r="L667" s="2" t="str">
        <f>IF(Sheet1[[#This Row],[claim_amount]]&lt;100000,"Low",IF(Sheet1[[#This Row],[claim_amount]]&lt;200000,"Medium","High"))</f>
        <v>High</v>
      </c>
      <c r="M667" s="2" t="str">
        <f>IF(Sheet1[[#This Row],[days_to_process]]&lt;=30,"Fast","Slow")</f>
        <v>Fast</v>
      </c>
    </row>
    <row r="668" spans="1:13" x14ac:dyDescent="0.3">
      <c r="A668" t="s">
        <v>1277</v>
      </c>
      <c r="B668" s="2" t="s">
        <v>1278</v>
      </c>
      <c r="C668" s="1">
        <v>45042</v>
      </c>
      <c r="D668" s="35">
        <v>335982.3</v>
      </c>
      <c r="E668" s="2" t="s">
        <v>10</v>
      </c>
      <c r="F668" s="2" t="s">
        <v>11</v>
      </c>
      <c r="G668" s="2" t="s">
        <v>24</v>
      </c>
      <c r="H668">
        <v>30</v>
      </c>
      <c r="I668" s="2" t="str">
        <f>TEXT(Sheet1[[#This Row],[claim_date]],"mmmm")</f>
        <v>April</v>
      </c>
      <c r="J668" s="2">
        <f>YEAR(Sheet1[[#This Row],[claim_date]])</f>
        <v>2023</v>
      </c>
      <c r="K668" s="2" t="str">
        <f>"Q"&amp;ROUNDUP(MONTH(Sheet1[[#This Row],[claim_date]])/3,0)</f>
        <v>Q2</v>
      </c>
      <c r="L668" s="2" t="str">
        <f>IF(Sheet1[[#This Row],[claim_amount]]&lt;100000,"Low",IF(Sheet1[[#This Row],[claim_amount]]&lt;200000,"Medium","High"))</f>
        <v>High</v>
      </c>
      <c r="M668" s="2" t="str">
        <f>IF(Sheet1[[#This Row],[days_to_process]]&lt;=30,"Fast","Slow")</f>
        <v>Fast</v>
      </c>
    </row>
    <row r="669" spans="1:13" x14ac:dyDescent="0.3">
      <c r="A669" t="s">
        <v>1279</v>
      </c>
      <c r="B669" s="2" t="s">
        <v>1213</v>
      </c>
      <c r="C669" s="1">
        <v>44892</v>
      </c>
      <c r="D669" s="35">
        <v>329502.63</v>
      </c>
      <c r="E669" s="2" t="s">
        <v>10</v>
      </c>
      <c r="F669" s="2" t="s">
        <v>20</v>
      </c>
      <c r="G669" s="2" t="s">
        <v>12</v>
      </c>
      <c r="H669">
        <v>33</v>
      </c>
      <c r="I669" s="2" t="str">
        <f>TEXT(Sheet1[[#This Row],[claim_date]],"mmmm")</f>
        <v>November</v>
      </c>
      <c r="J669" s="2">
        <f>YEAR(Sheet1[[#This Row],[claim_date]])</f>
        <v>2022</v>
      </c>
      <c r="K669" s="2" t="str">
        <f>"Q"&amp;ROUNDUP(MONTH(Sheet1[[#This Row],[claim_date]])/3,0)</f>
        <v>Q4</v>
      </c>
      <c r="L669" s="2" t="str">
        <f>IF(Sheet1[[#This Row],[claim_amount]]&lt;100000,"Low",IF(Sheet1[[#This Row],[claim_amount]]&lt;200000,"Medium","High"))</f>
        <v>High</v>
      </c>
      <c r="M669" s="2" t="str">
        <f>IF(Sheet1[[#This Row],[days_to_process]]&lt;=30,"Fast","Slow")</f>
        <v>Slow</v>
      </c>
    </row>
    <row r="670" spans="1:13" x14ac:dyDescent="0.3">
      <c r="A670" t="s">
        <v>1280</v>
      </c>
      <c r="B670" s="2" t="s">
        <v>1281</v>
      </c>
      <c r="C670" s="1">
        <v>45276</v>
      </c>
      <c r="D670" s="35">
        <v>125164.73</v>
      </c>
      <c r="E670" s="2" t="s">
        <v>19</v>
      </c>
      <c r="F670" s="2" t="s">
        <v>20</v>
      </c>
      <c r="G670" s="2" t="s">
        <v>12</v>
      </c>
      <c r="H670">
        <v>31</v>
      </c>
      <c r="I670" s="2" t="str">
        <f>TEXT(Sheet1[[#This Row],[claim_date]],"mmmm")</f>
        <v>December</v>
      </c>
      <c r="J670" s="2">
        <f>YEAR(Sheet1[[#This Row],[claim_date]])</f>
        <v>2023</v>
      </c>
      <c r="K670" s="2" t="str">
        <f>"Q"&amp;ROUNDUP(MONTH(Sheet1[[#This Row],[claim_date]])/3,0)</f>
        <v>Q4</v>
      </c>
      <c r="L670" s="2" t="str">
        <f>IF(Sheet1[[#This Row],[claim_amount]]&lt;100000,"Low",IF(Sheet1[[#This Row],[claim_amount]]&lt;200000,"Medium","High"))</f>
        <v>Medium</v>
      </c>
      <c r="M670" s="2" t="str">
        <f>IF(Sheet1[[#This Row],[days_to_process]]&lt;=30,"Fast","Slow")</f>
        <v>Slow</v>
      </c>
    </row>
    <row r="671" spans="1:13" x14ac:dyDescent="0.3">
      <c r="A671" t="s">
        <v>1282</v>
      </c>
      <c r="B671" s="2" t="s">
        <v>906</v>
      </c>
      <c r="C671" s="1">
        <v>45179</v>
      </c>
      <c r="D671" s="35">
        <v>70927.25</v>
      </c>
      <c r="E671" s="2" t="s">
        <v>10</v>
      </c>
      <c r="F671" s="2" t="s">
        <v>16</v>
      </c>
      <c r="G671" s="2" t="s">
        <v>24</v>
      </c>
      <c r="H671">
        <v>39</v>
      </c>
      <c r="I671" s="2" t="str">
        <f>TEXT(Sheet1[[#This Row],[claim_date]],"mmmm")</f>
        <v>September</v>
      </c>
      <c r="J671" s="2">
        <f>YEAR(Sheet1[[#This Row],[claim_date]])</f>
        <v>2023</v>
      </c>
      <c r="K671" s="2" t="str">
        <f>"Q"&amp;ROUNDUP(MONTH(Sheet1[[#This Row],[claim_date]])/3,0)</f>
        <v>Q3</v>
      </c>
      <c r="L671" s="2" t="str">
        <f>IF(Sheet1[[#This Row],[claim_amount]]&lt;100000,"Low",IF(Sheet1[[#This Row],[claim_amount]]&lt;200000,"Medium","High"))</f>
        <v>Low</v>
      </c>
      <c r="M671" s="2" t="str">
        <f>IF(Sheet1[[#This Row],[days_to_process]]&lt;=30,"Fast","Slow")</f>
        <v>Slow</v>
      </c>
    </row>
    <row r="672" spans="1:13" x14ac:dyDescent="0.3">
      <c r="A672" t="s">
        <v>1283</v>
      </c>
      <c r="B672" s="2" t="s">
        <v>1284</v>
      </c>
      <c r="C672" s="1">
        <v>45146</v>
      </c>
      <c r="D672" s="35">
        <v>69499.59</v>
      </c>
      <c r="E672" s="2" t="s">
        <v>10</v>
      </c>
      <c r="F672" s="2" t="s">
        <v>16</v>
      </c>
      <c r="G672" s="2" t="s">
        <v>12</v>
      </c>
      <c r="H672">
        <v>19</v>
      </c>
      <c r="I672" s="2" t="str">
        <f>TEXT(Sheet1[[#This Row],[claim_date]],"mmmm")</f>
        <v>August</v>
      </c>
      <c r="J672" s="2">
        <f>YEAR(Sheet1[[#This Row],[claim_date]])</f>
        <v>2023</v>
      </c>
      <c r="K672" s="2" t="str">
        <f>"Q"&amp;ROUNDUP(MONTH(Sheet1[[#This Row],[claim_date]])/3,0)</f>
        <v>Q3</v>
      </c>
      <c r="L672" s="2" t="str">
        <f>IF(Sheet1[[#This Row],[claim_amount]]&lt;100000,"Low",IF(Sheet1[[#This Row],[claim_amount]]&lt;200000,"Medium","High"))</f>
        <v>Low</v>
      </c>
      <c r="M672" s="2" t="str">
        <f>IF(Sheet1[[#This Row],[days_to_process]]&lt;=30,"Fast","Slow")</f>
        <v>Fast</v>
      </c>
    </row>
    <row r="673" spans="1:13" x14ac:dyDescent="0.3">
      <c r="A673" t="s">
        <v>1285</v>
      </c>
      <c r="B673" s="2" t="s">
        <v>31</v>
      </c>
      <c r="C673" s="1">
        <v>45101</v>
      </c>
      <c r="D673" s="35">
        <v>271541.07</v>
      </c>
      <c r="E673" s="2" t="s">
        <v>10</v>
      </c>
      <c r="F673" s="2" t="s">
        <v>20</v>
      </c>
      <c r="G673" s="2" t="s">
        <v>12</v>
      </c>
      <c r="H673">
        <v>50</v>
      </c>
      <c r="I673" s="2" t="str">
        <f>TEXT(Sheet1[[#This Row],[claim_date]],"mmmm")</f>
        <v>June</v>
      </c>
      <c r="J673" s="2">
        <f>YEAR(Sheet1[[#This Row],[claim_date]])</f>
        <v>2023</v>
      </c>
      <c r="K673" s="2" t="str">
        <f>"Q"&amp;ROUNDUP(MONTH(Sheet1[[#This Row],[claim_date]])/3,0)</f>
        <v>Q2</v>
      </c>
      <c r="L673" s="2" t="str">
        <f>IF(Sheet1[[#This Row],[claim_amount]]&lt;100000,"Low",IF(Sheet1[[#This Row],[claim_amount]]&lt;200000,"Medium","High"))</f>
        <v>High</v>
      </c>
      <c r="M673" s="2" t="str">
        <f>IF(Sheet1[[#This Row],[days_to_process]]&lt;=30,"Fast","Slow")</f>
        <v>Slow</v>
      </c>
    </row>
    <row r="674" spans="1:13" x14ac:dyDescent="0.3">
      <c r="A674" t="s">
        <v>1286</v>
      </c>
      <c r="B674" s="2" t="s">
        <v>1287</v>
      </c>
      <c r="C674" s="1">
        <v>45383</v>
      </c>
      <c r="D674" s="35">
        <v>418662.56</v>
      </c>
      <c r="E674" s="2" t="s">
        <v>15</v>
      </c>
      <c r="F674" s="2" t="s">
        <v>20</v>
      </c>
      <c r="G674" s="2" t="s">
        <v>24</v>
      </c>
      <c r="H674">
        <v>33</v>
      </c>
      <c r="I674" s="2" t="str">
        <f>TEXT(Sheet1[[#This Row],[claim_date]],"mmmm")</f>
        <v>April</v>
      </c>
      <c r="J674" s="2">
        <f>YEAR(Sheet1[[#This Row],[claim_date]])</f>
        <v>2024</v>
      </c>
      <c r="K674" s="2" t="str">
        <f>"Q"&amp;ROUNDUP(MONTH(Sheet1[[#This Row],[claim_date]])/3,0)</f>
        <v>Q2</v>
      </c>
      <c r="L674" s="2" t="str">
        <f>IF(Sheet1[[#This Row],[claim_amount]]&lt;100000,"Low",IF(Sheet1[[#This Row],[claim_amount]]&lt;200000,"Medium","High"))</f>
        <v>High</v>
      </c>
      <c r="M674" s="2" t="str">
        <f>IF(Sheet1[[#This Row],[days_to_process]]&lt;=30,"Fast","Slow")</f>
        <v>Slow</v>
      </c>
    </row>
    <row r="675" spans="1:13" x14ac:dyDescent="0.3">
      <c r="A675" t="s">
        <v>1288</v>
      </c>
      <c r="B675" s="2" t="s">
        <v>1289</v>
      </c>
      <c r="C675" s="1">
        <v>45393</v>
      </c>
      <c r="D675" s="35">
        <v>235717.87</v>
      </c>
      <c r="E675" s="2" t="s">
        <v>15</v>
      </c>
      <c r="F675" s="2" t="s">
        <v>23</v>
      </c>
      <c r="G675" s="2" t="s">
        <v>24</v>
      </c>
      <c r="H675">
        <v>26</v>
      </c>
      <c r="I675" s="2" t="str">
        <f>TEXT(Sheet1[[#This Row],[claim_date]],"mmmm")</f>
        <v>April</v>
      </c>
      <c r="J675" s="2">
        <f>YEAR(Sheet1[[#This Row],[claim_date]])</f>
        <v>2024</v>
      </c>
      <c r="K675" s="2" t="str">
        <f>"Q"&amp;ROUNDUP(MONTH(Sheet1[[#This Row],[claim_date]])/3,0)</f>
        <v>Q2</v>
      </c>
      <c r="L675" s="2" t="str">
        <f>IF(Sheet1[[#This Row],[claim_amount]]&lt;100000,"Low",IF(Sheet1[[#This Row],[claim_amount]]&lt;200000,"Medium","High"))</f>
        <v>High</v>
      </c>
      <c r="M675" s="2" t="str">
        <f>IF(Sheet1[[#This Row],[days_to_process]]&lt;=30,"Fast","Slow")</f>
        <v>Fast</v>
      </c>
    </row>
    <row r="676" spans="1:13" x14ac:dyDescent="0.3">
      <c r="A676" t="s">
        <v>1290</v>
      </c>
      <c r="B676" s="2" t="s">
        <v>1291</v>
      </c>
      <c r="C676" s="1">
        <v>45402</v>
      </c>
      <c r="D676" s="35">
        <v>305888.05</v>
      </c>
      <c r="E676" s="2" t="s">
        <v>10</v>
      </c>
      <c r="F676" s="2" t="s">
        <v>34</v>
      </c>
      <c r="G676" s="2" t="s">
        <v>24</v>
      </c>
      <c r="H676">
        <v>36</v>
      </c>
      <c r="I676" s="2" t="str">
        <f>TEXT(Sheet1[[#This Row],[claim_date]],"mmmm")</f>
        <v>April</v>
      </c>
      <c r="J676" s="2">
        <f>YEAR(Sheet1[[#This Row],[claim_date]])</f>
        <v>2024</v>
      </c>
      <c r="K676" s="2" t="str">
        <f>"Q"&amp;ROUNDUP(MONTH(Sheet1[[#This Row],[claim_date]])/3,0)</f>
        <v>Q2</v>
      </c>
      <c r="L676" s="2" t="str">
        <f>IF(Sheet1[[#This Row],[claim_amount]]&lt;100000,"Low",IF(Sheet1[[#This Row],[claim_amount]]&lt;200000,"Medium","High"))</f>
        <v>High</v>
      </c>
      <c r="M676" s="2" t="str">
        <f>IF(Sheet1[[#This Row],[days_to_process]]&lt;=30,"Fast","Slow")</f>
        <v>Slow</v>
      </c>
    </row>
    <row r="677" spans="1:13" x14ac:dyDescent="0.3">
      <c r="A677" t="s">
        <v>1292</v>
      </c>
      <c r="B677" s="2" t="s">
        <v>1293</v>
      </c>
      <c r="C677" s="1">
        <v>44155</v>
      </c>
      <c r="D677" s="35">
        <v>418509.83</v>
      </c>
      <c r="E677" s="2" t="s">
        <v>15</v>
      </c>
      <c r="F677" s="2" t="s">
        <v>20</v>
      </c>
      <c r="G677" s="2" t="s">
        <v>24</v>
      </c>
      <c r="H677">
        <v>6</v>
      </c>
      <c r="I677" s="2" t="str">
        <f>TEXT(Sheet1[[#This Row],[claim_date]],"mmmm")</f>
        <v>November</v>
      </c>
      <c r="J677" s="2">
        <f>YEAR(Sheet1[[#This Row],[claim_date]])</f>
        <v>2020</v>
      </c>
      <c r="K677" s="2" t="str">
        <f>"Q"&amp;ROUNDUP(MONTH(Sheet1[[#This Row],[claim_date]])/3,0)</f>
        <v>Q4</v>
      </c>
      <c r="L677" s="2" t="str">
        <f>IF(Sheet1[[#This Row],[claim_amount]]&lt;100000,"Low",IF(Sheet1[[#This Row],[claim_amount]]&lt;200000,"Medium","High"))</f>
        <v>High</v>
      </c>
      <c r="M677" s="2" t="str">
        <f>IF(Sheet1[[#This Row],[days_to_process]]&lt;=30,"Fast","Slow")</f>
        <v>Fast</v>
      </c>
    </row>
    <row r="678" spans="1:13" x14ac:dyDescent="0.3">
      <c r="A678" t="s">
        <v>1294</v>
      </c>
      <c r="B678" s="2" t="s">
        <v>1295</v>
      </c>
      <c r="C678" s="1">
        <v>45582</v>
      </c>
      <c r="D678" s="35">
        <v>272938.82</v>
      </c>
      <c r="E678" s="2" t="s">
        <v>15</v>
      </c>
      <c r="F678" s="2" t="s">
        <v>34</v>
      </c>
      <c r="G678" s="2" t="s">
        <v>12</v>
      </c>
      <c r="H678">
        <v>42</v>
      </c>
      <c r="I678" s="2" t="str">
        <f>TEXT(Sheet1[[#This Row],[claim_date]],"mmmm")</f>
        <v>October</v>
      </c>
      <c r="J678" s="2">
        <f>YEAR(Sheet1[[#This Row],[claim_date]])</f>
        <v>2024</v>
      </c>
      <c r="K678" s="2" t="str">
        <f>"Q"&amp;ROUNDUP(MONTH(Sheet1[[#This Row],[claim_date]])/3,0)</f>
        <v>Q4</v>
      </c>
      <c r="L678" s="2" t="str">
        <f>IF(Sheet1[[#This Row],[claim_amount]]&lt;100000,"Low",IF(Sheet1[[#This Row],[claim_amount]]&lt;200000,"Medium","High"))</f>
        <v>High</v>
      </c>
      <c r="M678" s="2" t="str">
        <f>IF(Sheet1[[#This Row],[days_to_process]]&lt;=30,"Fast","Slow")</f>
        <v>Slow</v>
      </c>
    </row>
    <row r="679" spans="1:13" x14ac:dyDescent="0.3">
      <c r="A679" t="s">
        <v>1296</v>
      </c>
      <c r="B679" s="2" t="s">
        <v>1297</v>
      </c>
      <c r="C679" s="1">
        <v>44930</v>
      </c>
      <c r="D679" s="35">
        <v>186002.98</v>
      </c>
      <c r="E679" s="2" t="s">
        <v>10</v>
      </c>
      <c r="F679" s="2" t="s">
        <v>23</v>
      </c>
      <c r="G679" s="2" t="s">
        <v>12</v>
      </c>
      <c r="H679">
        <v>3</v>
      </c>
      <c r="I679" s="2" t="str">
        <f>TEXT(Sheet1[[#This Row],[claim_date]],"mmmm")</f>
        <v>January</v>
      </c>
      <c r="J679" s="2">
        <f>YEAR(Sheet1[[#This Row],[claim_date]])</f>
        <v>2023</v>
      </c>
      <c r="K679" s="2" t="str">
        <f>"Q"&amp;ROUNDUP(MONTH(Sheet1[[#This Row],[claim_date]])/3,0)</f>
        <v>Q1</v>
      </c>
      <c r="L679" s="2" t="str">
        <f>IF(Sheet1[[#This Row],[claim_amount]]&lt;100000,"Low",IF(Sheet1[[#This Row],[claim_amount]]&lt;200000,"Medium","High"))</f>
        <v>Medium</v>
      </c>
      <c r="M679" s="2" t="str">
        <f>IF(Sheet1[[#This Row],[days_to_process]]&lt;=30,"Fast","Slow")</f>
        <v>Fast</v>
      </c>
    </row>
    <row r="680" spans="1:13" x14ac:dyDescent="0.3">
      <c r="A680" t="s">
        <v>1298</v>
      </c>
      <c r="B680" s="2" t="s">
        <v>1299</v>
      </c>
      <c r="C680" s="1">
        <v>44638</v>
      </c>
      <c r="D680" s="35">
        <v>208190.28</v>
      </c>
      <c r="E680" s="2" t="s">
        <v>19</v>
      </c>
      <c r="F680" s="2" t="s">
        <v>20</v>
      </c>
      <c r="G680" s="2" t="s">
        <v>12</v>
      </c>
      <c r="H680">
        <v>40</v>
      </c>
      <c r="I680" s="2" t="str">
        <f>TEXT(Sheet1[[#This Row],[claim_date]],"mmmm")</f>
        <v>March</v>
      </c>
      <c r="J680" s="2">
        <f>YEAR(Sheet1[[#This Row],[claim_date]])</f>
        <v>2022</v>
      </c>
      <c r="K680" s="2" t="str">
        <f>"Q"&amp;ROUNDUP(MONTH(Sheet1[[#This Row],[claim_date]])/3,0)</f>
        <v>Q1</v>
      </c>
      <c r="L680" s="2" t="str">
        <f>IF(Sheet1[[#This Row],[claim_amount]]&lt;100000,"Low",IF(Sheet1[[#This Row],[claim_amount]]&lt;200000,"Medium","High"))</f>
        <v>High</v>
      </c>
      <c r="M680" s="2" t="str">
        <f>IF(Sheet1[[#This Row],[days_to_process]]&lt;=30,"Fast","Slow")</f>
        <v>Slow</v>
      </c>
    </row>
    <row r="681" spans="1:13" x14ac:dyDescent="0.3">
      <c r="A681" t="s">
        <v>1300</v>
      </c>
      <c r="B681" s="2" t="s">
        <v>1301</v>
      </c>
      <c r="C681" s="1">
        <v>45497</v>
      </c>
      <c r="D681" s="35">
        <v>280924.12</v>
      </c>
      <c r="E681" s="2" t="s">
        <v>10</v>
      </c>
      <c r="F681" s="2" t="s">
        <v>34</v>
      </c>
      <c r="G681" s="2" t="s">
        <v>24</v>
      </c>
      <c r="H681">
        <v>49</v>
      </c>
      <c r="I681" s="2" t="str">
        <f>TEXT(Sheet1[[#This Row],[claim_date]],"mmmm")</f>
        <v>July</v>
      </c>
      <c r="J681" s="2">
        <f>YEAR(Sheet1[[#This Row],[claim_date]])</f>
        <v>2024</v>
      </c>
      <c r="K681" s="2" t="str">
        <f>"Q"&amp;ROUNDUP(MONTH(Sheet1[[#This Row],[claim_date]])/3,0)</f>
        <v>Q3</v>
      </c>
      <c r="L681" s="2" t="str">
        <f>IF(Sheet1[[#This Row],[claim_amount]]&lt;100000,"Low",IF(Sheet1[[#This Row],[claim_amount]]&lt;200000,"Medium","High"))</f>
        <v>High</v>
      </c>
      <c r="M681" s="2" t="str">
        <f>IF(Sheet1[[#This Row],[days_to_process]]&lt;=30,"Fast","Slow")</f>
        <v>Slow</v>
      </c>
    </row>
    <row r="682" spans="1:13" x14ac:dyDescent="0.3">
      <c r="A682" t="s">
        <v>1302</v>
      </c>
      <c r="B682" s="2" t="s">
        <v>1303</v>
      </c>
      <c r="C682" s="1">
        <v>45370</v>
      </c>
      <c r="D682" s="35">
        <v>186652.35</v>
      </c>
      <c r="E682" s="2" t="s">
        <v>10</v>
      </c>
      <c r="F682" s="2" t="s">
        <v>34</v>
      </c>
      <c r="G682" s="2" t="s">
        <v>12</v>
      </c>
      <c r="H682">
        <v>42</v>
      </c>
      <c r="I682" s="2" t="str">
        <f>TEXT(Sheet1[[#This Row],[claim_date]],"mmmm")</f>
        <v>March</v>
      </c>
      <c r="J682" s="2">
        <f>YEAR(Sheet1[[#This Row],[claim_date]])</f>
        <v>2024</v>
      </c>
      <c r="K682" s="2" t="str">
        <f>"Q"&amp;ROUNDUP(MONTH(Sheet1[[#This Row],[claim_date]])/3,0)</f>
        <v>Q1</v>
      </c>
      <c r="L682" s="2" t="str">
        <f>IF(Sheet1[[#This Row],[claim_amount]]&lt;100000,"Low",IF(Sheet1[[#This Row],[claim_amount]]&lt;200000,"Medium","High"))</f>
        <v>Medium</v>
      </c>
      <c r="M682" s="2" t="str">
        <f>IF(Sheet1[[#This Row],[days_to_process]]&lt;=30,"Fast","Slow")</f>
        <v>Slow</v>
      </c>
    </row>
    <row r="683" spans="1:13" x14ac:dyDescent="0.3">
      <c r="A683" t="s">
        <v>1304</v>
      </c>
      <c r="B683" s="2" t="s">
        <v>1305</v>
      </c>
      <c r="C683" s="1">
        <v>44770</v>
      </c>
      <c r="D683" s="35">
        <v>455129.9</v>
      </c>
      <c r="E683" s="2" t="s">
        <v>19</v>
      </c>
      <c r="F683" s="2" t="s">
        <v>16</v>
      </c>
      <c r="G683" s="2" t="s">
        <v>12</v>
      </c>
      <c r="H683">
        <v>15</v>
      </c>
      <c r="I683" s="2" t="str">
        <f>TEXT(Sheet1[[#This Row],[claim_date]],"mmmm")</f>
        <v>July</v>
      </c>
      <c r="J683" s="2">
        <f>YEAR(Sheet1[[#This Row],[claim_date]])</f>
        <v>2022</v>
      </c>
      <c r="K683" s="2" t="str">
        <f>"Q"&amp;ROUNDUP(MONTH(Sheet1[[#This Row],[claim_date]])/3,0)</f>
        <v>Q3</v>
      </c>
      <c r="L683" s="2" t="str">
        <f>IF(Sheet1[[#This Row],[claim_amount]]&lt;100000,"Low",IF(Sheet1[[#This Row],[claim_amount]]&lt;200000,"Medium","High"))</f>
        <v>High</v>
      </c>
      <c r="M683" s="2" t="str">
        <f>IF(Sheet1[[#This Row],[days_to_process]]&lt;=30,"Fast","Slow")</f>
        <v>Fast</v>
      </c>
    </row>
    <row r="684" spans="1:13" x14ac:dyDescent="0.3">
      <c r="A684" t="s">
        <v>1306</v>
      </c>
      <c r="B684" s="2" t="s">
        <v>1307</v>
      </c>
      <c r="C684" s="1">
        <v>44996</v>
      </c>
      <c r="D684" s="35">
        <v>480528.32</v>
      </c>
      <c r="E684" s="2" t="s">
        <v>15</v>
      </c>
      <c r="F684" s="2" t="s">
        <v>23</v>
      </c>
      <c r="G684" s="2" t="s">
        <v>12</v>
      </c>
      <c r="H684">
        <v>57</v>
      </c>
      <c r="I684" s="2" t="str">
        <f>TEXT(Sheet1[[#This Row],[claim_date]],"mmmm")</f>
        <v>March</v>
      </c>
      <c r="J684" s="2">
        <f>YEAR(Sheet1[[#This Row],[claim_date]])</f>
        <v>2023</v>
      </c>
      <c r="K684" s="2" t="str">
        <f>"Q"&amp;ROUNDUP(MONTH(Sheet1[[#This Row],[claim_date]])/3,0)</f>
        <v>Q1</v>
      </c>
      <c r="L684" s="2" t="str">
        <f>IF(Sheet1[[#This Row],[claim_amount]]&lt;100000,"Low",IF(Sheet1[[#This Row],[claim_amount]]&lt;200000,"Medium","High"))</f>
        <v>High</v>
      </c>
      <c r="M684" s="2" t="str">
        <f>IF(Sheet1[[#This Row],[days_to_process]]&lt;=30,"Fast","Slow")</f>
        <v>Slow</v>
      </c>
    </row>
    <row r="685" spans="1:13" x14ac:dyDescent="0.3">
      <c r="A685" t="s">
        <v>1308</v>
      </c>
      <c r="B685" s="2" t="s">
        <v>1309</v>
      </c>
      <c r="C685" s="1">
        <v>44880</v>
      </c>
      <c r="D685" s="35">
        <v>383803.62</v>
      </c>
      <c r="E685" s="2" t="s">
        <v>10</v>
      </c>
      <c r="F685" s="2" t="s">
        <v>20</v>
      </c>
      <c r="G685" s="2" t="s">
        <v>24</v>
      </c>
      <c r="H685">
        <v>38</v>
      </c>
      <c r="I685" s="2" t="str">
        <f>TEXT(Sheet1[[#This Row],[claim_date]],"mmmm")</f>
        <v>November</v>
      </c>
      <c r="J685" s="2">
        <f>YEAR(Sheet1[[#This Row],[claim_date]])</f>
        <v>2022</v>
      </c>
      <c r="K685" s="2" t="str">
        <f>"Q"&amp;ROUNDUP(MONTH(Sheet1[[#This Row],[claim_date]])/3,0)</f>
        <v>Q4</v>
      </c>
      <c r="L685" s="2" t="str">
        <f>IF(Sheet1[[#This Row],[claim_amount]]&lt;100000,"Low",IF(Sheet1[[#This Row],[claim_amount]]&lt;200000,"Medium","High"))</f>
        <v>High</v>
      </c>
      <c r="M685" s="2" t="str">
        <f>IF(Sheet1[[#This Row],[days_to_process]]&lt;=30,"Fast","Slow")</f>
        <v>Slow</v>
      </c>
    </row>
    <row r="686" spans="1:13" x14ac:dyDescent="0.3">
      <c r="A686" t="s">
        <v>1310</v>
      </c>
      <c r="B686" s="2" t="s">
        <v>1251</v>
      </c>
      <c r="C686" s="1">
        <v>44783</v>
      </c>
      <c r="D686" s="35">
        <v>19931.48</v>
      </c>
      <c r="E686" s="2" t="s">
        <v>19</v>
      </c>
      <c r="F686" s="2" t="s">
        <v>23</v>
      </c>
      <c r="G686" s="2" t="s">
        <v>24</v>
      </c>
      <c r="H686">
        <v>13</v>
      </c>
      <c r="I686" s="2" t="str">
        <f>TEXT(Sheet1[[#This Row],[claim_date]],"mmmm")</f>
        <v>August</v>
      </c>
      <c r="J686" s="2">
        <f>YEAR(Sheet1[[#This Row],[claim_date]])</f>
        <v>2022</v>
      </c>
      <c r="K686" s="2" t="str">
        <f>"Q"&amp;ROUNDUP(MONTH(Sheet1[[#This Row],[claim_date]])/3,0)</f>
        <v>Q3</v>
      </c>
      <c r="L686" s="2" t="str">
        <f>IF(Sheet1[[#This Row],[claim_amount]]&lt;100000,"Low",IF(Sheet1[[#This Row],[claim_amount]]&lt;200000,"Medium","High"))</f>
        <v>Low</v>
      </c>
      <c r="M686" s="2" t="str">
        <f>IF(Sheet1[[#This Row],[days_to_process]]&lt;=30,"Fast","Slow")</f>
        <v>Fast</v>
      </c>
    </row>
    <row r="687" spans="1:13" x14ac:dyDescent="0.3">
      <c r="A687" t="s">
        <v>1311</v>
      </c>
      <c r="B687" s="2" t="s">
        <v>1312</v>
      </c>
      <c r="C687" s="1">
        <v>45351</v>
      </c>
      <c r="D687" s="35">
        <v>142174.96</v>
      </c>
      <c r="E687" s="2" t="s">
        <v>15</v>
      </c>
      <c r="F687" s="2" t="s">
        <v>34</v>
      </c>
      <c r="G687" s="2" t="s">
        <v>24</v>
      </c>
      <c r="H687">
        <v>35</v>
      </c>
      <c r="I687" s="2" t="str">
        <f>TEXT(Sheet1[[#This Row],[claim_date]],"mmmm")</f>
        <v>February</v>
      </c>
      <c r="J687" s="2">
        <f>YEAR(Sheet1[[#This Row],[claim_date]])</f>
        <v>2024</v>
      </c>
      <c r="K687" s="2" t="str">
        <f>"Q"&amp;ROUNDUP(MONTH(Sheet1[[#This Row],[claim_date]])/3,0)</f>
        <v>Q1</v>
      </c>
      <c r="L687" s="2" t="str">
        <f>IF(Sheet1[[#This Row],[claim_amount]]&lt;100000,"Low",IF(Sheet1[[#This Row],[claim_amount]]&lt;200000,"Medium","High"))</f>
        <v>Medium</v>
      </c>
      <c r="M687" s="2" t="str">
        <f>IF(Sheet1[[#This Row],[days_to_process]]&lt;=30,"Fast","Slow")</f>
        <v>Slow</v>
      </c>
    </row>
    <row r="688" spans="1:13" x14ac:dyDescent="0.3">
      <c r="A688" t="s">
        <v>1313</v>
      </c>
      <c r="B688" s="2" t="s">
        <v>1314</v>
      </c>
      <c r="C688" s="1">
        <v>45297</v>
      </c>
      <c r="D688" s="35">
        <v>280838.71999999997</v>
      </c>
      <c r="E688" s="2" t="s">
        <v>19</v>
      </c>
      <c r="F688" s="2" t="s">
        <v>23</v>
      </c>
      <c r="G688" s="2" t="s">
        <v>24</v>
      </c>
      <c r="H688">
        <v>57</v>
      </c>
      <c r="I688" s="2" t="str">
        <f>TEXT(Sheet1[[#This Row],[claim_date]],"mmmm")</f>
        <v>January</v>
      </c>
      <c r="J688" s="2">
        <f>YEAR(Sheet1[[#This Row],[claim_date]])</f>
        <v>2024</v>
      </c>
      <c r="K688" s="2" t="str">
        <f>"Q"&amp;ROUNDUP(MONTH(Sheet1[[#This Row],[claim_date]])/3,0)</f>
        <v>Q1</v>
      </c>
      <c r="L688" s="2" t="str">
        <f>IF(Sheet1[[#This Row],[claim_amount]]&lt;100000,"Low",IF(Sheet1[[#This Row],[claim_amount]]&lt;200000,"Medium","High"))</f>
        <v>High</v>
      </c>
      <c r="M688" s="2" t="str">
        <f>IF(Sheet1[[#This Row],[days_to_process]]&lt;=30,"Fast","Slow")</f>
        <v>Slow</v>
      </c>
    </row>
    <row r="689" spans="1:13" x14ac:dyDescent="0.3">
      <c r="A689" t="s">
        <v>1315</v>
      </c>
      <c r="B689" s="2" t="s">
        <v>1316</v>
      </c>
      <c r="C689" s="1">
        <v>45514</v>
      </c>
      <c r="D689" s="35">
        <v>12541.81</v>
      </c>
      <c r="E689" s="2" t="s">
        <v>15</v>
      </c>
      <c r="F689" s="2" t="s">
        <v>34</v>
      </c>
      <c r="G689" s="2" t="s">
        <v>24</v>
      </c>
      <c r="H689">
        <v>56</v>
      </c>
      <c r="I689" s="2" t="str">
        <f>TEXT(Sheet1[[#This Row],[claim_date]],"mmmm")</f>
        <v>August</v>
      </c>
      <c r="J689" s="2">
        <f>YEAR(Sheet1[[#This Row],[claim_date]])</f>
        <v>2024</v>
      </c>
      <c r="K689" s="2" t="str">
        <f>"Q"&amp;ROUNDUP(MONTH(Sheet1[[#This Row],[claim_date]])/3,0)</f>
        <v>Q3</v>
      </c>
      <c r="L689" s="2" t="str">
        <f>IF(Sheet1[[#This Row],[claim_amount]]&lt;100000,"Low",IF(Sheet1[[#This Row],[claim_amount]]&lt;200000,"Medium","High"))</f>
        <v>Low</v>
      </c>
      <c r="M689" s="2" t="str">
        <f>IF(Sheet1[[#This Row],[days_to_process]]&lt;=30,"Fast","Slow")</f>
        <v>Slow</v>
      </c>
    </row>
    <row r="690" spans="1:13" x14ac:dyDescent="0.3">
      <c r="A690" t="s">
        <v>1317</v>
      </c>
      <c r="B690" s="2" t="s">
        <v>1318</v>
      </c>
      <c r="C690" s="1">
        <v>45592</v>
      </c>
      <c r="D690" s="35">
        <v>411950.16</v>
      </c>
      <c r="E690" s="2" t="s">
        <v>15</v>
      </c>
      <c r="F690" s="2" t="s">
        <v>23</v>
      </c>
      <c r="G690" s="2" t="s">
        <v>12</v>
      </c>
      <c r="H690">
        <v>50</v>
      </c>
      <c r="I690" s="2" t="str">
        <f>TEXT(Sheet1[[#This Row],[claim_date]],"mmmm")</f>
        <v>October</v>
      </c>
      <c r="J690" s="2">
        <f>YEAR(Sheet1[[#This Row],[claim_date]])</f>
        <v>2024</v>
      </c>
      <c r="K690" s="2" t="str">
        <f>"Q"&amp;ROUNDUP(MONTH(Sheet1[[#This Row],[claim_date]])/3,0)</f>
        <v>Q4</v>
      </c>
      <c r="L690" s="2" t="str">
        <f>IF(Sheet1[[#This Row],[claim_amount]]&lt;100000,"Low",IF(Sheet1[[#This Row],[claim_amount]]&lt;200000,"Medium","High"))</f>
        <v>High</v>
      </c>
      <c r="M690" s="2" t="str">
        <f>IF(Sheet1[[#This Row],[days_to_process]]&lt;=30,"Fast","Slow")</f>
        <v>Slow</v>
      </c>
    </row>
    <row r="691" spans="1:13" x14ac:dyDescent="0.3">
      <c r="A691" t="s">
        <v>1319</v>
      </c>
      <c r="B691" s="2" t="s">
        <v>1320</v>
      </c>
      <c r="C691" s="1">
        <v>45598</v>
      </c>
      <c r="D691" s="35">
        <v>389154.49</v>
      </c>
      <c r="E691" s="2" t="s">
        <v>19</v>
      </c>
      <c r="F691" s="2" t="s">
        <v>11</v>
      </c>
      <c r="G691" s="2" t="s">
        <v>24</v>
      </c>
      <c r="H691">
        <v>58</v>
      </c>
      <c r="I691" s="2" t="str">
        <f>TEXT(Sheet1[[#This Row],[claim_date]],"mmmm")</f>
        <v>November</v>
      </c>
      <c r="J691" s="2">
        <f>YEAR(Sheet1[[#This Row],[claim_date]])</f>
        <v>2024</v>
      </c>
      <c r="K691" s="2" t="str">
        <f>"Q"&amp;ROUNDUP(MONTH(Sheet1[[#This Row],[claim_date]])/3,0)</f>
        <v>Q4</v>
      </c>
      <c r="L691" s="2" t="str">
        <f>IF(Sheet1[[#This Row],[claim_amount]]&lt;100000,"Low",IF(Sheet1[[#This Row],[claim_amount]]&lt;200000,"Medium","High"))</f>
        <v>High</v>
      </c>
      <c r="M691" s="2" t="str">
        <f>IF(Sheet1[[#This Row],[days_to_process]]&lt;=30,"Fast","Slow")</f>
        <v>Slow</v>
      </c>
    </row>
    <row r="692" spans="1:13" x14ac:dyDescent="0.3">
      <c r="A692" t="s">
        <v>1321</v>
      </c>
      <c r="B692" s="2" t="s">
        <v>1322</v>
      </c>
      <c r="C692" s="1">
        <v>45148</v>
      </c>
      <c r="D692" s="35">
        <v>171953.87</v>
      </c>
      <c r="E692" s="2" t="s">
        <v>19</v>
      </c>
      <c r="F692" s="2" t="s">
        <v>23</v>
      </c>
      <c r="G692" s="2" t="s">
        <v>12</v>
      </c>
      <c r="H692">
        <v>41</v>
      </c>
      <c r="I692" s="2" t="str">
        <f>TEXT(Sheet1[[#This Row],[claim_date]],"mmmm")</f>
        <v>August</v>
      </c>
      <c r="J692" s="2">
        <f>YEAR(Sheet1[[#This Row],[claim_date]])</f>
        <v>2023</v>
      </c>
      <c r="K692" s="2" t="str">
        <f>"Q"&amp;ROUNDUP(MONTH(Sheet1[[#This Row],[claim_date]])/3,0)</f>
        <v>Q3</v>
      </c>
      <c r="L692" s="2" t="str">
        <f>IF(Sheet1[[#This Row],[claim_amount]]&lt;100000,"Low",IF(Sheet1[[#This Row],[claim_amount]]&lt;200000,"Medium","High"))</f>
        <v>Medium</v>
      </c>
      <c r="M692" s="2" t="str">
        <f>IF(Sheet1[[#This Row],[days_to_process]]&lt;=30,"Fast","Slow")</f>
        <v>Slow</v>
      </c>
    </row>
    <row r="693" spans="1:13" x14ac:dyDescent="0.3">
      <c r="A693" t="s">
        <v>1323</v>
      </c>
      <c r="B693" s="2" t="s">
        <v>1324</v>
      </c>
      <c r="C693" s="1">
        <v>45229</v>
      </c>
      <c r="D693" s="35">
        <v>196452.17</v>
      </c>
      <c r="E693" s="2" t="s">
        <v>15</v>
      </c>
      <c r="F693" s="2" t="s">
        <v>34</v>
      </c>
      <c r="G693" s="2" t="s">
        <v>12</v>
      </c>
      <c r="H693">
        <v>46</v>
      </c>
      <c r="I693" s="2" t="str">
        <f>TEXT(Sheet1[[#This Row],[claim_date]],"mmmm")</f>
        <v>October</v>
      </c>
      <c r="J693" s="2">
        <f>YEAR(Sheet1[[#This Row],[claim_date]])</f>
        <v>2023</v>
      </c>
      <c r="K693" s="2" t="str">
        <f>"Q"&amp;ROUNDUP(MONTH(Sheet1[[#This Row],[claim_date]])/3,0)</f>
        <v>Q4</v>
      </c>
      <c r="L693" s="2" t="str">
        <f>IF(Sheet1[[#This Row],[claim_amount]]&lt;100000,"Low",IF(Sheet1[[#This Row],[claim_amount]]&lt;200000,"Medium","High"))</f>
        <v>Medium</v>
      </c>
      <c r="M693" s="2" t="str">
        <f>IF(Sheet1[[#This Row],[days_to_process]]&lt;=30,"Fast","Slow")</f>
        <v>Slow</v>
      </c>
    </row>
    <row r="694" spans="1:13" x14ac:dyDescent="0.3">
      <c r="A694" t="s">
        <v>1325</v>
      </c>
      <c r="B694" s="2" t="s">
        <v>1326</v>
      </c>
      <c r="C694" s="1">
        <v>44725</v>
      </c>
      <c r="D694" s="35">
        <v>168316.47</v>
      </c>
      <c r="E694" s="2" t="s">
        <v>15</v>
      </c>
      <c r="F694" s="2" t="s">
        <v>23</v>
      </c>
      <c r="G694" s="2" t="s">
        <v>12</v>
      </c>
      <c r="H694">
        <v>10</v>
      </c>
      <c r="I694" s="2" t="str">
        <f>TEXT(Sheet1[[#This Row],[claim_date]],"mmmm")</f>
        <v>June</v>
      </c>
      <c r="J694" s="2">
        <f>YEAR(Sheet1[[#This Row],[claim_date]])</f>
        <v>2022</v>
      </c>
      <c r="K694" s="2" t="str">
        <f>"Q"&amp;ROUNDUP(MONTH(Sheet1[[#This Row],[claim_date]])/3,0)</f>
        <v>Q2</v>
      </c>
      <c r="L694" s="2" t="str">
        <f>IF(Sheet1[[#This Row],[claim_amount]]&lt;100000,"Low",IF(Sheet1[[#This Row],[claim_amount]]&lt;200000,"Medium","High"))</f>
        <v>Medium</v>
      </c>
      <c r="M694" s="2" t="str">
        <f>IF(Sheet1[[#This Row],[days_to_process]]&lt;=30,"Fast","Slow")</f>
        <v>Fast</v>
      </c>
    </row>
    <row r="695" spans="1:13" x14ac:dyDescent="0.3">
      <c r="A695" t="s">
        <v>1327</v>
      </c>
      <c r="B695" s="2" t="s">
        <v>1328</v>
      </c>
      <c r="C695" s="1">
        <v>45697</v>
      </c>
      <c r="D695" s="35">
        <v>161065.57</v>
      </c>
      <c r="E695" s="2" t="s">
        <v>10</v>
      </c>
      <c r="F695" s="2" t="s">
        <v>16</v>
      </c>
      <c r="G695" s="2" t="s">
        <v>24</v>
      </c>
      <c r="H695">
        <v>38</v>
      </c>
      <c r="I695" s="2" t="str">
        <f>TEXT(Sheet1[[#This Row],[claim_date]],"mmmm")</f>
        <v>February</v>
      </c>
      <c r="J695" s="2">
        <f>YEAR(Sheet1[[#This Row],[claim_date]])</f>
        <v>2025</v>
      </c>
      <c r="K695" s="2" t="str">
        <f>"Q"&amp;ROUNDUP(MONTH(Sheet1[[#This Row],[claim_date]])/3,0)</f>
        <v>Q1</v>
      </c>
      <c r="L695" s="2" t="str">
        <f>IF(Sheet1[[#This Row],[claim_amount]]&lt;100000,"Low",IF(Sheet1[[#This Row],[claim_amount]]&lt;200000,"Medium","High"))</f>
        <v>Medium</v>
      </c>
      <c r="M695" s="2" t="str">
        <f>IF(Sheet1[[#This Row],[days_to_process]]&lt;=30,"Fast","Slow")</f>
        <v>Slow</v>
      </c>
    </row>
    <row r="696" spans="1:13" x14ac:dyDescent="0.3">
      <c r="A696" t="s">
        <v>1329</v>
      </c>
      <c r="B696" s="2" t="s">
        <v>759</v>
      </c>
      <c r="C696" s="1">
        <v>45193</v>
      </c>
      <c r="D696" s="35">
        <v>74811.33</v>
      </c>
      <c r="E696" s="2" t="s">
        <v>15</v>
      </c>
      <c r="F696" s="2" t="s">
        <v>20</v>
      </c>
      <c r="G696" s="2" t="s">
        <v>24</v>
      </c>
      <c r="H696">
        <v>26</v>
      </c>
      <c r="I696" s="2" t="str">
        <f>TEXT(Sheet1[[#This Row],[claim_date]],"mmmm")</f>
        <v>September</v>
      </c>
      <c r="J696" s="2">
        <f>YEAR(Sheet1[[#This Row],[claim_date]])</f>
        <v>2023</v>
      </c>
      <c r="K696" s="2" t="str">
        <f>"Q"&amp;ROUNDUP(MONTH(Sheet1[[#This Row],[claim_date]])/3,0)</f>
        <v>Q3</v>
      </c>
      <c r="L696" s="2" t="str">
        <f>IF(Sheet1[[#This Row],[claim_amount]]&lt;100000,"Low",IF(Sheet1[[#This Row],[claim_amount]]&lt;200000,"Medium","High"))</f>
        <v>Low</v>
      </c>
      <c r="M696" s="2" t="str">
        <f>IF(Sheet1[[#This Row],[days_to_process]]&lt;=30,"Fast","Slow")</f>
        <v>Fast</v>
      </c>
    </row>
    <row r="697" spans="1:13" x14ac:dyDescent="0.3">
      <c r="A697" t="s">
        <v>1330</v>
      </c>
      <c r="B697" s="2" t="s">
        <v>1331</v>
      </c>
      <c r="C697" s="1">
        <v>45468</v>
      </c>
      <c r="D697" s="35">
        <v>496888.54</v>
      </c>
      <c r="E697" s="2" t="s">
        <v>15</v>
      </c>
      <c r="F697" s="2" t="s">
        <v>23</v>
      </c>
      <c r="G697" s="2" t="s">
        <v>12</v>
      </c>
      <c r="H697">
        <v>5</v>
      </c>
      <c r="I697" s="2" t="str">
        <f>TEXT(Sheet1[[#This Row],[claim_date]],"mmmm")</f>
        <v>June</v>
      </c>
      <c r="J697" s="2">
        <f>YEAR(Sheet1[[#This Row],[claim_date]])</f>
        <v>2024</v>
      </c>
      <c r="K697" s="2" t="str">
        <f>"Q"&amp;ROUNDUP(MONTH(Sheet1[[#This Row],[claim_date]])/3,0)</f>
        <v>Q2</v>
      </c>
      <c r="L697" s="2" t="str">
        <f>IF(Sheet1[[#This Row],[claim_amount]]&lt;100000,"Low",IF(Sheet1[[#This Row],[claim_amount]]&lt;200000,"Medium","High"))</f>
        <v>High</v>
      </c>
      <c r="M697" s="2" t="str">
        <f>IF(Sheet1[[#This Row],[days_to_process]]&lt;=30,"Fast","Slow")</f>
        <v>Fast</v>
      </c>
    </row>
    <row r="698" spans="1:13" x14ac:dyDescent="0.3">
      <c r="A698" t="s">
        <v>1332</v>
      </c>
      <c r="B698" s="2" t="s">
        <v>1333</v>
      </c>
      <c r="C698" s="1">
        <v>44357</v>
      </c>
      <c r="D698" s="35">
        <v>428682.8</v>
      </c>
      <c r="E698" s="2" t="s">
        <v>10</v>
      </c>
      <c r="F698" s="2" t="s">
        <v>16</v>
      </c>
      <c r="G698" s="2" t="s">
        <v>12</v>
      </c>
      <c r="H698">
        <v>40</v>
      </c>
      <c r="I698" s="2" t="str">
        <f>TEXT(Sheet1[[#This Row],[claim_date]],"mmmm")</f>
        <v>June</v>
      </c>
      <c r="J698" s="2">
        <f>YEAR(Sheet1[[#This Row],[claim_date]])</f>
        <v>2021</v>
      </c>
      <c r="K698" s="2" t="str">
        <f>"Q"&amp;ROUNDUP(MONTH(Sheet1[[#This Row],[claim_date]])/3,0)</f>
        <v>Q2</v>
      </c>
      <c r="L698" s="2" t="str">
        <f>IF(Sheet1[[#This Row],[claim_amount]]&lt;100000,"Low",IF(Sheet1[[#This Row],[claim_amount]]&lt;200000,"Medium","High"))</f>
        <v>High</v>
      </c>
      <c r="M698" s="2" t="str">
        <f>IF(Sheet1[[#This Row],[days_to_process]]&lt;=30,"Fast","Slow")</f>
        <v>Slow</v>
      </c>
    </row>
    <row r="699" spans="1:13" x14ac:dyDescent="0.3">
      <c r="A699" t="s">
        <v>1334</v>
      </c>
      <c r="B699" s="2" t="s">
        <v>135</v>
      </c>
      <c r="C699" s="1">
        <v>45468</v>
      </c>
      <c r="D699" s="35">
        <v>55085.35</v>
      </c>
      <c r="E699" s="2" t="s">
        <v>15</v>
      </c>
      <c r="F699" s="2" t="s">
        <v>11</v>
      </c>
      <c r="G699" s="2" t="s">
        <v>24</v>
      </c>
      <c r="H699">
        <v>20</v>
      </c>
      <c r="I699" s="2" t="str">
        <f>TEXT(Sheet1[[#This Row],[claim_date]],"mmmm")</f>
        <v>June</v>
      </c>
      <c r="J699" s="2">
        <f>YEAR(Sheet1[[#This Row],[claim_date]])</f>
        <v>2024</v>
      </c>
      <c r="K699" s="2" t="str">
        <f>"Q"&amp;ROUNDUP(MONTH(Sheet1[[#This Row],[claim_date]])/3,0)</f>
        <v>Q2</v>
      </c>
      <c r="L699" s="2" t="str">
        <f>IF(Sheet1[[#This Row],[claim_amount]]&lt;100000,"Low",IF(Sheet1[[#This Row],[claim_amount]]&lt;200000,"Medium","High"))</f>
        <v>Low</v>
      </c>
      <c r="M699" s="2" t="str">
        <f>IF(Sheet1[[#This Row],[days_to_process]]&lt;=30,"Fast","Slow")</f>
        <v>Fast</v>
      </c>
    </row>
    <row r="700" spans="1:13" x14ac:dyDescent="0.3">
      <c r="A700" t="s">
        <v>1335</v>
      </c>
      <c r="B700" s="2" t="s">
        <v>1336</v>
      </c>
      <c r="C700" s="1">
        <v>45550</v>
      </c>
      <c r="D700" s="35">
        <v>354577.05</v>
      </c>
      <c r="E700" s="2" t="s">
        <v>19</v>
      </c>
      <c r="F700" s="2" t="s">
        <v>20</v>
      </c>
      <c r="G700" s="2" t="s">
        <v>24</v>
      </c>
      <c r="H700">
        <v>40</v>
      </c>
      <c r="I700" s="2" t="str">
        <f>TEXT(Sheet1[[#This Row],[claim_date]],"mmmm")</f>
        <v>September</v>
      </c>
      <c r="J700" s="2">
        <f>YEAR(Sheet1[[#This Row],[claim_date]])</f>
        <v>2024</v>
      </c>
      <c r="K700" s="2" t="str">
        <f>"Q"&amp;ROUNDUP(MONTH(Sheet1[[#This Row],[claim_date]])/3,0)</f>
        <v>Q3</v>
      </c>
      <c r="L700" s="2" t="str">
        <f>IF(Sheet1[[#This Row],[claim_amount]]&lt;100000,"Low",IF(Sheet1[[#This Row],[claim_amount]]&lt;200000,"Medium","High"))</f>
        <v>High</v>
      </c>
      <c r="M700" s="2" t="str">
        <f>IF(Sheet1[[#This Row],[days_to_process]]&lt;=30,"Fast","Slow")</f>
        <v>Slow</v>
      </c>
    </row>
    <row r="701" spans="1:13" x14ac:dyDescent="0.3">
      <c r="A701" t="s">
        <v>1337</v>
      </c>
      <c r="B701" s="2" t="s">
        <v>1338</v>
      </c>
      <c r="C701" s="1">
        <v>44809</v>
      </c>
      <c r="D701" s="35">
        <v>110071</v>
      </c>
      <c r="E701" s="2" t="s">
        <v>10</v>
      </c>
      <c r="F701" s="2" t="s">
        <v>16</v>
      </c>
      <c r="G701" s="2" t="s">
        <v>24</v>
      </c>
      <c r="H701">
        <v>38</v>
      </c>
      <c r="I701" s="2" t="str">
        <f>TEXT(Sheet1[[#This Row],[claim_date]],"mmmm")</f>
        <v>September</v>
      </c>
      <c r="J701" s="2">
        <f>YEAR(Sheet1[[#This Row],[claim_date]])</f>
        <v>2022</v>
      </c>
      <c r="K701" s="2" t="str">
        <f>"Q"&amp;ROUNDUP(MONTH(Sheet1[[#This Row],[claim_date]])/3,0)</f>
        <v>Q3</v>
      </c>
      <c r="L701" s="2" t="str">
        <f>IF(Sheet1[[#This Row],[claim_amount]]&lt;100000,"Low",IF(Sheet1[[#This Row],[claim_amount]]&lt;200000,"Medium","High"))</f>
        <v>Medium</v>
      </c>
      <c r="M701" s="2" t="str">
        <f>IF(Sheet1[[#This Row],[days_to_process]]&lt;=30,"Fast","Slow")</f>
        <v>Slow</v>
      </c>
    </row>
    <row r="702" spans="1:13" x14ac:dyDescent="0.3">
      <c r="A702" t="s">
        <v>1339</v>
      </c>
      <c r="B702" s="2" t="s">
        <v>1340</v>
      </c>
      <c r="C702" s="1">
        <v>45233</v>
      </c>
      <c r="D702" s="35">
        <v>185583.35</v>
      </c>
      <c r="E702" s="2" t="s">
        <v>10</v>
      </c>
      <c r="F702" s="2" t="s">
        <v>20</v>
      </c>
      <c r="G702" s="2" t="s">
        <v>12</v>
      </c>
      <c r="H702">
        <v>7</v>
      </c>
      <c r="I702" s="2" t="str">
        <f>TEXT(Sheet1[[#This Row],[claim_date]],"mmmm")</f>
        <v>November</v>
      </c>
      <c r="J702" s="2">
        <f>YEAR(Sheet1[[#This Row],[claim_date]])</f>
        <v>2023</v>
      </c>
      <c r="K702" s="2" t="str">
        <f>"Q"&amp;ROUNDUP(MONTH(Sheet1[[#This Row],[claim_date]])/3,0)</f>
        <v>Q4</v>
      </c>
      <c r="L702" s="2" t="str">
        <f>IF(Sheet1[[#This Row],[claim_amount]]&lt;100000,"Low",IF(Sheet1[[#This Row],[claim_amount]]&lt;200000,"Medium","High"))</f>
        <v>Medium</v>
      </c>
      <c r="M702" s="2" t="str">
        <f>IF(Sheet1[[#This Row],[days_to_process]]&lt;=30,"Fast","Slow")</f>
        <v>Fast</v>
      </c>
    </row>
    <row r="703" spans="1:13" x14ac:dyDescent="0.3">
      <c r="A703" t="s">
        <v>1341</v>
      </c>
      <c r="B703" s="2" t="s">
        <v>1342</v>
      </c>
      <c r="C703" s="1">
        <v>45443</v>
      </c>
      <c r="D703" s="35">
        <v>63545.32</v>
      </c>
      <c r="E703" s="2" t="s">
        <v>15</v>
      </c>
      <c r="F703" s="2" t="s">
        <v>23</v>
      </c>
      <c r="G703" s="2" t="s">
        <v>12</v>
      </c>
      <c r="H703">
        <v>15</v>
      </c>
      <c r="I703" s="2" t="str">
        <f>TEXT(Sheet1[[#This Row],[claim_date]],"mmmm")</f>
        <v>May</v>
      </c>
      <c r="J703" s="2">
        <f>YEAR(Sheet1[[#This Row],[claim_date]])</f>
        <v>2024</v>
      </c>
      <c r="K703" s="2" t="str">
        <f>"Q"&amp;ROUNDUP(MONTH(Sheet1[[#This Row],[claim_date]])/3,0)</f>
        <v>Q2</v>
      </c>
      <c r="L703" s="2" t="str">
        <f>IF(Sheet1[[#This Row],[claim_amount]]&lt;100000,"Low",IF(Sheet1[[#This Row],[claim_amount]]&lt;200000,"Medium","High"))</f>
        <v>Low</v>
      </c>
      <c r="M703" s="2" t="str">
        <f>IF(Sheet1[[#This Row],[days_to_process]]&lt;=30,"Fast","Slow")</f>
        <v>Fast</v>
      </c>
    </row>
    <row r="704" spans="1:13" x14ac:dyDescent="0.3">
      <c r="A704" t="s">
        <v>1343</v>
      </c>
      <c r="B704" s="2" t="s">
        <v>1344</v>
      </c>
      <c r="C704" s="1">
        <v>45149</v>
      </c>
      <c r="D704" s="35">
        <v>130159.55</v>
      </c>
      <c r="E704" s="2" t="s">
        <v>19</v>
      </c>
      <c r="F704" s="2" t="s">
        <v>16</v>
      </c>
      <c r="G704" s="2" t="s">
        <v>24</v>
      </c>
      <c r="H704">
        <v>23</v>
      </c>
      <c r="I704" s="2" t="str">
        <f>TEXT(Sheet1[[#This Row],[claim_date]],"mmmm")</f>
        <v>August</v>
      </c>
      <c r="J704" s="2">
        <f>YEAR(Sheet1[[#This Row],[claim_date]])</f>
        <v>2023</v>
      </c>
      <c r="K704" s="2" t="str">
        <f>"Q"&amp;ROUNDUP(MONTH(Sheet1[[#This Row],[claim_date]])/3,0)</f>
        <v>Q3</v>
      </c>
      <c r="L704" s="2" t="str">
        <f>IF(Sheet1[[#This Row],[claim_amount]]&lt;100000,"Low",IF(Sheet1[[#This Row],[claim_amount]]&lt;200000,"Medium","High"))</f>
        <v>Medium</v>
      </c>
      <c r="M704" s="2" t="str">
        <f>IF(Sheet1[[#This Row],[days_to_process]]&lt;=30,"Fast","Slow")</f>
        <v>Fast</v>
      </c>
    </row>
    <row r="705" spans="1:13" x14ac:dyDescent="0.3">
      <c r="A705" t="s">
        <v>1345</v>
      </c>
      <c r="B705" s="2" t="s">
        <v>1346</v>
      </c>
      <c r="C705" s="1">
        <v>44420</v>
      </c>
      <c r="D705" s="35">
        <v>393426.65</v>
      </c>
      <c r="E705" s="2" t="s">
        <v>10</v>
      </c>
      <c r="F705" s="2" t="s">
        <v>16</v>
      </c>
      <c r="G705" s="2" t="s">
        <v>12</v>
      </c>
      <c r="H705">
        <v>27</v>
      </c>
      <c r="I705" s="2" t="str">
        <f>TEXT(Sheet1[[#This Row],[claim_date]],"mmmm")</f>
        <v>August</v>
      </c>
      <c r="J705" s="2">
        <f>YEAR(Sheet1[[#This Row],[claim_date]])</f>
        <v>2021</v>
      </c>
      <c r="K705" s="2" t="str">
        <f>"Q"&amp;ROUNDUP(MONTH(Sheet1[[#This Row],[claim_date]])/3,0)</f>
        <v>Q3</v>
      </c>
      <c r="L705" s="2" t="str">
        <f>IF(Sheet1[[#This Row],[claim_amount]]&lt;100000,"Low",IF(Sheet1[[#This Row],[claim_amount]]&lt;200000,"Medium","High"))</f>
        <v>High</v>
      </c>
      <c r="M705" s="2" t="str">
        <f>IF(Sheet1[[#This Row],[days_to_process]]&lt;=30,"Fast","Slow")</f>
        <v>Fast</v>
      </c>
    </row>
    <row r="706" spans="1:13" x14ac:dyDescent="0.3">
      <c r="A706" t="s">
        <v>1347</v>
      </c>
      <c r="B706" s="2" t="s">
        <v>1348</v>
      </c>
      <c r="C706" s="1">
        <v>45482</v>
      </c>
      <c r="D706" s="35">
        <v>436400.05</v>
      </c>
      <c r="E706" s="2" t="s">
        <v>10</v>
      </c>
      <c r="F706" s="2" t="s">
        <v>16</v>
      </c>
      <c r="G706" s="2" t="s">
        <v>24</v>
      </c>
      <c r="H706">
        <v>32</v>
      </c>
      <c r="I706" s="2" t="str">
        <f>TEXT(Sheet1[[#This Row],[claim_date]],"mmmm")</f>
        <v>July</v>
      </c>
      <c r="J706" s="2">
        <f>YEAR(Sheet1[[#This Row],[claim_date]])</f>
        <v>2024</v>
      </c>
      <c r="K706" s="2" t="str">
        <f>"Q"&amp;ROUNDUP(MONTH(Sheet1[[#This Row],[claim_date]])/3,0)</f>
        <v>Q3</v>
      </c>
      <c r="L706" s="2" t="str">
        <f>IF(Sheet1[[#This Row],[claim_amount]]&lt;100000,"Low",IF(Sheet1[[#This Row],[claim_amount]]&lt;200000,"Medium","High"))</f>
        <v>High</v>
      </c>
      <c r="M706" s="2" t="str">
        <f>IF(Sheet1[[#This Row],[days_to_process]]&lt;=30,"Fast","Slow")</f>
        <v>Slow</v>
      </c>
    </row>
    <row r="707" spans="1:13" x14ac:dyDescent="0.3">
      <c r="A707" t="s">
        <v>1349</v>
      </c>
      <c r="B707" s="2" t="s">
        <v>1350</v>
      </c>
      <c r="C707" s="1">
        <v>45131</v>
      </c>
      <c r="D707" s="35">
        <v>401019.4</v>
      </c>
      <c r="E707" s="2" t="s">
        <v>19</v>
      </c>
      <c r="F707" s="2" t="s">
        <v>11</v>
      </c>
      <c r="G707" s="2" t="s">
        <v>12</v>
      </c>
      <c r="H707">
        <v>58</v>
      </c>
      <c r="I707" s="2" t="str">
        <f>TEXT(Sheet1[[#This Row],[claim_date]],"mmmm")</f>
        <v>July</v>
      </c>
      <c r="J707" s="2">
        <f>YEAR(Sheet1[[#This Row],[claim_date]])</f>
        <v>2023</v>
      </c>
      <c r="K707" s="2" t="str">
        <f>"Q"&amp;ROUNDUP(MONTH(Sheet1[[#This Row],[claim_date]])/3,0)</f>
        <v>Q3</v>
      </c>
      <c r="L707" s="2" t="str">
        <f>IF(Sheet1[[#This Row],[claim_amount]]&lt;100000,"Low",IF(Sheet1[[#This Row],[claim_amount]]&lt;200000,"Medium","High"))</f>
        <v>High</v>
      </c>
      <c r="M707" s="2" t="str">
        <f>IF(Sheet1[[#This Row],[days_to_process]]&lt;=30,"Fast","Slow")</f>
        <v>Slow</v>
      </c>
    </row>
    <row r="708" spans="1:13" x14ac:dyDescent="0.3">
      <c r="A708" t="s">
        <v>1351</v>
      </c>
      <c r="B708" s="2" t="s">
        <v>616</v>
      </c>
      <c r="C708" s="1">
        <v>45441</v>
      </c>
      <c r="D708" s="35">
        <v>77953.06</v>
      </c>
      <c r="E708" s="2" t="s">
        <v>15</v>
      </c>
      <c r="F708" s="2" t="s">
        <v>20</v>
      </c>
      <c r="G708" s="2" t="s">
        <v>12</v>
      </c>
      <c r="H708">
        <v>44</v>
      </c>
      <c r="I708" s="2" t="str">
        <f>TEXT(Sheet1[[#This Row],[claim_date]],"mmmm")</f>
        <v>May</v>
      </c>
      <c r="J708" s="2">
        <f>YEAR(Sheet1[[#This Row],[claim_date]])</f>
        <v>2024</v>
      </c>
      <c r="K708" s="2" t="str">
        <f>"Q"&amp;ROUNDUP(MONTH(Sheet1[[#This Row],[claim_date]])/3,0)</f>
        <v>Q2</v>
      </c>
      <c r="L708" s="2" t="str">
        <f>IF(Sheet1[[#This Row],[claim_amount]]&lt;100000,"Low",IF(Sheet1[[#This Row],[claim_amount]]&lt;200000,"Medium","High"))</f>
        <v>Low</v>
      </c>
      <c r="M708" s="2" t="str">
        <f>IF(Sheet1[[#This Row],[days_to_process]]&lt;=30,"Fast","Slow")</f>
        <v>Slow</v>
      </c>
    </row>
    <row r="709" spans="1:13" x14ac:dyDescent="0.3">
      <c r="A709" t="s">
        <v>1352</v>
      </c>
      <c r="B709" s="2" t="s">
        <v>1353</v>
      </c>
      <c r="C709" s="1">
        <v>45494</v>
      </c>
      <c r="D709" s="35">
        <v>305904.31</v>
      </c>
      <c r="E709" s="2" t="s">
        <v>15</v>
      </c>
      <c r="F709" s="2" t="s">
        <v>11</v>
      </c>
      <c r="G709" s="2" t="s">
        <v>24</v>
      </c>
      <c r="H709">
        <v>17</v>
      </c>
      <c r="I709" s="2" t="str">
        <f>TEXT(Sheet1[[#This Row],[claim_date]],"mmmm")</f>
        <v>July</v>
      </c>
      <c r="J709" s="2">
        <f>YEAR(Sheet1[[#This Row],[claim_date]])</f>
        <v>2024</v>
      </c>
      <c r="K709" s="2" t="str">
        <f>"Q"&amp;ROUNDUP(MONTH(Sheet1[[#This Row],[claim_date]])/3,0)</f>
        <v>Q3</v>
      </c>
      <c r="L709" s="2" t="str">
        <f>IF(Sheet1[[#This Row],[claim_amount]]&lt;100000,"Low",IF(Sheet1[[#This Row],[claim_amount]]&lt;200000,"Medium","High"))</f>
        <v>High</v>
      </c>
      <c r="M709" s="2" t="str">
        <f>IF(Sheet1[[#This Row],[days_to_process]]&lt;=30,"Fast","Slow")</f>
        <v>Fast</v>
      </c>
    </row>
    <row r="710" spans="1:13" x14ac:dyDescent="0.3">
      <c r="A710" t="s">
        <v>1354</v>
      </c>
      <c r="B710" s="2" t="s">
        <v>1355</v>
      </c>
      <c r="C710" s="1">
        <v>45177</v>
      </c>
      <c r="D710" s="35">
        <v>44898.27</v>
      </c>
      <c r="E710" s="2" t="s">
        <v>19</v>
      </c>
      <c r="F710" s="2" t="s">
        <v>23</v>
      </c>
      <c r="G710" s="2" t="s">
        <v>24</v>
      </c>
      <c r="H710">
        <v>31</v>
      </c>
      <c r="I710" s="2" t="str">
        <f>TEXT(Sheet1[[#This Row],[claim_date]],"mmmm")</f>
        <v>September</v>
      </c>
      <c r="J710" s="2">
        <f>YEAR(Sheet1[[#This Row],[claim_date]])</f>
        <v>2023</v>
      </c>
      <c r="K710" s="2" t="str">
        <f>"Q"&amp;ROUNDUP(MONTH(Sheet1[[#This Row],[claim_date]])/3,0)</f>
        <v>Q3</v>
      </c>
      <c r="L710" s="2" t="str">
        <f>IF(Sheet1[[#This Row],[claim_amount]]&lt;100000,"Low",IF(Sheet1[[#This Row],[claim_amount]]&lt;200000,"Medium","High"))</f>
        <v>Low</v>
      </c>
      <c r="M710" s="2" t="str">
        <f>IF(Sheet1[[#This Row],[days_to_process]]&lt;=30,"Fast","Slow")</f>
        <v>Slow</v>
      </c>
    </row>
    <row r="711" spans="1:13" x14ac:dyDescent="0.3">
      <c r="A711" t="s">
        <v>1356</v>
      </c>
      <c r="B711" s="2" t="s">
        <v>1357</v>
      </c>
      <c r="C711" s="1">
        <v>44905</v>
      </c>
      <c r="D711" s="35">
        <v>366115.79</v>
      </c>
      <c r="E711" s="2" t="s">
        <v>19</v>
      </c>
      <c r="F711" s="2" t="s">
        <v>16</v>
      </c>
      <c r="G711" s="2" t="s">
        <v>24</v>
      </c>
      <c r="H711">
        <v>11</v>
      </c>
      <c r="I711" s="2" t="str">
        <f>TEXT(Sheet1[[#This Row],[claim_date]],"mmmm")</f>
        <v>December</v>
      </c>
      <c r="J711" s="2">
        <f>YEAR(Sheet1[[#This Row],[claim_date]])</f>
        <v>2022</v>
      </c>
      <c r="K711" s="2" t="str">
        <f>"Q"&amp;ROUNDUP(MONTH(Sheet1[[#This Row],[claim_date]])/3,0)</f>
        <v>Q4</v>
      </c>
      <c r="L711" s="2" t="str">
        <f>IF(Sheet1[[#This Row],[claim_amount]]&lt;100000,"Low",IF(Sheet1[[#This Row],[claim_amount]]&lt;200000,"Medium","High"))</f>
        <v>High</v>
      </c>
      <c r="M711" s="2" t="str">
        <f>IF(Sheet1[[#This Row],[days_to_process]]&lt;=30,"Fast","Slow")</f>
        <v>Fast</v>
      </c>
    </row>
    <row r="712" spans="1:13" x14ac:dyDescent="0.3">
      <c r="A712" t="s">
        <v>1358</v>
      </c>
      <c r="B712" s="2" t="s">
        <v>48</v>
      </c>
      <c r="C712" s="1">
        <v>45278</v>
      </c>
      <c r="D712" s="35">
        <v>132163.89000000001</v>
      </c>
      <c r="E712" s="2" t="s">
        <v>10</v>
      </c>
      <c r="F712" s="2" t="s">
        <v>23</v>
      </c>
      <c r="G712" s="2" t="s">
        <v>12</v>
      </c>
      <c r="H712">
        <v>50</v>
      </c>
      <c r="I712" s="2" t="str">
        <f>TEXT(Sheet1[[#This Row],[claim_date]],"mmmm")</f>
        <v>December</v>
      </c>
      <c r="J712" s="2">
        <f>YEAR(Sheet1[[#This Row],[claim_date]])</f>
        <v>2023</v>
      </c>
      <c r="K712" s="2" t="str">
        <f>"Q"&amp;ROUNDUP(MONTH(Sheet1[[#This Row],[claim_date]])/3,0)</f>
        <v>Q4</v>
      </c>
      <c r="L712" s="2" t="str">
        <f>IF(Sheet1[[#This Row],[claim_amount]]&lt;100000,"Low",IF(Sheet1[[#This Row],[claim_amount]]&lt;200000,"Medium","High"))</f>
        <v>Medium</v>
      </c>
      <c r="M712" s="2" t="str">
        <f>IF(Sheet1[[#This Row],[days_to_process]]&lt;=30,"Fast","Slow")</f>
        <v>Slow</v>
      </c>
    </row>
    <row r="713" spans="1:13" x14ac:dyDescent="0.3">
      <c r="A713" t="s">
        <v>1359</v>
      </c>
      <c r="B713" s="2" t="s">
        <v>1048</v>
      </c>
      <c r="C713" s="1">
        <v>45400</v>
      </c>
      <c r="D713" s="35">
        <v>469207.73</v>
      </c>
      <c r="E713" s="2" t="s">
        <v>15</v>
      </c>
      <c r="F713" s="2" t="s">
        <v>20</v>
      </c>
      <c r="G713" s="2" t="s">
        <v>12</v>
      </c>
      <c r="H713">
        <v>26</v>
      </c>
      <c r="I713" s="2" t="str">
        <f>TEXT(Sheet1[[#This Row],[claim_date]],"mmmm")</f>
        <v>April</v>
      </c>
      <c r="J713" s="2">
        <f>YEAR(Sheet1[[#This Row],[claim_date]])</f>
        <v>2024</v>
      </c>
      <c r="K713" s="2" t="str">
        <f>"Q"&amp;ROUNDUP(MONTH(Sheet1[[#This Row],[claim_date]])/3,0)</f>
        <v>Q2</v>
      </c>
      <c r="L713" s="2" t="str">
        <f>IF(Sheet1[[#This Row],[claim_amount]]&lt;100000,"Low",IF(Sheet1[[#This Row],[claim_amount]]&lt;200000,"Medium","High"))</f>
        <v>High</v>
      </c>
      <c r="M713" s="2" t="str">
        <f>IF(Sheet1[[#This Row],[days_to_process]]&lt;=30,"Fast","Slow")</f>
        <v>Fast</v>
      </c>
    </row>
    <row r="714" spans="1:13" x14ac:dyDescent="0.3">
      <c r="A714" t="s">
        <v>1360</v>
      </c>
      <c r="B714" s="2" t="s">
        <v>1361</v>
      </c>
      <c r="C714" s="1">
        <v>45065</v>
      </c>
      <c r="D714" s="35">
        <v>36317.19</v>
      </c>
      <c r="E714" s="2" t="s">
        <v>15</v>
      </c>
      <c r="F714" s="2" t="s">
        <v>11</v>
      </c>
      <c r="G714" s="2" t="s">
        <v>12</v>
      </c>
      <c r="H714">
        <v>4</v>
      </c>
      <c r="I714" s="2" t="str">
        <f>TEXT(Sheet1[[#This Row],[claim_date]],"mmmm")</f>
        <v>May</v>
      </c>
      <c r="J714" s="2">
        <f>YEAR(Sheet1[[#This Row],[claim_date]])</f>
        <v>2023</v>
      </c>
      <c r="K714" s="2" t="str">
        <f>"Q"&amp;ROUNDUP(MONTH(Sheet1[[#This Row],[claim_date]])/3,0)</f>
        <v>Q2</v>
      </c>
      <c r="L714" s="2" t="str">
        <f>IF(Sheet1[[#This Row],[claim_amount]]&lt;100000,"Low",IF(Sheet1[[#This Row],[claim_amount]]&lt;200000,"Medium","High"))</f>
        <v>Low</v>
      </c>
      <c r="M714" s="2" t="str">
        <f>IF(Sheet1[[#This Row],[days_to_process]]&lt;=30,"Fast","Slow")</f>
        <v>Fast</v>
      </c>
    </row>
    <row r="715" spans="1:13" x14ac:dyDescent="0.3">
      <c r="A715" t="s">
        <v>1362</v>
      </c>
      <c r="B715" s="2" t="s">
        <v>1363</v>
      </c>
      <c r="C715" s="1">
        <v>44603</v>
      </c>
      <c r="D715" s="35">
        <v>425547.97</v>
      </c>
      <c r="E715" s="2" t="s">
        <v>19</v>
      </c>
      <c r="F715" s="2" t="s">
        <v>23</v>
      </c>
      <c r="G715" s="2" t="s">
        <v>12</v>
      </c>
      <c r="H715">
        <v>27</v>
      </c>
      <c r="I715" s="2" t="str">
        <f>TEXT(Sheet1[[#This Row],[claim_date]],"mmmm")</f>
        <v>February</v>
      </c>
      <c r="J715" s="2">
        <f>YEAR(Sheet1[[#This Row],[claim_date]])</f>
        <v>2022</v>
      </c>
      <c r="K715" s="2" t="str">
        <f>"Q"&amp;ROUNDUP(MONTH(Sheet1[[#This Row],[claim_date]])/3,0)</f>
        <v>Q1</v>
      </c>
      <c r="L715" s="2" t="str">
        <f>IF(Sheet1[[#This Row],[claim_amount]]&lt;100000,"Low",IF(Sheet1[[#This Row],[claim_amount]]&lt;200000,"Medium","High"))</f>
        <v>High</v>
      </c>
      <c r="M715" s="2" t="str">
        <f>IF(Sheet1[[#This Row],[days_to_process]]&lt;=30,"Fast","Slow")</f>
        <v>Fast</v>
      </c>
    </row>
    <row r="716" spans="1:13" x14ac:dyDescent="0.3">
      <c r="A716" t="s">
        <v>1364</v>
      </c>
      <c r="B716" s="2" t="s">
        <v>1365</v>
      </c>
      <c r="C716" s="1">
        <v>45437</v>
      </c>
      <c r="D716" s="35">
        <v>406589.38</v>
      </c>
      <c r="E716" s="2" t="s">
        <v>19</v>
      </c>
      <c r="F716" s="2" t="s">
        <v>20</v>
      </c>
      <c r="G716" s="2" t="s">
        <v>12</v>
      </c>
      <c r="H716">
        <v>2</v>
      </c>
      <c r="I716" s="2" t="str">
        <f>TEXT(Sheet1[[#This Row],[claim_date]],"mmmm")</f>
        <v>May</v>
      </c>
      <c r="J716" s="2">
        <f>YEAR(Sheet1[[#This Row],[claim_date]])</f>
        <v>2024</v>
      </c>
      <c r="K716" s="2" t="str">
        <f>"Q"&amp;ROUNDUP(MONTH(Sheet1[[#This Row],[claim_date]])/3,0)</f>
        <v>Q2</v>
      </c>
      <c r="L716" s="2" t="str">
        <f>IF(Sheet1[[#This Row],[claim_amount]]&lt;100000,"Low",IF(Sheet1[[#This Row],[claim_amount]]&lt;200000,"Medium","High"))</f>
        <v>High</v>
      </c>
      <c r="M716" s="2" t="str">
        <f>IF(Sheet1[[#This Row],[days_to_process]]&lt;=30,"Fast","Slow")</f>
        <v>Fast</v>
      </c>
    </row>
    <row r="717" spans="1:13" x14ac:dyDescent="0.3">
      <c r="A717" t="s">
        <v>1366</v>
      </c>
      <c r="B717" s="2" t="s">
        <v>1367</v>
      </c>
      <c r="C717" s="1">
        <v>45331</v>
      </c>
      <c r="D717" s="35">
        <v>440196.76</v>
      </c>
      <c r="E717" s="2" t="s">
        <v>15</v>
      </c>
      <c r="F717" s="2" t="s">
        <v>16</v>
      </c>
      <c r="G717" s="2" t="s">
        <v>24</v>
      </c>
      <c r="H717">
        <v>14</v>
      </c>
      <c r="I717" s="2" t="str">
        <f>TEXT(Sheet1[[#This Row],[claim_date]],"mmmm")</f>
        <v>February</v>
      </c>
      <c r="J717" s="2">
        <f>YEAR(Sheet1[[#This Row],[claim_date]])</f>
        <v>2024</v>
      </c>
      <c r="K717" s="2" t="str">
        <f>"Q"&amp;ROUNDUP(MONTH(Sheet1[[#This Row],[claim_date]])/3,0)</f>
        <v>Q1</v>
      </c>
      <c r="L717" s="2" t="str">
        <f>IF(Sheet1[[#This Row],[claim_amount]]&lt;100000,"Low",IF(Sheet1[[#This Row],[claim_amount]]&lt;200000,"Medium","High"))</f>
        <v>High</v>
      </c>
      <c r="M717" s="2" t="str">
        <f>IF(Sheet1[[#This Row],[days_to_process]]&lt;=30,"Fast","Slow")</f>
        <v>Fast</v>
      </c>
    </row>
    <row r="718" spans="1:13" x14ac:dyDescent="0.3">
      <c r="A718" t="s">
        <v>1368</v>
      </c>
      <c r="B718" s="2" t="s">
        <v>1369</v>
      </c>
      <c r="C718" s="1">
        <v>45382</v>
      </c>
      <c r="D718" s="35">
        <v>147562.70000000001</v>
      </c>
      <c r="E718" s="2" t="s">
        <v>15</v>
      </c>
      <c r="F718" s="2" t="s">
        <v>16</v>
      </c>
      <c r="G718" s="2" t="s">
        <v>24</v>
      </c>
      <c r="H718">
        <v>51</v>
      </c>
      <c r="I718" s="2" t="str">
        <f>TEXT(Sheet1[[#This Row],[claim_date]],"mmmm")</f>
        <v>March</v>
      </c>
      <c r="J718" s="2">
        <f>YEAR(Sheet1[[#This Row],[claim_date]])</f>
        <v>2024</v>
      </c>
      <c r="K718" s="2" t="str">
        <f>"Q"&amp;ROUNDUP(MONTH(Sheet1[[#This Row],[claim_date]])/3,0)</f>
        <v>Q1</v>
      </c>
      <c r="L718" s="2" t="str">
        <f>IF(Sheet1[[#This Row],[claim_amount]]&lt;100000,"Low",IF(Sheet1[[#This Row],[claim_amount]]&lt;200000,"Medium","High"))</f>
        <v>Medium</v>
      </c>
      <c r="M718" s="2" t="str">
        <f>IF(Sheet1[[#This Row],[days_to_process]]&lt;=30,"Fast","Slow")</f>
        <v>Slow</v>
      </c>
    </row>
    <row r="719" spans="1:13" x14ac:dyDescent="0.3">
      <c r="A719" t="s">
        <v>1370</v>
      </c>
      <c r="B719" s="2" t="s">
        <v>1371</v>
      </c>
      <c r="C719" s="1">
        <v>44820</v>
      </c>
      <c r="D719" s="35">
        <v>450430.04</v>
      </c>
      <c r="E719" s="2" t="s">
        <v>19</v>
      </c>
      <c r="F719" s="2" t="s">
        <v>11</v>
      </c>
      <c r="G719" s="2" t="s">
        <v>12</v>
      </c>
      <c r="H719">
        <v>58</v>
      </c>
      <c r="I719" s="2" t="str">
        <f>TEXT(Sheet1[[#This Row],[claim_date]],"mmmm")</f>
        <v>September</v>
      </c>
      <c r="J719" s="2">
        <f>YEAR(Sheet1[[#This Row],[claim_date]])</f>
        <v>2022</v>
      </c>
      <c r="K719" s="2" t="str">
        <f>"Q"&amp;ROUNDUP(MONTH(Sheet1[[#This Row],[claim_date]])/3,0)</f>
        <v>Q3</v>
      </c>
      <c r="L719" s="2" t="str">
        <f>IF(Sheet1[[#This Row],[claim_amount]]&lt;100000,"Low",IF(Sheet1[[#This Row],[claim_amount]]&lt;200000,"Medium","High"))</f>
        <v>High</v>
      </c>
      <c r="M719" s="2" t="str">
        <f>IF(Sheet1[[#This Row],[days_to_process]]&lt;=30,"Fast","Slow")</f>
        <v>Slow</v>
      </c>
    </row>
    <row r="720" spans="1:13" x14ac:dyDescent="0.3">
      <c r="A720" t="s">
        <v>1372</v>
      </c>
      <c r="B720" s="2" t="s">
        <v>1373</v>
      </c>
      <c r="C720" s="1">
        <v>45228</v>
      </c>
      <c r="D720" s="35">
        <v>29090.22</v>
      </c>
      <c r="E720" s="2" t="s">
        <v>19</v>
      </c>
      <c r="F720" s="2" t="s">
        <v>11</v>
      </c>
      <c r="G720" s="2" t="s">
        <v>12</v>
      </c>
      <c r="H720">
        <v>54</v>
      </c>
      <c r="I720" s="2" t="str">
        <f>TEXT(Sheet1[[#This Row],[claim_date]],"mmmm")</f>
        <v>October</v>
      </c>
      <c r="J720" s="2">
        <f>YEAR(Sheet1[[#This Row],[claim_date]])</f>
        <v>2023</v>
      </c>
      <c r="K720" s="2" t="str">
        <f>"Q"&amp;ROUNDUP(MONTH(Sheet1[[#This Row],[claim_date]])/3,0)</f>
        <v>Q4</v>
      </c>
      <c r="L720" s="2" t="str">
        <f>IF(Sheet1[[#This Row],[claim_amount]]&lt;100000,"Low",IF(Sheet1[[#This Row],[claim_amount]]&lt;200000,"Medium","High"))</f>
        <v>Low</v>
      </c>
      <c r="M720" s="2" t="str">
        <f>IF(Sheet1[[#This Row],[days_to_process]]&lt;=30,"Fast","Slow")</f>
        <v>Slow</v>
      </c>
    </row>
    <row r="721" spans="1:13" x14ac:dyDescent="0.3">
      <c r="A721" t="s">
        <v>1374</v>
      </c>
      <c r="B721" s="2" t="s">
        <v>965</v>
      </c>
      <c r="C721" s="1">
        <v>44997</v>
      </c>
      <c r="D721" s="35">
        <v>217369.4</v>
      </c>
      <c r="E721" s="2" t="s">
        <v>19</v>
      </c>
      <c r="F721" s="2" t="s">
        <v>34</v>
      </c>
      <c r="G721" s="2" t="s">
        <v>24</v>
      </c>
      <c r="H721">
        <v>27</v>
      </c>
      <c r="I721" s="2" t="str">
        <f>TEXT(Sheet1[[#This Row],[claim_date]],"mmmm")</f>
        <v>March</v>
      </c>
      <c r="J721" s="2">
        <f>YEAR(Sheet1[[#This Row],[claim_date]])</f>
        <v>2023</v>
      </c>
      <c r="K721" s="2" t="str">
        <f>"Q"&amp;ROUNDUP(MONTH(Sheet1[[#This Row],[claim_date]])/3,0)</f>
        <v>Q1</v>
      </c>
      <c r="L721" s="2" t="str">
        <f>IF(Sheet1[[#This Row],[claim_amount]]&lt;100000,"Low",IF(Sheet1[[#This Row],[claim_amount]]&lt;200000,"Medium","High"))</f>
        <v>High</v>
      </c>
      <c r="M721" s="2" t="str">
        <f>IF(Sheet1[[#This Row],[days_to_process]]&lt;=30,"Fast","Slow")</f>
        <v>Fast</v>
      </c>
    </row>
    <row r="722" spans="1:13" x14ac:dyDescent="0.3">
      <c r="A722" t="s">
        <v>1375</v>
      </c>
      <c r="B722" s="2" t="s">
        <v>1376</v>
      </c>
      <c r="C722" s="1">
        <v>45300</v>
      </c>
      <c r="D722" s="35">
        <v>262048.94</v>
      </c>
      <c r="E722" s="2" t="s">
        <v>19</v>
      </c>
      <c r="F722" s="2" t="s">
        <v>23</v>
      </c>
      <c r="G722" s="2" t="s">
        <v>24</v>
      </c>
      <c r="H722">
        <v>20</v>
      </c>
      <c r="I722" s="2" t="str">
        <f>TEXT(Sheet1[[#This Row],[claim_date]],"mmmm")</f>
        <v>January</v>
      </c>
      <c r="J722" s="2">
        <f>YEAR(Sheet1[[#This Row],[claim_date]])</f>
        <v>2024</v>
      </c>
      <c r="K722" s="2" t="str">
        <f>"Q"&amp;ROUNDUP(MONTH(Sheet1[[#This Row],[claim_date]])/3,0)</f>
        <v>Q1</v>
      </c>
      <c r="L722" s="2" t="str">
        <f>IF(Sheet1[[#This Row],[claim_amount]]&lt;100000,"Low",IF(Sheet1[[#This Row],[claim_amount]]&lt;200000,"Medium","High"))</f>
        <v>High</v>
      </c>
      <c r="M722" s="2" t="str">
        <f>IF(Sheet1[[#This Row],[days_to_process]]&lt;=30,"Fast","Slow")</f>
        <v>Fast</v>
      </c>
    </row>
    <row r="723" spans="1:13" x14ac:dyDescent="0.3">
      <c r="A723" t="s">
        <v>1377</v>
      </c>
      <c r="B723" s="2" t="s">
        <v>1378</v>
      </c>
      <c r="C723" s="1">
        <v>45432</v>
      </c>
      <c r="D723" s="35">
        <v>348694.52</v>
      </c>
      <c r="E723" s="2" t="s">
        <v>15</v>
      </c>
      <c r="F723" s="2" t="s">
        <v>16</v>
      </c>
      <c r="G723" s="2" t="s">
        <v>12</v>
      </c>
      <c r="H723">
        <v>58</v>
      </c>
      <c r="I723" s="2" t="str">
        <f>TEXT(Sheet1[[#This Row],[claim_date]],"mmmm")</f>
        <v>May</v>
      </c>
      <c r="J723" s="2">
        <f>YEAR(Sheet1[[#This Row],[claim_date]])</f>
        <v>2024</v>
      </c>
      <c r="K723" s="2" t="str">
        <f>"Q"&amp;ROUNDUP(MONTH(Sheet1[[#This Row],[claim_date]])/3,0)</f>
        <v>Q2</v>
      </c>
      <c r="L723" s="2" t="str">
        <f>IF(Sheet1[[#This Row],[claim_amount]]&lt;100000,"Low",IF(Sheet1[[#This Row],[claim_amount]]&lt;200000,"Medium","High"))</f>
        <v>High</v>
      </c>
      <c r="M723" s="2" t="str">
        <f>IF(Sheet1[[#This Row],[days_to_process]]&lt;=30,"Fast","Slow")</f>
        <v>Slow</v>
      </c>
    </row>
    <row r="724" spans="1:13" x14ac:dyDescent="0.3">
      <c r="A724" t="s">
        <v>1379</v>
      </c>
      <c r="B724" s="2" t="s">
        <v>1380</v>
      </c>
      <c r="C724" s="1">
        <v>44251</v>
      </c>
      <c r="D724" s="35">
        <v>205448.64</v>
      </c>
      <c r="E724" s="2" t="s">
        <v>10</v>
      </c>
      <c r="F724" s="2" t="s">
        <v>20</v>
      </c>
      <c r="G724" s="2" t="s">
        <v>24</v>
      </c>
      <c r="H724">
        <v>48</v>
      </c>
      <c r="I724" s="2" t="str">
        <f>TEXT(Sheet1[[#This Row],[claim_date]],"mmmm")</f>
        <v>February</v>
      </c>
      <c r="J724" s="2">
        <f>YEAR(Sheet1[[#This Row],[claim_date]])</f>
        <v>2021</v>
      </c>
      <c r="K724" s="2" t="str">
        <f>"Q"&amp;ROUNDUP(MONTH(Sheet1[[#This Row],[claim_date]])/3,0)</f>
        <v>Q1</v>
      </c>
      <c r="L724" s="2" t="str">
        <f>IF(Sheet1[[#This Row],[claim_amount]]&lt;100000,"Low",IF(Sheet1[[#This Row],[claim_amount]]&lt;200000,"Medium","High"))</f>
        <v>High</v>
      </c>
      <c r="M724" s="2" t="str">
        <f>IF(Sheet1[[#This Row],[days_to_process]]&lt;=30,"Fast","Slow")</f>
        <v>Slow</v>
      </c>
    </row>
    <row r="725" spans="1:13" x14ac:dyDescent="0.3">
      <c r="A725" t="s">
        <v>1381</v>
      </c>
      <c r="B725" s="2" t="s">
        <v>1382</v>
      </c>
      <c r="C725" s="1">
        <v>45046</v>
      </c>
      <c r="D725" s="35">
        <v>348898.4</v>
      </c>
      <c r="E725" s="2" t="s">
        <v>15</v>
      </c>
      <c r="F725" s="2" t="s">
        <v>34</v>
      </c>
      <c r="G725" s="2" t="s">
        <v>24</v>
      </c>
      <c r="H725">
        <v>36</v>
      </c>
      <c r="I725" s="2" t="str">
        <f>TEXT(Sheet1[[#This Row],[claim_date]],"mmmm")</f>
        <v>April</v>
      </c>
      <c r="J725" s="2">
        <f>YEAR(Sheet1[[#This Row],[claim_date]])</f>
        <v>2023</v>
      </c>
      <c r="K725" s="2" t="str">
        <f>"Q"&amp;ROUNDUP(MONTH(Sheet1[[#This Row],[claim_date]])/3,0)</f>
        <v>Q2</v>
      </c>
      <c r="L725" s="2" t="str">
        <f>IF(Sheet1[[#This Row],[claim_amount]]&lt;100000,"Low",IF(Sheet1[[#This Row],[claim_amount]]&lt;200000,"Medium","High"))</f>
        <v>High</v>
      </c>
      <c r="M725" s="2" t="str">
        <f>IF(Sheet1[[#This Row],[days_to_process]]&lt;=30,"Fast","Slow")</f>
        <v>Slow</v>
      </c>
    </row>
    <row r="726" spans="1:13" x14ac:dyDescent="0.3">
      <c r="A726" t="s">
        <v>1383</v>
      </c>
      <c r="B726" s="2" t="s">
        <v>1384</v>
      </c>
      <c r="C726" s="1">
        <v>45555</v>
      </c>
      <c r="D726" s="35">
        <v>399628.02</v>
      </c>
      <c r="E726" s="2" t="s">
        <v>10</v>
      </c>
      <c r="F726" s="2" t="s">
        <v>34</v>
      </c>
      <c r="G726" s="2" t="s">
        <v>12</v>
      </c>
      <c r="H726">
        <v>9</v>
      </c>
      <c r="I726" s="2" t="str">
        <f>TEXT(Sheet1[[#This Row],[claim_date]],"mmmm")</f>
        <v>September</v>
      </c>
      <c r="J726" s="2">
        <f>YEAR(Sheet1[[#This Row],[claim_date]])</f>
        <v>2024</v>
      </c>
      <c r="K726" s="2" t="str">
        <f>"Q"&amp;ROUNDUP(MONTH(Sheet1[[#This Row],[claim_date]])/3,0)</f>
        <v>Q3</v>
      </c>
      <c r="L726" s="2" t="str">
        <f>IF(Sheet1[[#This Row],[claim_amount]]&lt;100000,"Low",IF(Sheet1[[#This Row],[claim_amount]]&lt;200000,"Medium","High"))</f>
        <v>High</v>
      </c>
      <c r="M726" s="2" t="str">
        <f>IF(Sheet1[[#This Row],[days_to_process]]&lt;=30,"Fast","Slow")</f>
        <v>Fast</v>
      </c>
    </row>
    <row r="727" spans="1:13" x14ac:dyDescent="0.3">
      <c r="A727" t="s">
        <v>1385</v>
      </c>
      <c r="B727" s="2" t="s">
        <v>1386</v>
      </c>
      <c r="C727" s="1">
        <v>45152</v>
      </c>
      <c r="D727" s="35">
        <v>494378.45</v>
      </c>
      <c r="E727" s="2" t="s">
        <v>15</v>
      </c>
      <c r="F727" s="2" t="s">
        <v>16</v>
      </c>
      <c r="G727" s="2" t="s">
        <v>12</v>
      </c>
      <c r="H727">
        <v>37</v>
      </c>
      <c r="I727" s="2" t="str">
        <f>TEXT(Sheet1[[#This Row],[claim_date]],"mmmm")</f>
        <v>August</v>
      </c>
      <c r="J727" s="2">
        <f>YEAR(Sheet1[[#This Row],[claim_date]])</f>
        <v>2023</v>
      </c>
      <c r="K727" s="2" t="str">
        <f>"Q"&amp;ROUNDUP(MONTH(Sheet1[[#This Row],[claim_date]])/3,0)</f>
        <v>Q3</v>
      </c>
      <c r="L727" s="2" t="str">
        <f>IF(Sheet1[[#This Row],[claim_amount]]&lt;100000,"Low",IF(Sheet1[[#This Row],[claim_amount]]&lt;200000,"Medium","High"))</f>
        <v>High</v>
      </c>
      <c r="M727" s="2" t="str">
        <f>IF(Sheet1[[#This Row],[days_to_process]]&lt;=30,"Fast","Slow")</f>
        <v>Slow</v>
      </c>
    </row>
    <row r="728" spans="1:13" x14ac:dyDescent="0.3">
      <c r="A728" t="s">
        <v>1387</v>
      </c>
      <c r="B728" s="2" t="s">
        <v>1388</v>
      </c>
      <c r="C728" s="1">
        <v>45245</v>
      </c>
      <c r="D728" s="35">
        <v>193760.12</v>
      </c>
      <c r="E728" s="2" t="s">
        <v>19</v>
      </c>
      <c r="F728" s="2" t="s">
        <v>16</v>
      </c>
      <c r="G728" s="2" t="s">
        <v>12</v>
      </c>
      <c r="H728">
        <v>41</v>
      </c>
      <c r="I728" s="2" t="str">
        <f>TEXT(Sheet1[[#This Row],[claim_date]],"mmmm")</f>
        <v>November</v>
      </c>
      <c r="J728" s="2">
        <f>YEAR(Sheet1[[#This Row],[claim_date]])</f>
        <v>2023</v>
      </c>
      <c r="K728" s="2" t="str">
        <f>"Q"&amp;ROUNDUP(MONTH(Sheet1[[#This Row],[claim_date]])/3,0)</f>
        <v>Q4</v>
      </c>
      <c r="L728" s="2" t="str">
        <f>IF(Sheet1[[#This Row],[claim_amount]]&lt;100000,"Low",IF(Sheet1[[#This Row],[claim_amount]]&lt;200000,"Medium","High"))</f>
        <v>Medium</v>
      </c>
      <c r="M728" s="2" t="str">
        <f>IF(Sheet1[[#This Row],[days_to_process]]&lt;=30,"Fast","Slow")</f>
        <v>Slow</v>
      </c>
    </row>
    <row r="729" spans="1:13" x14ac:dyDescent="0.3">
      <c r="A729" t="s">
        <v>1389</v>
      </c>
      <c r="B729" s="2" t="s">
        <v>1390</v>
      </c>
      <c r="C729" s="1">
        <v>45258</v>
      </c>
      <c r="D729" s="35">
        <v>423858.32</v>
      </c>
      <c r="E729" s="2" t="s">
        <v>15</v>
      </c>
      <c r="F729" s="2" t="s">
        <v>23</v>
      </c>
      <c r="G729" s="2" t="s">
        <v>12</v>
      </c>
      <c r="H729">
        <v>31</v>
      </c>
      <c r="I729" s="2" t="str">
        <f>TEXT(Sheet1[[#This Row],[claim_date]],"mmmm")</f>
        <v>November</v>
      </c>
      <c r="J729" s="2">
        <f>YEAR(Sheet1[[#This Row],[claim_date]])</f>
        <v>2023</v>
      </c>
      <c r="K729" s="2" t="str">
        <f>"Q"&amp;ROUNDUP(MONTH(Sheet1[[#This Row],[claim_date]])/3,0)</f>
        <v>Q4</v>
      </c>
      <c r="L729" s="2" t="str">
        <f>IF(Sheet1[[#This Row],[claim_amount]]&lt;100000,"Low",IF(Sheet1[[#This Row],[claim_amount]]&lt;200000,"Medium","High"))</f>
        <v>High</v>
      </c>
      <c r="M729" s="2" t="str">
        <f>IF(Sheet1[[#This Row],[days_to_process]]&lt;=30,"Fast","Slow")</f>
        <v>Slow</v>
      </c>
    </row>
    <row r="730" spans="1:13" x14ac:dyDescent="0.3">
      <c r="A730" t="s">
        <v>1391</v>
      </c>
      <c r="B730" s="2" t="s">
        <v>1392</v>
      </c>
      <c r="C730" s="1">
        <v>45202</v>
      </c>
      <c r="D730" s="35">
        <v>99421.82</v>
      </c>
      <c r="E730" s="2" t="s">
        <v>19</v>
      </c>
      <c r="F730" s="2" t="s">
        <v>11</v>
      </c>
      <c r="G730" s="2" t="s">
        <v>12</v>
      </c>
      <c r="H730">
        <v>35</v>
      </c>
      <c r="I730" s="2" t="str">
        <f>TEXT(Sheet1[[#This Row],[claim_date]],"mmmm")</f>
        <v>October</v>
      </c>
      <c r="J730" s="2">
        <f>YEAR(Sheet1[[#This Row],[claim_date]])</f>
        <v>2023</v>
      </c>
      <c r="K730" s="2" t="str">
        <f>"Q"&amp;ROUNDUP(MONTH(Sheet1[[#This Row],[claim_date]])/3,0)</f>
        <v>Q4</v>
      </c>
      <c r="L730" s="2" t="str">
        <f>IF(Sheet1[[#This Row],[claim_amount]]&lt;100000,"Low",IF(Sheet1[[#This Row],[claim_amount]]&lt;200000,"Medium","High"))</f>
        <v>Low</v>
      </c>
      <c r="M730" s="2" t="str">
        <f>IF(Sheet1[[#This Row],[days_to_process]]&lt;=30,"Fast","Slow")</f>
        <v>Slow</v>
      </c>
    </row>
    <row r="731" spans="1:13" x14ac:dyDescent="0.3">
      <c r="A731" t="s">
        <v>1393</v>
      </c>
      <c r="B731" s="2" t="s">
        <v>1394</v>
      </c>
      <c r="C731" s="1">
        <v>45647</v>
      </c>
      <c r="D731" s="35">
        <v>110173.94</v>
      </c>
      <c r="E731" s="2" t="s">
        <v>10</v>
      </c>
      <c r="F731" s="2" t="s">
        <v>23</v>
      </c>
      <c r="G731" s="2" t="s">
        <v>24</v>
      </c>
      <c r="H731">
        <v>20</v>
      </c>
      <c r="I731" s="2" t="str">
        <f>TEXT(Sheet1[[#This Row],[claim_date]],"mmmm")</f>
        <v>December</v>
      </c>
      <c r="J731" s="2">
        <f>YEAR(Sheet1[[#This Row],[claim_date]])</f>
        <v>2024</v>
      </c>
      <c r="K731" s="2" t="str">
        <f>"Q"&amp;ROUNDUP(MONTH(Sheet1[[#This Row],[claim_date]])/3,0)</f>
        <v>Q4</v>
      </c>
      <c r="L731" s="2" t="str">
        <f>IF(Sheet1[[#This Row],[claim_amount]]&lt;100000,"Low",IF(Sheet1[[#This Row],[claim_amount]]&lt;200000,"Medium","High"))</f>
        <v>Medium</v>
      </c>
      <c r="M731" s="2" t="str">
        <f>IF(Sheet1[[#This Row],[days_to_process]]&lt;=30,"Fast","Slow")</f>
        <v>Fast</v>
      </c>
    </row>
    <row r="732" spans="1:13" x14ac:dyDescent="0.3">
      <c r="A732" t="s">
        <v>1395</v>
      </c>
      <c r="B732" s="2" t="s">
        <v>1396</v>
      </c>
      <c r="C732" s="1">
        <v>45502</v>
      </c>
      <c r="D732" s="35">
        <v>130474.61</v>
      </c>
      <c r="E732" s="2" t="s">
        <v>19</v>
      </c>
      <c r="F732" s="2" t="s">
        <v>11</v>
      </c>
      <c r="G732" s="2" t="s">
        <v>12</v>
      </c>
      <c r="H732">
        <v>13</v>
      </c>
      <c r="I732" s="2" t="str">
        <f>TEXT(Sheet1[[#This Row],[claim_date]],"mmmm")</f>
        <v>July</v>
      </c>
      <c r="J732" s="2">
        <f>YEAR(Sheet1[[#This Row],[claim_date]])</f>
        <v>2024</v>
      </c>
      <c r="K732" s="2" t="str">
        <f>"Q"&amp;ROUNDUP(MONTH(Sheet1[[#This Row],[claim_date]])/3,0)</f>
        <v>Q3</v>
      </c>
      <c r="L732" s="2" t="str">
        <f>IF(Sheet1[[#This Row],[claim_amount]]&lt;100000,"Low",IF(Sheet1[[#This Row],[claim_amount]]&lt;200000,"Medium","High"))</f>
        <v>Medium</v>
      </c>
      <c r="M732" s="2" t="str">
        <f>IF(Sheet1[[#This Row],[days_to_process]]&lt;=30,"Fast","Slow")</f>
        <v>Fast</v>
      </c>
    </row>
    <row r="733" spans="1:13" x14ac:dyDescent="0.3">
      <c r="A733" t="s">
        <v>1397</v>
      </c>
      <c r="B733" s="2" t="s">
        <v>1398</v>
      </c>
      <c r="C733" s="1">
        <v>45362</v>
      </c>
      <c r="D733" s="35">
        <v>65742.63</v>
      </c>
      <c r="E733" s="2" t="s">
        <v>15</v>
      </c>
      <c r="F733" s="2" t="s">
        <v>20</v>
      </c>
      <c r="G733" s="2" t="s">
        <v>24</v>
      </c>
      <c r="H733">
        <v>11</v>
      </c>
      <c r="I733" s="2" t="str">
        <f>TEXT(Sheet1[[#This Row],[claim_date]],"mmmm")</f>
        <v>March</v>
      </c>
      <c r="J733" s="2">
        <f>YEAR(Sheet1[[#This Row],[claim_date]])</f>
        <v>2024</v>
      </c>
      <c r="K733" s="2" t="str">
        <f>"Q"&amp;ROUNDUP(MONTH(Sheet1[[#This Row],[claim_date]])/3,0)</f>
        <v>Q1</v>
      </c>
      <c r="L733" s="2" t="str">
        <f>IF(Sheet1[[#This Row],[claim_amount]]&lt;100000,"Low",IF(Sheet1[[#This Row],[claim_amount]]&lt;200000,"Medium","High"))</f>
        <v>Low</v>
      </c>
      <c r="M733" s="2" t="str">
        <f>IF(Sheet1[[#This Row],[days_to_process]]&lt;=30,"Fast","Slow")</f>
        <v>Fast</v>
      </c>
    </row>
    <row r="734" spans="1:13" x14ac:dyDescent="0.3">
      <c r="A734" t="s">
        <v>1399</v>
      </c>
      <c r="B734" s="2" t="s">
        <v>1400</v>
      </c>
      <c r="C734" s="1">
        <v>45473</v>
      </c>
      <c r="D734" s="35">
        <v>413832.5</v>
      </c>
      <c r="E734" s="2" t="s">
        <v>10</v>
      </c>
      <c r="F734" s="2" t="s">
        <v>34</v>
      </c>
      <c r="G734" s="2" t="s">
        <v>24</v>
      </c>
      <c r="H734">
        <v>11</v>
      </c>
      <c r="I734" s="2" t="str">
        <f>TEXT(Sheet1[[#This Row],[claim_date]],"mmmm")</f>
        <v>June</v>
      </c>
      <c r="J734" s="2">
        <f>YEAR(Sheet1[[#This Row],[claim_date]])</f>
        <v>2024</v>
      </c>
      <c r="K734" s="2" t="str">
        <f>"Q"&amp;ROUNDUP(MONTH(Sheet1[[#This Row],[claim_date]])/3,0)</f>
        <v>Q2</v>
      </c>
      <c r="L734" s="2" t="str">
        <f>IF(Sheet1[[#This Row],[claim_amount]]&lt;100000,"Low",IF(Sheet1[[#This Row],[claim_amount]]&lt;200000,"Medium","High"))</f>
        <v>High</v>
      </c>
      <c r="M734" s="2" t="str">
        <f>IF(Sheet1[[#This Row],[days_to_process]]&lt;=30,"Fast","Slow")</f>
        <v>Fast</v>
      </c>
    </row>
    <row r="735" spans="1:13" x14ac:dyDescent="0.3">
      <c r="A735" t="s">
        <v>1401</v>
      </c>
      <c r="B735" s="2" t="s">
        <v>1402</v>
      </c>
      <c r="C735" s="1">
        <v>45371</v>
      </c>
      <c r="D735" s="35">
        <v>153248.57</v>
      </c>
      <c r="E735" s="2" t="s">
        <v>10</v>
      </c>
      <c r="F735" s="2" t="s">
        <v>23</v>
      </c>
      <c r="G735" s="2" t="s">
        <v>12</v>
      </c>
      <c r="H735">
        <v>4</v>
      </c>
      <c r="I735" s="2" t="str">
        <f>TEXT(Sheet1[[#This Row],[claim_date]],"mmmm")</f>
        <v>March</v>
      </c>
      <c r="J735" s="2">
        <f>YEAR(Sheet1[[#This Row],[claim_date]])</f>
        <v>2024</v>
      </c>
      <c r="K735" s="2" t="str">
        <f>"Q"&amp;ROUNDUP(MONTH(Sheet1[[#This Row],[claim_date]])/3,0)</f>
        <v>Q1</v>
      </c>
      <c r="L735" s="2" t="str">
        <f>IF(Sheet1[[#This Row],[claim_amount]]&lt;100000,"Low",IF(Sheet1[[#This Row],[claim_amount]]&lt;200000,"Medium","High"))</f>
        <v>Medium</v>
      </c>
      <c r="M735" s="2" t="str">
        <f>IF(Sheet1[[#This Row],[days_to_process]]&lt;=30,"Fast","Slow")</f>
        <v>Fast</v>
      </c>
    </row>
    <row r="736" spans="1:13" x14ac:dyDescent="0.3">
      <c r="A736" t="s">
        <v>1403</v>
      </c>
      <c r="B736" s="2" t="s">
        <v>1404</v>
      </c>
      <c r="C736" s="1">
        <v>44742</v>
      </c>
      <c r="D736" s="35">
        <v>481864.13</v>
      </c>
      <c r="E736" s="2" t="s">
        <v>10</v>
      </c>
      <c r="F736" s="2" t="s">
        <v>11</v>
      </c>
      <c r="G736" s="2" t="s">
        <v>12</v>
      </c>
      <c r="H736">
        <v>7</v>
      </c>
      <c r="I736" s="2" t="str">
        <f>TEXT(Sheet1[[#This Row],[claim_date]],"mmmm")</f>
        <v>June</v>
      </c>
      <c r="J736" s="2">
        <f>YEAR(Sheet1[[#This Row],[claim_date]])</f>
        <v>2022</v>
      </c>
      <c r="K736" s="2" t="str">
        <f>"Q"&amp;ROUNDUP(MONTH(Sheet1[[#This Row],[claim_date]])/3,0)</f>
        <v>Q2</v>
      </c>
      <c r="L736" s="2" t="str">
        <f>IF(Sheet1[[#This Row],[claim_amount]]&lt;100000,"Low",IF(Sheet1[[#This Row],[claim_amount]]&lt;200000,"Medium","High"))</f>
        <v>High</v>
      </c>
      <c r="M736" s="2" t="str">
        <f>IF(Sheet1[[#This Row],[days_to_process]]&lt;=30,"Fast","Slow")</f>
        <v>Fast</v>
      </c>
    </row>
    <row r="737" spans="1:13" x14ac:dyDescent="0.3">
      <c r="A737" t="s">
        <v>1405</v>
      </c>
      <c r="B737" s="2" t="s">
        <v>539</v>
      </c>
      <c r="C737" s="1">
        <v>44941</v>
      </c>
      <c r="D737" s="35">
        <v>469357.59</v>
      </c>
      <c r="E737" s="2" t="s">
        <v>10</v>
      </c>
      <c r="F737" s="2" t="s">
        <v>11</v>
      </c>
      <c r="G737" s="2" t="s">
        <v>12</v>
      </c>
      <c r="H737">
        <v>37</v>
      </c>
      <c r="I737" s="2" t="str">
        <f>TEXT(Sheet1[[#This Row],[claim_date]],"mmmm")</f>
        <v>January</v>
      </c>
      <c r="J737" s="2">
        <f>YEAR(Sheet1[[#This Row],[claim_date]])</f>
        <v>2023</v>
      </c>
      <c r="K737" s="2" t="str">
        <f>"Q"&amp;ROUNDUP(MONTH(Sheet1[[#This Row],[claim_date]])/3,0)</f>
        <v>Q1</v>
      </c>
      <c r="L737" s="2" t="str">
        <f>IF(Sheet1[[#This Row],[claim_amount]]&lt;100000,"Low",IF(Sheet1[[#This Row],[claim_amount]]&lt;200000,"Medium","High"))</f>
        <v>High</v>
      </c>
      <c r="M737" s="2" t="str">
        <f>IF(Sheet1[[#This Row],[days_to_process]]&lt;=30,"Fast","Slow")</f>
        <v>Slow</v>
      </c>
    </row>
    <row r="738" spans="1:13" x14ac:dyDescent="0.3">
      <c r="A738" t="s">
        <v>1406</v>
      </c>
      <c r="B738" s="2" t="s">
        <v>830</v>
      </c>
      <c r="C738" s="1">
        <v>45352</v>
      </c>
      <c r="D738" s="35">
        <v>243154.64</v>
      </c>
      <c r="E738" s="2" t="s">
        <v>15</v>
      </c>
      <c r="F738" s="2" t="s">
        <v>23</v>
      </c>
      <c r="G738" s="2" t="s">
        <v>24</v>
      </c>
      <c r="H738">
        <v>23</v>
      </c>
      <c r="I738" s="2" t="str">
        <f>TEXT(Sheet1[[#This Row],[claim_date]],"mmmm")</f>
        <v>March</v>
      </c>
      <c r="J738" s="2">
        <f>YEAR(Sheet1[[#This Row],[claim_date]])</f>
        <v>2024</v>
      </c>
      <c r="K738" s="2" t="str">
        <f>"Q"&amp;ROUNDUP(MONTH(Sheet1[[#This Row],[claim_date]])/3,0)</f>
        <v>Q1</v>
      </c>
      <c r="L738" s="2" t="str">
        <f>IF(Sheet1[[#This Row],[claim_amount]]&lt;100000,"Low",IF(Sheet1[[#This Row],[claim_amount]]&lt;200000,"Medium","High"))</f>
        <v>High</v>
      </c>
      <c r="M738" s="2" t="str">
        <f>IF(Sheet1[[#This Row],[days_to_process]]&lt;=30,"Fast","Slow")</f>
        <v>Fast</v>
      </c>
    </row>
    <row r="739" spans="1:13" x14ac:dyDescent="0.3">
      <c r="A739" t="s">
        <v>1407</v>
      </c>
      <c r="B739" s="2" t="s">
        <v>91</v>
      </c>
      <c r="C739" s="1">
        <v>45396</v>
      </c>
      <c r="D739" s="35">
        <v>225284.11</v>
      </c>
      <c r="E739" s="2" t="s">
        <v>19</v>
      </c>
      <c r="F739" s="2" t="s">
        <v>23</v>
      </c>
      <c r="G739" s="2" t="s">
        <v>12</v>
      </c>
      <c r="H739">
        <v>48</v>
      </c>
      <c r="I739" s="2" t="str">
        <f>TEXT(Sheet1[[#This Row],[claim_date]],"mmmm")</f>
        <v>April</v>
      </c>
      <c r="J739" s="2">
        <f>YEAR(Sheet1[[#This Row],[claim_date]])</f>
        <v>2024</v>
      </c>
      <c r="K739" s="2" t="str">
        <f>"Q"&amp;ROUNDUP(MONTH(Sheet1[[#This Row],[claim_date]])/3,0)</f>
        <v>Q2</v>
      </c>
      <c r="L739" s="2" t="str">
        <f>IF(Sheet1[[#This Row],[claim_amount]]&lt;100000,"Low",IF(Sheet1[[#This Row],[claim_amount]]&lt;200000,"Medium","High"))</f>
        <v>High</v>
      </c>
      <c r="M739" s="2" t="str">
        <f>IF(Sheet1[[#This Row],[days_to_process]]&lt;=30,"Fast","Slow")</f>
        <v>Slow</v>
      </c>
    </row>
    <row r="740" spans="1:13" x14ac:dyDescent="0.3">
      <c r="A740" t="s">
        <v>1408</v>
      </c>
      <c r="B740" s="2" t="s">
        <v>1409</v>
      </c>
      <c r="C740" s="1">
        <v>45631</v>
      </c>
      <c r="D740" s="35">
        <v>263549.63</v>
      </c>
      <c r="E740" s="2" t="s">
        <v>10</v>
      </c>
      <c r="F740" s="2" t="s">
        <v>23</v>
      </c>
      <c r="G740" s="2" t="s">
        <v>24</v>
      </c>
      <c r="H740">
        <v>44</v>
      </c>
      <c r="I740" s="2" t="str">
        <f>TEXT(Sheet1[[#This Row],[claim_date]],"mmmm")</f>
        <v>December</v>
      </c>
      <c r="J740" s="2">
        <f>YEAR(Sheet1[[#This Row],[claim_date]])</f>
        <v>2024</v>
      </c>
      <c r="K740" s="2" t="str">
        <f>"Q"&amp;ROUNDUP(MONTH(Sheet1[[#This Row],[claim_date]])/3,0)</f>
        <v>Q4</v>
      </c>
      <c r="L740" s="2" t="str">
        <f>IF(Sheet1[[#This Row],[claim_amount]]&lt;100000,"Low",IF(Sheet1[[#This Row],[claim_amount]]&lt;200000,"Medium","High"))</f>
        <v>High</v>
      </c>
      <c r="M740" s="2" t="str">
        <f>IF(Sheet1[[#This Row],[days_to_process]]&lt;=30,"Fast","Slow")</f>
        <v>Slow</v>
      </c>
    </row>
    <row r="741" spans="1:13" x14ac:dyDescent="0.3">
      <c r="A741" t="s">
        <v>1410</v>
      </c>
      <c r="B741" s="2" t="s">
        <v>1411</v>
      </c>
      <c r="C741" s="1">
        <v>44653</v>
      </c>
      <c r="D741" s="35">
        <v>376559.38</v>
      </c>
      <c r="E741" s="2" t="s">
        <v>10</v>
      </c>
      <c r="F741" s="2" t="s">
        <v>16</v>
      </c>
      <c r="G741" s="2" t="s">
        <v>24</v>
      </c>
      <c r="H741">
        <v>2</v>
      </c>
      <c r="I741" s="2" t="str">
        <f>TEXT(Sheet1[[#This Row],[claim_date]],"mmmm")</f>
        <v>April</v>
      </c>
      <c r="J741" s="2">
        <f>YEAR(Sheet1[[#This Row],[claim_date]])</f>
        <v>2022</v>
      </c>
      <c r="K741" s="2" t="str">
        <f>"Q"&amp;ROUNDUP(MONTH(Sheet1[[#This Row],[claim_date]])/3,0)</f>
        <v>Q2</v>
      </c>
      <c r="L741" s="2" t="str">
        <f>IF(Sheet1[[#This Row],[claim_amount]]&lt;100000,"Low",IF(Sheet1[[#This Row],[claim_amount]]&lt;200000,"Medium","High"))</f>
        <v>High</v>
      </c>
      <c r="M741" s="2" t="str">
        <f>IF(Sheet1[[#This Row],[days_to_process]]&lt;=30,"Fast","Slow")</f>
        <v>Fast</v>
      </c>
    </row>
    <row r="742" spans="1:13" x14ac:dyDescent="0.3">
      <c r="A742" t="s">
        <v>1412</v>
      </c>
      <c r="B742" s="2" t="s">
        <v>1413</v>
      </c>
      <c r="C742" s="1">
        <v>45572</v>
      </c>
      <c r="D742" s="35">
        <v>390712.03</v>
      </c>
      <c r="E742" s="2" t="s">
        <v>10</v>
      </c>
      <c r="F742" s="2" t="s">
        <v>11</v>
      </c>
      <c r="G742" s="2" t="s">
        <v>12</v>
      </c>
      <c r="H742">
        <v>17</v>
      </c>
      <c r="I742" s="2" t="str">
        <f>TEXT(Sheet1[[#This Row],[claim_date]],"mmmm")</f>
        <v>October</v>
      </c>
      <c r="J742" s="2">
        <f>YEAR(Sheet1[[#This Row],[claim_date]])</f>
        <v>2024</v>
      </c>
      <c r="K742" s="2" t="str">
        <f>"Q"&amp;ROUNDUP(MONTH(Sheet1[[#This Row],[claim_date]])/3,0)</f>
        <v>Q4</v>
      </c>
      <c r="L742" s="2" t="str">
        <f>IF(Sheet1[[#This Row],[claim_amount]]&lt;100000,"Low",IF(Sheet1[[#This Row],[claim_amount]]&lt;200000,"Medium","High"))</f>
        <v>High</v>
      </c>
      <c r="M742" s="2" t="str">
        <f>IF(Sheet1[[#This Row],[days_to_process]]&lt;=30,"Fast","Slow")</f>
        <v>Fast</v>
      </c>
    </row>
    <row r="743" spans="1:13" x14ac:dyDescent="0.3">
      <c r="A743" t="s">
        <v>1414</v>
      </c>
      <c r="B743" s="2" t="s">
        <v>1415</v>
      </c>
      <c r="C743" s="1">
        <v>44984</v>
      </c>
      <c r="D743" s="35">
        <v>40417.61</v>
      </c>
      <c r="E743" s="2" t="s">
        <v>19</v>
      </c>
      <c r="F743" s="2" t="s">
        <v>16</v>
      </c>
      <c r="G743" s="2" t="s">
        <v>12</v>
      </c>
      <c r="H743">
        <v>42</v>
      </c>
      <c r="I743" s="2" t="str">
        <f>TEXT(Sheet1[[#This Row],[claim_date]],"mmmm")</f>
        <v>February</v>
      </c>
      <c r="J743" s="2">
        <f>YEAR(Sheet1[[#This Row],[claim_date]])</f>
        <v>2023</v>
      </c>
      <c r="K743" s="2" t="str">
        <f>"Q"&amp;ROUNDUP(MONTH(Sheet1[[#This Row],[claim_date]])/3,0)</f>
        <v>Q1</v>
      </c>
      <c r="L743" s="2" t="str">
        <f>IF(Sheet1[[#This Row],[claim_amount]]&lt;100000,"Low",IF(Sheet1[[#This Row],[claim_amount]]&lt;200000,"Medium","High"))</f>
        <v>Low</v>
      </c>
      <c r="M743" s="2" t="str">
        <f>IF(Sheet1[[#This Row],[days_to_process]]&lt;=30,"Fast","Slow")</f>
        <v>Slow</v>
      </c>
    </row>
    <row r="744" spans="1:13" x14ac:dyDescent="0.3">
      <c r="A744" t="s">
        <v>1416</v>
      </c>
      <c r="B744" s="2" t="s">
        <v>84</v>
      </c>
      <c r="C744" s="1">
        <v>45559</v>
      </c>
      <c r="D744" s="35">
        <v>193796.58</v>
      </c>
      <c r="E744" s="2" t="s">
        <v>19</v>
      </c>
      <c r="F744" s="2" t="s">
        <v>34</v>
      </c>
      <c r="G744" s="2" t="s">
        <v>24</v>
      </c>
      <c r="H744">
        <v>31</v>
      </c>
      <c r="I744" s="2" t="str">
        <f>TEXT(Sheet1[[#This Row],[claim_date]],"mmmm")</f>
        <v>September</v>
      </c>
      <c r="J744" s="2">
        <f>YEAR(Sheet1[[#This Row],[claim_date]])</f>
        <v>2024</v>
      </c>
      <c r="K744" s="2" t="str">
        <f>"Q"&amp;ROUNDUP(MONTH(Sheet1[[#This Row],[claim_date]])/3,0)</f>
        <v>Q3</v>
      </c>
      <c r="L744" s="2" t="str">
        <f>IF(Sheet1[[#This Row],[claim_amount]]&lt;100000,"Low",IF(Sheet1[[#This Row],[claim_amount]]&lt;200000,"Medium","High"))</f>
        <v>Medium</v>
      </c>
      <c r="M744" s="2" t="str">
        <f>IF(Sheet1[[#This Row],[days_to_process]]&lt;=30,"Fast","Slow")</f>
        <v>Slow</v>
      </c>
    </row>
    <row r="745" spans="1:13" x14ac:dyDescent="0.3">
      <c r="A745" t="s">
        <v>1417</v>
      </c>
      <c r="B745" s="2" t="s">
        <v>1418</v>
      </c>
      <c r="C745" s="1">
        <v>44376</v>
      </c>
      <c r="D745" s="35">
        <v>256502.13</v>
      </c>
      <c r="E745" s="2" t="s">
        <v>15</v>
      </c>
      <c r="F745" s="2" t="s">
        <v>20</v>
      </c>
      <c r="G745" s="2" t="s">
        <v>12</v>
      </c>
      <c r="H745">
        <v>14</v>
      </c>
      <c r="I745" s="2" t="str">
        <f>TEXT(Sheet1[[#This Row],[claim_date]],"mmmm")</f>
        <v>June</v>
      </c>
      <c r="J745" s="2">
        <f>YEAR(Sheet1[[#This Row],[claim_date]])</f>
        <v>2021</v>
      </c>
      <c r="K745" s="2" t="str">
        <f>"Q"&amp;ROUNDUP(MONTH(Sheet1[[#This Row],[claim_date]])/3,0)</f>
        <v>Q2</v>
      </c>
      <c r="L745" s="2" t="str">
        <f>IF(Sheet1[[#This Row],[claim_amount]]&lt;100000,"Low",IF(Sheet1[[#This Row],[claim_amount]]&lt;200000,"Medium","High"))</f>
        <v>High</v>
      </c>
      <c r="M745" s="2" t="str">
        <f>IF(Sheet1[[#This Row],[days_to_process]]&lt;=30,"Fast","Slow")</f>
        <v>Fast</v>
      </c>
    </row>
    <row r="746" spans="1:13" x14ac:dyDescent="0.3">
      <c r="A746" t="s">
        <v>1419</v>
      </c>
      <c r="B746" s="2" t="s">
        <v>1420</v>
      </c>
      <c r="C746" s="1">
        <v>45402</v>
      </c>
      <c r="D746" s="35">
        <v>125624.27</v>
      </c>
      <c r="E746" s="2" t="s">
        <v>10</v>
      </c>
      <c r="F746" s="2" t="s">
        <v>20</v>
      </c>
      <c r="G746" s="2" t="s">
        <v>24</v>
      </c>
      <c r="H746">
        <v>20</v>
      </c>
      <c r="I746" s="2" t="str">
        <f>TEXT(Sheet1[[#This Row],[claim_date]],"mmmm")</f>
        <v>April</v>
      </c>
      <c r="J746" s="2">
        <f>YEAR(Sheet1[[#This Row],[claim_date]])</f>
        <v>2024</v>
      </c>
      <c r="K746" s="2" t="str">
        <f>"Q"&amp;ROUNDUP(MONTH(Sheet1[[#This Row],[claim_date]])/3,0)</f>
        <v>Q2</v>
      </c>
      <c r="L746" s="2" t="str">
        <f>IF(Sheet1[[#This Row],[claim_amount]]&lt;100000,"Low",IF(Sheet1[[#This Row],[claim_amount]]&lt;200000,"Medium","High"))</f>
        <v>Medium</v>
      </c>
      <c r="M746" s="2" t="str">
        <f>IF(Sheet1[[#This Row],[days_to_process]]&lt;=30,"Fast","Slow")</f>
        <v>Fast</v>
      </c>
    </row>
    <row r="747" spans="1:13" x14ac:dyDescent="0.3">
      <c r="A747" t="s">
        <v>1421</v>
      </c>
      <c r="B747" s="2" t="s">
        <v>1422</v>
      </c>
      <c r="C747" s="1">
        <v>45115</v>
      </c>
      <c r="D747" s="35">
        <v>486764.29</v>
      </c>
      <c r="E747" s="2" t="s">
        <v>15</v>
      </c>
      <c r="F747" s="2" t="s">
        <v>20</v>
      </c>
      <c r="G747" s="2" t="s">
        <v>24</v>
      </c>
      <c r="H747">
        <v>55</v>
      </c>
      <c r="I747" s="2" t="str">
        <f>TEXT(Sheet1[[#This Row],[claim_date]],"mmmm")</f>
        <v>July</v>
      </c>
      <c r="J747" s="2">
        <f>YEAR(Sheet1[[#This Row],[claim_date]])</f>
        <v>2023</v>
      </c>
      <c r="K747" s="2" t="str">
        <f>"Q"&amp;ROUNDUP(MONTH(Sheet1[[#This Row],[claim_date]])/3,0)</f>
        <v>Q3</v>
      </c>
      <c r="L747" s="2" t="str">
        <f>IF(Sheet1[[#This Row],[claim_amount]]&lt;100000,"Low",IF(Sheet1[[#This Row],[claim_amount]]&lt;200000,"Medium","High"))</f>
        <v>High</v>
      </c>
      <c r="M747" s="2" t="str">
        <f>IF(Sheet1[[#This Row],[days_to_process]]&lt;=30,"Fast","Slow")</f>
        <v>Slow</v>
      </c>
    </row>
    <row r="748" spans="1:13" x14ac:dyDescent="0.3">
      <c r="A748" t="s">
        <v>1423</v>
      </c>
      <c r="B748" s="2" t="s">
        <v>1424</v>
      </c>
      <c r="C748" s="1">
        <v>45746</v>
      </c>
      <c r="D748" s="35">
        <v>247141.28</v>
      </c>
      <c r="E748" s="2" t="s">
        <v>10</v>
      </c>
      <c r="F748" s="2" t="s">
        <v>34</v>
      </c>
      <c r="G748" s="2" t="s">
        <v>24</v>
      </c>
      <c r="H748">
        <v>4</v>
      </c>
      <c r="I748" s="2" t="str">
        <f>TEXT(Sheet1[[#This Row],[claim_date]],"mmmm")</f>
        <v>March</v>
      </c>
      <c r="J748" s="2">
        <f>YEAR(Sheet1[[#This Row],[claim_date]])</f>
        <v>2025</v>
      </c>
      <c r="K748" s="2" t="str">
        <f>"Q"&amp;ROUNDUP(MONTH(Sheet1[[#This Row],[claim_date]])/3,0)</f>
        <v>Q1</v>
      </c>
      <c r="L748" s="2" t="str">
        <f>IF(Sheet1[[#This Row],[claim_amount]]&lt;100000,"Low",IF(Sheet1[[#This Row],[claim_amount]]&lt;200000,"Medium","High"))</f>
        <v>High</v>
      </c>
      <c r="M748" s="2" t="str">
        <f>IF(Sheet1[[#This Row],[days_to_process]]&lt;=30,"Fast","Slow")</f>
        <v>Fast</v>
      </c>
    </row>
    <row r="749" spans="1:13" x14ac:dyDescent="0.3">
      <c r="A749" t="s">
        <v>1425</v>
      </c>
      <c r="B749" s="2" t="s">
        <v>1426</v>
      </c>
      <c r="C749" s="1">
        <v>45388</v>
      </c>
      <c r="D749" s="35">
        <v>182649.32</v>
      </c>
      <c r="E749" s="2" t="s">
        <v>15</v>
      </c>
      <c r="F749" s="2" t="s">
        <v>20</v>
      </c>
      <c r="G749" s="2" t="s">
        <v>12</v>
      </c>
      <c r="H749">
        <v>7</v>
      </c>
      <c r="I749" s="2" t="str">
        <f>TEXT(Sheet1[[#This Row],[claim_date]],"mmmm")</f>
        <v>April</v>
      </c>
      <c r="J749" s="2">
        <f>YEAR(Sheet1[[#This Row],[claim_date]])</f>
        <v>2024</v>
      </c>
      <c r="K749" s="2" t="str">
        <f>"Q"&amp;ROUNDUP(MONTH(Sheet1[[#This Row],[claim_date]])/3,0)</f>
        <v>Q2</v>
      </c>
      <c r="L749" s="2" t="str">
        <f>IF(Sheet1[[#This Row],[claim_amount]]&lt;100000,"Low",IF(Sheet1[[#This Row],[claim_amount]]&lt;200000,"Medium","High"))</f>
        <v>Medium</v>
      </c>
      <c r="M749" s="2" t="str">
        <f>IF(Sheet1[[#This Row],[days_to_process]]&lt;=30,"Fast","Slow")</f>
        <v>Fast</v>
      </c>
    </row>
    <row r="750" spans="1:13" x14ac:dyDescent="0.3">
      <c r="A750" t="s">
        <v>1427</v>
      </c>
      <c r="B750" s="2" t="s">
        <v>1428</v>
      </c>
      <c r="C750" s="1">
        <v>45582</v>
      </c>
      <c r="D750" s="35">
        <v>42853.97</v>
      </c>
      <c r="E750" s="2" t="s">
        <v>15</v>
      </c>
      <c r="F750" s="2" t="s">
        <v>20</v>
      </c>
      <c r="G750" s="2" t="s">
        <v>24</v>
      </c>
      <c r="H750">
        <v>36</v>
      </c>
      <c r="I750" s="2" t="str">
        <f>TEXT(Sheet1[[#This Row],[claim_date]],"mmmm")</f>
        <v>October</v>
      </c>
      <c r="J750" s="2">
        <f>YEAR(Sheet1[[#This Row],[claim_date]])</f>
        <v>2024</v>
      </c>
      <c r="K750" s="2" t="str">
        <f>"Q"&amp;ROUNDUP(MONTH(Sheet1[[#This Row],[claim_date]])/3,0)</f>
        <v>Q4</v>
      </c>
      <c r="L750" s="2" t="str">
        <f>IF(Sheet1[[#This Row],[claim_amount]]&lt;100000,"Low",IF(Sheet1[[#This Row],[claim_amount]]&lt;200000,"Medium","High"))</f>
        <v>Low</v>
      </c>
      <c r="M750" s="2" t="str">
        <f>IF(Sheet1[[#This Row],[days_to_process]]&lt;=30,"Fast","Slow")</f>
        <v>Slow</v>
      </c>
    </row>
    <row r="751" spans="1:13" x14ac:dyDescent="0.3">
      <c r="A751" t="s">
        <v>1429</v>
      </c>
      <c r="B751" s="2" t="s">
        <v>1430</v>
      </c>
      <c r="C751" s="1">
        <v>45464</v>
      </c>
      <c r="D751" s="35">
        <v>12530.66</v>
      </c>
      <c r="E751" s="2" t="s">
        <v>19</v>
      </c>
      <c r="F751" s="2" t="s">
        <v>16</v>
      </c>
      <c r="G751" s="2" t="s">
        <v>12</v>
      </c>
      <c r="H751">
        <v>29</v>
      </c>
      <c r="I751" s="2" t="str">
        <f>TEXT(Sheet1[[#This Row],[claim_date]],"mmmm")</f>
        <v>June</v>
      </c>
      <c r="J751" s="2">
        <f>YEAR(Sheet1[[#This Row],[claim_date]])</f>
        <v>2024</v>
      </c>
      <c r="K751" s="2" t="str">
        <f>"Q"&amp;ROUNDUP(MONTH(Sheet1[[#This Row],[claim_date]])/3,0)</f>
        <v>Q2</v>
      </c>
      <c r="L751" s="2" t="str">
        <f>IF(Sheet1[[#This Row],[claim_amount]]&lt;100000,"Low",IF(Sheet1[[#This Row],[claim_amount]]&lt;200000,"Medium","High"))</f>
        <v>Low</v>
      </c>
      <c r="M751" s="2" t="str">
        <f>IF(Sheet1[[#This Row],[days_to_process]]&lt;=30,"Fast","Slow")</f>
        <v>Fast</v>
      </c>
    </row>
    <row r="752" spans="1:13" x14ac:dyDescent="0.3">
      <c r="A752" t="s">
        <v>1431</v>
      </c>
      <c r="B752" s="2" t="s">
        <v>1432</v>
      </c>
      <c r="C752" s="1">
        <v>44969</v>
      </c>
      <c r="D752" s="35">
        <v>191717.07</v>
      </c>
      <c r="E752" s="2" t="s">
        <v>19</v>
      </c>
      <c r="F752" s="2" t="s">
        <v>23</v>
      </c>
      <c r="G752" s="2" t="s">
        <v>12</v>
      </c>
      <c r="H752">
        <v>59</v>
      </c>
      <c r="I752" s="2" t="str">
        <f>TEXT(Sheet1[[#This Row],[claim_date]],"mmmm")</f>
        <v>February</v>
      </c>
      <c r="J752" s="2">
        <f>YEAR(Sheet1[[#This Row],[claim_date]])</f>
        <v>2023</v>
      </c>
      <c r="K752" s="2" t="str">
        <f>"Q"&amp;ROUNDUP(MONTH(Sheet1[[#This Row],[claim_date]])/3,0)</f>
        <v>Q1</v>
      </c>
      <c r="L752" s="2" t="str">
        <f>IF(Sheet1[[#This Row],[claim_amount]]&lt;100000,"Low",IF(Sheet1[[#This Row],[claim_amount]]&lt;200000,"Medium","High"))</f>
        <v>Medium</v>
      </c>
      <c r="M752" s="2" t="str">
        <f>IF(Sheet1[[#This Row],[days_to_process]]&lt;=30,"Fast","Slow")</f>
        <v>Slow</v>
      </c>
    </row>
    <row r="753" spans="1:13" x14ac:dyDescent="0.3">
      <c r="A753" t="s">
        <v>1433</v>
      </c>
      <c r="B753" s="2" t="s">
        <v>280</v>
      </c>
      <c r="C753" s="1">
        <v>45050</v>
      </c>
      <c r="D753" s="35">
        <v>408524.45</v>
      </c>
      <c r="E753" s="2" t="s">
        <v>15</v>
      </c>
      <c r="F753" s="2" t="s">
        <v>11</v>
      </c>
      <c r="G753" s="2" t="s">
        <v>24</v>
      </c>
      <c r="H753">
        <v>13</v>
      </c>
      <c r="I753" s="2" t="str">
        <f>TEXT(Sheet1[[#This Row],[claim_date]],"mmmm")</f>
        <v>May</v>
      </c>
      <c r="J753" s="2">
        <f>YEAR(Sheet1[[#This Row],[claim_date]])</f>
        <v>2023</v>
      </c>
      <c r="K753" s="2" t="str">
        <f>"Q"&amp;ROUNDUP(MONTH(Sheet1[[#This Row],[claim_date]])/3,0)</f>
        <v>Q2</v>
      </c>
      <c r="L753" s="2" t="str">
        <f>IF(Sheet1[[#This Row],[claim_amount]]&lt;100000,"Low",IF(Sheet1[[#This Row],[claim_amount]]&lt;200000,"Medium","High"))</f>
        <v>High</v>
      </c>
      <c r="M753" s="2" t="str">
        <f>IF(Sheet1[[#This Row],[days_to_process]]&lt;=30,"Fast","Slow")</f>
        <v>Fast</v>
      </c>
    </row>
    <row r="754" spans="1:13" x14ac:dyDescent="0.3">
      <c r="A754" t="s">
        <v>1434</v>
      </c>
      <c r="B754" s="2" t="s">
        <v>1435</v>
      </c>
      <c r="C754" s="1">
        <v>44470</v>
      </c>
      <c r="D754" s="35">
        <v>44913.73</v>
      </c>
      <c r="E754" s="2" t="s">
        <v>19</v>
      </c>
      <c r="F754" s="2" t="s">
        <v>11</v>
      </c>
      <c r="G754" s="2" t="s">
        <v>12</v>
      </c>
      <c r="H754">
        <v>44</v>
      </c>
      <c r="I754" s="2" t="str">
        <f>TEXT(Sheet1[[#This Row],[claim_date]],"mmmm")</f>
        <v>October</v>
      </c>
      <c r="J754" s="2">
        <f>YEAR(Sheet1[[#This Row],[claim_date]])</f>
        <v>2021</v>
      </c>
      <c r="K754" s="2" t="str">
        <f>"Q"&amp;ROUNDUP(MONTH(Sheet1[[#This Row],[claim_date]])/3,0)</f>
        <v>Q4</v>
      </c>
      <c r="L754" s="2" t="str">
        <f>IF(Sheet1[[#This Row],[claim_amount]]&lt;100000,"Low",IF(Sheet1[[#This Row],[claim_amount]]&lt;200000,"Medium","High"))</f>
        <v>Low</v>
      </c>
      <c r="M754" s="2" t="str">
        <f>IF(Sheet1[[#This Row],[days_to_process]]&lt;=30,"Fast","Slow")</f>
        <v>Slow</v>
      </c>
    </row>
    <row r="755" spans="1:13" x14ac:dyDescent="0.3">
      <c r="A755" t="s">
        <v>1436</v>
      </c>
      <c r="B755" s="2" t="s">
        <v>1437</v>
      </c>
      <c r="C755" s="1">
        <v>45389</v>
      </c>
      <c r="D755" s="35">
        <v>468760.84</v>
      </c>
      <c r="E755" s="2" t="s">
        <v>15</v>
      </c>
      <c r="F755" s="2" t="s">
        <v>16</v>
      </c>
      <c r="G755" s="2" t="s">
        <v>24</v>
      </c>
      <c r="H755">
        <v>8</v>
      </c>
      <c r="I755" s="2" t="str">
        <f>TEXT(Sheet1[[#This Row],[claim_date]],"mmmm")</f>
        <v>April</v>
      </c>
      <c r="J755" s="2">
        <f>YEAR(Sheet1[[#This Row],[claim_date]])</f>
        <v>2024</v>
      </c>
      <c r="K755" s="2" t="str">
        <f>"Q"&amp;ROUNDUP(MONTH(Sheet1[[#This Row],[claim_date]])/3,0)</f>
        <v>Q2</v>
      </c>
      <c r="L755" s="2" t="str">
        <f>IF(Sheet1[[#This Row],[claim_amount]]&lt;100000,"Low",IF(Sheet1[[#This Row],[claim_amount]]&lt;200000,"Medium","High"))</f>
        <v>High</v>
      </c>
      <c r="M755" s="2" t="str">
        <f>IF(Sheet1[[#This Row],[days_to_process]]&lt;=30,"Fast","Slow")</f>
        <v>Fast</v>
      </c>
    </row>
    <row r="756" spans="1:13" x14ac:dyDescent="0.3">
      <c r="A756" t="s">
        <v>1438</v>
      </c>
      <c r="B756" s="2" t="s">
        <v>1439</v>
      </c>
      <c r="C756" s="1">
        <v>45205</v>
      </c>
      <c r="D756" s="35">
        <v>150744.21</v>
      </c>
      <c r="E756" s="2" t="s">
        <v>19</v>
      </c>
      <c r="F756" s="2" t="s">
        <v>23</v>
      </c>
      <c r="G756" s="2" t="s">
        <v>12</v>
      </c>
      <c r="H756">
        <v>46</v>
      </c>
      <c r="I756" s="2" t="str">
        <f>TEXT(Sheet1[[#This Row],[claim_date]],"mmmm")</f>
        <v>October</v>
      </c>
      <c r="J756" s="2">
        <f>YEAR(Sheet1[[#This Row],[claim_date]])</f>
        <v>2023</v>
      </c>
      <c r="K756" s="2" t="str">
        <f>"Q"&amp;ROUNDUP(MONTH(Sheet1[[#This Row],[claim_date]])/3,0)</f>
        <v>Q4</v>
      </c>
      <c r="L756" s="2" t="str">
        <f>IF(Sheet1[[#This Row],[claim_amount]]&lt;100000,"Low",IF(Sheet1[[#This Row],[claim_amount]]&lt;200000,"Medium","High"))</f>
        <v>Medium</v>
      </c>
      <c r="M756" s="2" t="str">
        <f>IF(Sheet1[[#This Row],[days_to_process]]&lt;=30,"Fast","Slow")</f>
        <v>Slow</v>
      </c>
    </row>
    <row r="757" spans="1:13" x14ac:dyDescent="0.3">
      <c r="A757" t="s">
        <v>1440</v>
      </c>
      <c r="B757" s="2" t="s">
        <v>1441</v>
      </c>
      <c r="C757" s="1">
        <v>44713</v>
      </c>
      <c r="D757" s="35">
        <v>332426.77</v>
      </c>
      <c r="E757" s="2" t="s">
        <v>19</v>
      </c>
      <c r="F757" s="2" t="s">
        <v>11</v>
      </c>
      <c r="G757" s="2" t="s">
        <v>12</v>
      </c>
      <c r="H757">
        <v>5</v>
      </c>
      <c r="I757" s="2" t="str">
        <f>TEXT(Sheet1[[#This Row],[claim_date]],"mmmm")</f>
        <v>June</v>
      </c>
      <c r="J757" s="2">
        <f>YEAR(Sheet1[[#This Row],[claim_date]])</f>
        <v>2022</v>
      </c>
      <c r="K757" s="2" t="str">
        <f>"Q"&amp;ROUNDUP(MONTH(Sheet1[[#This Row],[claim_date]])/3,0)</f>
        <v>Q2</v>
      </c>
      <c r="L757" s="2" t="str">
        <f>IF(Sheet1[[#This Row],[claim_amount]]&lt;100000,"Low",IF(Sheet1[[#This Row],[claim_amount]]&lt;200000,"Medium","High"))</f>
        <v>High</v>
      </c>
      <c r="M757" s="2" t="str">
        <f>IF(Sheet1[[#This Row],[days_to_process]]&lt;=30,"Fast","Slow")</f>
        <v>Fast</v>
      </c>
    </row>
    <row r="758" spans="1:13" x14ac:dyDescent="0.3">
      <c r="A758" t="s">
        <v>1442</v>
      </c>
      <c r="B758" s="2" t="s">
        <v>1443</v>
      </c>
      <c r="C758" s="1">
        <v>45482</v>
      </c>
      <c r="D758" s="35">
        <v>186091.39</v>
      </c>
      <c r="E758" s="2" t="s">
        <v>10</v>
      </c>
      <c r="F758" s="2" t="s">
        <v>23</v>
      </c>
      <c r="G758" s="2" t="s">
        <v>24</v>
      </c>
      <c r="H758">
        <v>10</v>
      </c>
      <c r="I758" s="2" t="str">
        <f>TEXT(Sheet1[[#This Row],[claim_date]],"mmmm")</f>
        <v>July</v>
      </c>
      <c r="J758" s="2">
        <f>YEAR(Sheet1[[#This Row],[claim_date]])</f>
        <v>2024</v>
      </c>
      <c r="K758" s="2" t="str">
        <f>"Q"&amp;ROUNDUP(MONTH(Sheet1[[#This Row],[claim_date]])/3,0)</f>
        <v>Q3</v>
      </c>
      <c r="L758" s="2" t="str">
        <f>IF(Sheet1[[#This Row],[claim_amount]]&lt;100000,"Low",IF(Sheet1[[#This Row],[claim_amount]]&lt;200000,"Medium","High"))</f>
        <v>Medium</v>
      </c>
      <c r="M758" s="2" t="str">
        <f>IF(Sheet1[[#This Row],[days_to_process]]&lt;=30,"Fast","Slow")</f>
        <v>Fast</v>
      </c>
    </row>
    <row r="759" spans="1:13" x14ac:dyDescent="0.3">
      <c r="A759" t="s">
        <v>1444</v>
      </c>
      <c r="B759" s="2" t="s">
        <v>1445</v>
      </c>
      <c r="C759" s="1">
        <v>45210</v>
      </c>
      <c r="D759" s="35">
        <v>115817.65</v>
      </c>
      <c r="E759" s="2" t="s">
        <v>10</v>
      </c>
      <c r="F759" s="2" t="s">
        <v>23</v>
      </c>
      <c r="G759" s="2" t="s">
        <v>12</v>
      </c>
      <c r="H759">
        <v>30</v>
      </c>
      <c r="I759" s="2" t="str">
        <f>TEXT(Sheet1[[#This Row],[claim_date]],"mmmm")</f>
        <v>October</v>
      </c>
      <c r="J759" s="2">
        <f>YEAR(Sheet1[[#This Row],[claim_date]])</f>
        <v>2023</v>
      </c>
      <c r="K759" s="2" t="str">
        <f>"Q"&amp;ROUNDUP(MONTH(Sheet1[[#This Row],[claim_date]])/3,0)</f>
        <v>Q4</v>
      </c>
      <c r="L759" s="2" t="str">
        <f>IF(Sheet1[[#This Row],[claim_amount]]&lt;100000,"Low",IF(Sheet1[[#This Row],[claim_amount]]&lt;200000,"Medium","High"))</f>
        <v>Medium</v>
      </c>
      <c r="M759" s="2" t="str">
        <f>IF(Sheet1[[#This Row],[days_to_process]]&lt;=30,"Fast","Slow")</f>
        <v>Fast</v>
      </c>
    </row>
    <row r="760" spans="1:13" x14ac:dyDescent="0.3">
      <c r="A760" t="s">
        <v>1446</v>
      </c>
      <c r="B760" s="2" t="s">
        <v>959</v>
      </c>
      <c r="C760" s="1">
        <v>44675</v>
      </c>
      <c r="D760" s="35">
        <v>67033.679999999993</v>
      </c>
      <c r="E760" s="2" t="s">
        <v>19</v>
      </c>
      <c r="F760" s="2" t="s">
        <v>34</v>
      </c>
      <c r="G760" s="2" t="s">
        <v>24</v>
      </c>
      <c r="H760">
        <v>7</v>
      </c>
      <c r="I760" s="2" t="str">
        <f>TEXT(Sheet1[[#This Row],[claim_date]],"mmmm")</f>
        <v>April</v>
      </c>
      <c r="J760" s="2">
        <f>YEAR(Sheet1[[#This Row],[claim_date]])</f>
        <v>2022</v>
      </c>
      <c r="K760" s="2" t="str">
        <f>"Q"&amp;ROUNDUP(MONTH(Sheet1[[#This Row],[claim_date]])/3,0)</f>
        <v>Q2</v>
      </c>
      <c r="L760" s="2" t="str">
        <f>IF(Sheet1[[#This Row],[claim_amount]]&lt;100000,"Low",IF(Sheet1[[#This Row],[claim_amount]]&lt;200000,"Medium","High"))</f>
        <v>Low</v>
      </c>
      <c r="M760" s="2" t="str">
        <f>IF(Sheet1[[#This Row],[days_to_process]]&lt;=30,"Fast","Slow")</f>
        <v>Fast</v>
      </c>
    </row>
    <row r="761" spans="1:13" x14ac:dyDescent="0.3">
      <c r="A761" t="s">
        <v>1447</v>
      </c>
      <c r="B761" s="2" t="s">
        <v>1448</v>
      </c>
      <c r="C761" s="1">
        <v>44665</v>
      </c>
      <c r="D761" s="35">
        <v>65821.77</v>
      </c>
      <c r="E761" s="2" t="s">
        <v>19</v>
      </c>
      <c r="F761" s="2" t="s">
        <v>11</v>
      </c>
      <c r="G761" s="2" t="s">
        <v>12</v>
      </c>
      <c r="H761">
        <v>55</v>
      </c>
      <c r="I761" s="2" t="str">
        <f>TEXT(Sheet1[[#This Row],[claim_date]],"mmmm")</f>
        <v>April</v>
      </c>
      <c r="J761" s="2">
        <f>YEAR(Sheet1[[#This Row],[claim_date]])</f>
        <v>2022</v>
      </c>
      <c r="K761" s="2" t="str">
        <f>"Q"&amp;ROUNDUP(MONTH(Sheet1[[#This Row],[claim_date]])/3,0)</f>
        <v>Q2</v>
      </c>
      <c r="L761" s="2" t="str">
        <f>IF(Sheet1[[#This Row],[claim_amount]]&lt;100000,"Low",IF(Sheet1[[#This Row],[claim_amount]]&lt;200000,"Medium","High"))</f>
        <v>Low</v>
      </c>
      <c r="M761" s="2" t="str">
        <f>IF(Sheet1[[#This Row],[days_to_process]]&lt;=30,"Fast","Slow")</f>
        <v>Slow</v>
      </c>
    </row>
    <row r="762" spans="1:13" x14ac:dyDescent="0.3">
      <c r="A762" t="s">
        <v>1449</v>
      </c>
      <c r="B762" s="2" t="s">
        <v>804</v>
      </c>
      <c r="C762" s="1">
        <v>45002</v>
      </c>
      <c r="D762" s="35">
        <v>243083.57</v>
      </c>
      <c r="E762" s="2" t="s">
        <v>15</v>
      </c>
      <c r="F762" s="2" t="s">
        <v>20</v>
      </c>
      <c r="G762" s="2" t="s">
        <v>24</v>
      </c>
      <c r="H762">
        <v>26</v>
      </c>
      <c r="I762" s="2" t="str">
        <f>TEXT(Sheet1[[#This Row],[claim_date]],"mmmm")</f>
        <v>March</v>
      </c>
      <c r="J762" s="2">
        <f>YEAR(Sheet1[[#This Row],[claim_date]])</f>
        <v>2023</v>
      </c>
      <c r="K762" s="2" t="str">
        <f>"Q"&amp;ROUNDUP(MONTH(Sheet1[[#This Row],[claim_date]])/3,0)</f>
        <v>Q1</v>
      </c>
      <c r="L762" s="2" t="str">
        <f>IF(Sheet1[[#This Row],[claim_amount]]&lt;100000,"Low",IF(Sheet1[[#This Row],[claim_amount]]&lt;200000,"Medium","High"))</f>
        <v>High</v>
      </c>
      <c r="M762" s="2" t="str">
        <f>IF(Sheet1[[#This Row],[days_to_process]]&lt;=30,"Fast","Slow")</f>
        <v>Fast</v>
      </c>
    </row>
    <row r="763" spans="1:13" x14ac:dyDescent="0.3">
      <c r="A763" t="s">
        <v>1450</v>
      </c>
      <c r="B763" s="2" t="s">
        <v>1451</v>
      </c>
      <c r="C763" s="1">
        <v>45335</v>
      </c>
      <c r="D763" s="35">
        <v>309791.28000000003</v>
      </c>
      <c r="E763" s="2" t="s">
        <v>19</v>
      </c>
      <c r="F763" s="2" t="s">
        <v>23</v>
      </c>
      <c r="G763" s="2" t="s">
        <v>12</v>
      </c>
      <c r="H763">
        <v>20</v>
      </c>
      <c r="I763" s="2" t="str">
        <f>TEXT(Sheet1[[#This Row],[claim_date]],"mmmm")</f>
        <v>February</v>
      </c>
      <c r="J763" s="2">
        <f>YEAR(Sheet1[[#This Row],[claim_date]])</f>
        <v>2024</v>
      </c>
      <c r="K763" s="2" t="str">
        <f>"Q"&amp;ROUNDUP(MONTH(Sheet1[[#This Row],[claim_date]])/3,0)</f>
        <v>Q1</v>
      </c>
      <c r="L763" s="2" t="str">
        <f>IF(Sheet1[[#This Row],[claim_amount]]&lt;100000,"Low",IF(Sheet1[[#This Row],[claim_amount]]&lt;200000,"Medium","High"))</f>
        <v>High</v>
      </c>
      <c r="M763" s="2" t="str">
        <f>IF(Sheet1[[#This Row],[days_to_process]]&lt;=30,"Fast","Slow")</f>
        <v>Fast</v>
      </c>
    </row>
    <row r="764" spans="1:13" x14ac:dyDescent="0.3">
      <c r="A764" t="s">
        <v>1452</v>
      </c>
      <c r="B764" s="2" t="s">
        <v>1453</v>
      </c>
      <c r="C764" s="1">
        <v>45302</v>
      </c>
      <c r="D764" s="35">
        <v>176398.55</v>
      </c>
      <c r="E764" s="2" t="s">
        <v>15</v>
      </c>
      <c r="F764" s="2" t="s">
        <v>34</v>
      </c>
      <c r="G764" s="2" t="s">
        <v>12</v>
      </c>
      <c r="H764">
        <v>8</v>
      </c>
      <c r="I764" s="2" t="str">
        <f>TEXT(Sheet1[[#This Row],[claim_date]],"mmmm")</f>
        <v>January</v>
      </c>
      <c r="J764" s="2">
        <f>YEAR(Sheet1[[#This Row],[claim_date]])</f>
        <v>2024</v>
      </c>
      <c r="K764" s="2" t="str">
        <f>"Q"&amp;ROUNDUP(MONTH(Sheet1[[#This Row],[claim_date]])/3,0)</f>
        <v>Q1</v>
      </c>
      <c r="L764" s="2" t="str">
        <f>IF(Sheet1[[#This Row],[claim_amount]]&lt;100000,"Low",IF(Sheet1[[#This Row],[claim_amount]]&lt;200000,"Medium","High"))</f>
        <v>Medium</v>
      </c>
      <c r="M764" s="2" t="str">
        <f>IF(Sheet1[[#This Row],[days_to_process]]&lt;=30,"Fast","Slow")</f>
        <v>Fast</v>
      </c>
    </row>
    <row r="765" spans="1:13" x14ac:dyDescent="0.3">
      <c r="A765" t="s">
        <v>1454</v>
      </c>
      <c r="B765" s="2" t="s">
        <v>1455</v>
      </c>
      <c r="C765" s="1">
        <v>44687</v>
      </c>
      <c r="D765" s="35">
        <v>237235.5</v>
      </c>
      <c r="E765" s="2" t="s">
        <v>10</v>
      </c>
      <c r="F765" s="2" t="s">
        <v>11</v>
      </c>
      <c r="G765" s="2" t="s">
        <v>24</v>
      </c>
      <c r="H765">
        <v>10</v>
      </c>
      <c r="I765" s="2" t="str">
        <f>TEXT(Sheet1[[#This Row],[claim_date]],"mmmm")</f>
        <v>May</v>
      </c>
      <c r="J765" s="2">
        <f>YEAR(Sheet1[[#This Row],[claim_date]])</f>
        <v>2022</v>
      </c>
      <c r="K765" s="2" t="str">
        <f>"Q"&amp;ROUNDUP(MONTH(Sheet1[[#This Row],[claim_date]])/3,0)</f>
        <v>Q2</v>
      </c>
      <c r="L765" s="2" t="str">
        <f>IF(Sheet1[[#This Row],[claim_amount]]&lt;100000,"Low",IF(Sheet1[[#This Row],[claim_amount]]&lt;200000,"Medium","High"))</f>
        <v>High</v>
      </c>
      <c r="M765" s="2" t="str">
        <f>IF(Sheet1[[#This Row],[days_to_process]]&lt;=30,"Fast","Slow")</f>
        <v>Fast</v>
      </c>
    </row>
    <row r="766" spans="1:13" x14ac:dyDescent="0.3">
      <c r="A766" t="s">
        <v>1456</v>
      </c>
      <c r="B766" s="2" t="s">
        <v>426</v>
      </c>
      <c r="C766" s="1">
        <v>45611</v>
      </c>
      <c r="D766" s="35">
        <v>262269</v>
      </c>
      <c r="E766" s="2" t="s">
        <v>15</v>
      </c>
      <c r="F766" s="2" t="s">
        <v>34</v>
      </c>
      <c r="G766" s="2" t="s">
        <v>24</v>
      </c>
      <c r="H766">
        <v>2</v>
      </c>
      <c r="I766" s="2" t="str">
        <f>TEXT(Sheet1[[#This Row],[claim_date]],"mmmm")</f>
        <v>November</v>
      </c>
      <c r="J766" s="2">
        <f>YEAR(Sheet1[[#This Row],[claim_date]])</f>
        <v>2024</v>
      </c>
      <c r="K766" s="2" t="str">
        <f>"Q"&amp;ROUNDUP(MONTH(Sheet1[[#This Row],[claim_date]])/3,0)</f>
        <v>Q4</v>
      </c>
      <c r="L766" s="2" t="str">
        <f>IF(Sheet1[[#This Row],[claim_amount]]&lt;100000,"Low",IF(Sheet1[[#This Row],[claim_amount]]&lt;200000,"Medium","High"))</f>
        <v>High</v>
      </c>
      <c r="M766" s="2" t="str">
        <f>IF(Sheet1[[#This Row],[days_to_process]]&lt;=30,"Fast","Slow")</f>
        <v>Fast</v>
      </c>
    </row>
    <row r="767" spans="1:13" x14ac:dyDescent="0.3">
      <c r="A767" t="s">
        <v>1457</v>
      </c>
      <c r="B767" s="2" t="s">
        <v>1458</v>
      </c>
      <c r="C767" s="1">
        <v>45442</v>
      </c>
      <c r="D767" s="35">
        <v>194899.15</v>
      </c>
      <c r="E767" s="2" t="s">
        <v>19</v>
      </c>
      <c r="F767" s="2" t="s">
        <v>16</v>
      </c>
      <c r="G767" s="2" t="s">
        <v>24</v>
      </c>
      <c r="H767">
        <v>51</v>
      </c>
      <c r="I767" s="2" t="str">
        <f>TEXT(Sheet1[[#This Row],[claim_date]],"mmmm")</f>
        <v>May</v>
      </c>
      <c r="J767" s="2">
        <f>YEAR(Sheet1[[#This Row],[claim_date]])</f>
        <v>2024</v>
      </c>
      <c r="K767" s="2" t="str">
        <f>"Q"&amp;ROUNDUP(MONTH(Sheet1[[#This Row],[claim_date]])/3,0)</f>
        <v>Q2</v>
      </c>
      <c r="L767" s="2" t="str">
        <f>IF(Sheet1[[#This Row],[claim_amount]]&lt;100000,"Low",IF(Sheet1[[#This Row],[claim_amount]]&lt;200000,"Medium","High"))</f>
        <v>Medium</v>
      </c>
      <c r="M767" s="2" t="str">
        <f>IF(Sheet1[[#This Row],[days_to_process]]&lt;=30,"Fast","Slow")</f>
        <v>Slow</v>
      </c>
    </row>
    <row r="768" spans="1:13" x14ac:dyDescent="0.3">
      <c r="A768" t="s">
        <v>1459</v>
      </c>
      <c r="B768" s="2" t="s">
        <v>1203</v>
      </c>
      <c r="C768" s="1">
        <v>45340</v>
      </c>
      <c r="D768" s="35">
        <v>273605.21000000002</v>
      </c>
      <c r="E768" s="2" t="s">
        <v>19</v>
      </c>
      <c r="F768" s="2" t="s">
        <v>34</v>
      </c>
      <c r="G768" s="2" t="s">
        <v>12</v>
      </c>
      <c r="H768">
        <v>4</v>
      </c>
      <c r="I768" s="2" t="str">
        <f>TEXT(Sheet1[[#This Row],[claim_date]],"mmmm")</f>
        <v>February</v>
      </c>
      <c r="J768" s="2">
        <f>YEAR(Sheet1[[#This Row],[claim_date]])</f>
        <v>2024</v>
      </c>
      <c r="K768" s="2" t="str">
        <f>"Q"&amp;ROUNDUP(MONTH(Sheet1[[#This Row],[claim_date]])/3,0)</f>
        <v>Q1</v>
      </c>
      <c r="L768" s="2" t="str">
        <f>IF(Sheet1[[#This Row],[claim_amount]]&lt;100000,"Low",IF(Sheet1[[#This Row],[claim_amount]]&lt;200000,"Medium","High"))</f>
        <v>High</v>
      </c>
      <c r="M768" s="2" t="str">
        <f>IF(Sheet1[[#This Row],[days_to_process]]&lt;=30,"Fast","Slow")</f>
        <v>Fast</v>
      </c>
    </row>
    <row r="769" spans="1:13" x14ac:dyDescent="0.3">
      <c r="A769" t="s">
        <v>1460</v>
      </c>
      <c r="B769" s="2" t="s">
        <v>1415</v>
      </c>
      <c r="C769" s="1">
        <v>44989</v>
      </c>
      <c r="D769" s="35">
        <v>489325.03</v>
      </c>
      <c r="E769" s="2" t="s">
        <v>19</v>
      </c>
      <c r="F769" s="2" t="s">
        <v>34</v>
      </c>
      <c r="G769" s="2" t="s">
        <v>12</v>
      </c>
      <c r="H769">
        <v>10</v>
      </c>
      <c r="I769" s="2" t="str">
        <f>TEXT(Sheet1[[#This Row],[claim_date]],"mmmm")</f>
        <v>March</v>
      </c>
      <c r="J769" s="2">
        <f>YEAR(Sheet1[[#This Row],[claim_date]])</f>
        <v>2023</v>
      </c>
      <c r="K769" s="2" t="str">
        <f>"Q"&amp;ROUNDUP(MONTH(Sheet1[[#This Row],[claim_date]])/3,0)</f>
        <v>Q1</v>
      </c>
      <c r="L769" s="2" t="str">
        <f>IF(Sheet1[[#This Row],[claim_amount]]&lt;100000,"Low",IF(Sheet1[[#This Row],[claim_amount]]&lt;200000,"Medium","High"))</f>
        <v>High</v>
      </c>
      <c r="M769" s="2" t="str">
        <f>IF(Sheet1[[#This Row],[days_to_process]]&lt;=30,"Fast","Slow")</f>
        <v>Fast</v>
      </c>
    </row>
    <row r="770" spans="1:13" x14ac:dyDescent="0.3">
      <c r="A770" t="s">
        <v>1461</v>
      </c>
      <c r="B770" s="2" t="s">
        <v>1331</v>
      </c>
      <c r="C770" s="1">
        <v>45121</v>
      </c>
      <c r="D770" s="35">
        <v>172954.94</v>
      </c>
      <c r="E770" s="2" t="s">
        <v>10</v>
      </c>
      <c r="F770" s="2" t="s">
        <v>34</v>
      </c>
      <c r="G770" s="2" t="s">
        <v>24</v>
      </c>
      <c r="H770">
        <v>7</v>
      </c>
      <c r="I770" s="2" t="str">
        <f>TEXT(Sheet1[[#This Row],[claim_date]],"mmmm")</f>
        <v>July</v>
      </c>
      <c r="J770" s="2">
        <f>YEAR(Sheet1[[#This Row],[claim_date]])</f>
        <v>2023</v>
      </c>
      <c r="K770" s="2" t="str">
        <f>"Q"&amp;ROUNDUP(MONTH(Sheet1[[#This Row],[claim_date]])/3,0)</f>
        <v>Q3</v>
      </c>
      <c r="L770" s="2" t="str">
        <f>IF(Sheet1[[#This Row],[claim_amount]]&lt;100000,"Low",IF(Sheet1[[#This Row],[claim_amount]]&lt;200000,"Medium","High"))</f>
        <v>Medium</v>
      </c>
      <c r="M770" s="2" t="str">
        <f>IF(Sheet1[[#This Row],[days_to_process]]&lt;=30,"Fast","Slow")</f>
        <v>Fast</v>
      </c>
    </row>
    <row r="771" spans="1:13" x14ac:dyDescent="0.3">
      <c r="A771" t="s">
        <v>1462</v>
      </c>
      <c r="B771" s="2" t="s">
        <v>1463</v>
      </c>
      <c r="C771" s="1">
        <v>44717</v>
      </c>
      <c r="D771" s="35">
        <v>420256.17</v>
      </c>
      <c r="E771" s="2" t="s">
        <v>15</v>
      </c>
      <c r="F771" s="2" t="s">
        <v>11</v>
      </c>
      <c r="G771" s="2" t="s">
        <v>12</v>
      </c>
      <c r="H771">
        <v>55</v>
      </c>
      <c r="I771" s="2" t="str">
        <f>TEXT(Sheet1[[#This Row],[claim_date]],"mmmm")</f>
        <v>June</v>
      </c>
      <c r="J771" s="2">
        <f>YEAR(Sheet1[[#This Row],[claim_date]])</f>
        <v>2022</v>
      </c>
      <c r="K771" s="2" t="str">
        <f>"Q"&amp;ROUNDUP(MONTH(Sheet1[[#This Row],[claim_date]])/3,0)</f>
        <v>Q2</v>
      </c>
      <c r="L771" s="2" t="str">
        <f>IF(Sheet1[[#This Row],[claim_amount]]&lt;100000,"Low",IF(Sheet1[[#This Row],[claim_amount]]&lt;200000,"Medium","High"))</f>
        <v>High</v>
      </c>
      <c r="M771" s="2" t="str">
        <f>IF(Sheet1[[#This Row],[days_to_process]]&lt;=30,"Fast","Slow")</f>
        <v>Slow</v>
      </c>
    </row>
    <row r="772" spans="1:13" x14ac:dyDescent="0.3">
      <c r="A772" t="s">
        <v>1464</v>
      </c>
      <c r="B772" s="2" t="s">
        <v>22</v>
      </c>
      <c r="C772" s="1">
        <v>45727</v>
      </c>
      <c r="D772" s="35">
        <v>138446.15</v>
      </c>
      <c r="E772" s="2" t="s">
        <v>19</v>
      </c>
      <c r="F772" s="2" t="s">
        <v>16</v>
      </c>
      <c r="G772" s="2" t="s">
        <v>24</v>
      </c>
      <c r="H772">
        <v>25</v>
      </c>
      <c r="I772" s="2" t="str">
        <f>TEXT(Sheet1[[#This Row],[claim_date]],"mmmm")</f>
        <v>March</v>
      </c>
      <c r="J772" s="2">
        <f>YEAR(Sheet1[[#This Row],[claim_date]])</f>
        <v>2025</v>
      </c>
      <c r="K772" s="2" t="str">
        <f>"Q"&amp;ROUNDUP(MONTH(Sheet1[[#This Row],[claim_date]])/3,0)</f>
        <v>Q1</v>
      </c>
      <c r="L772" s="2" t="str">
        <f>IF(Sheet1[[#This Row],[claim_amount]]&lt;100000,"Low",IF(Sheet1[[#This Row],[claim_amount]]&lt;200000,"Medium","High"))</f>
        <v>Medium</v>
      </c>
      <c r="M772" s="2" t="str">
        <f>IF(Sheet1[[#This Row],[days_to_process]]&lt;=30,"Fast","Slow")</f>
        <v>Fast</v>
      </c>
    </row>
    <row r="773" spans="1:13" x14ac:dyDescent="0.3">
      <c r="A773" t="s">
        <v>1465</v>
      </c>
      <c r="B773" s="2" t="s">
        <v>1390</v>
      </c>
      <c r="C773" s="1">
        <v>45381</v>
      </c>
      <c r="D773" s="35">
        <v>169495.71</v>
      </c>
      <c r="E773" s="2" t="s">
        <v>19</v>
      </c>
      <c r="F773" s="2" t="s">
        <v>16</v>
      </c>
      <c r="G773" s="2" t="s">
        <v>12</v>
      </c>
      <c r="H773">
        <v>42</v>
      </c>
      <c r="I773" s="2" t="str">
        <f>TEXT(Sheet1[[#This Row],[claim_date]],"mmmm")</f>
        <v>March</v>
      </c>
      <c r="J773" s="2">
        <f>YEAR(Sheet1[[#This Row],[claim_date]])</f>
        <v>2024</v>
      </c>
      <c r="K773" s="2" t="str">
        <f>"Q"&amp;ROUNDUP(MONTH(Sheet1[[#This Row],[claim_date]])/3,0)</f>
        <v>Q1</v>
      </c>
      <c r="L773" s="2" t="str">
        <f>IF(Sheet1[[#This Row],[claim_amount]]&lt;100000,"Low",IF(Sheet1[[#This Row],[claim_amount]]&lt;200000,"Medium","High"))</f>
        <v>Medium</v>
      </c>
      <c r="M773" s="2" t="str">
        <f>IF(Sheet1[[#This Row],[days_to_process]]&lt;=30,"Fast","Slow")</f>
        <v>Slow</v>
      </c>
    </row>
    <row r="774" spans="1:13" x14ac:dyDescent="0.3">
      <c r="A774" t="s">
        <v>1466</v>
      </c>
      <c r="B774" s="2" t="s">
        <v>1467</v>
      </c>
      <c r="C774" s="1">
        <v>45102</v>
      </c>
      <c r="D774" s="35">
        <v>63361.79</v>
      </c>
      <c r="E774" s="2" t="s">
        <v>19</v>
      </c>
      <c r="F774" s="2" t="s">
        <v>23</v>
      </c>
      <c r="G774" s="2" t="s">
        <v>24</v>
      </c>
      <c r="H774">
        <v>4</v>
      </c>
      <c r="I774" s="2" t="str">
        <f>TEXT(Sheet1[[#This Row],[claim_date]],"mmmm")</f>
        <v>June</v>
      </c>
      <c r="J774" s="2">
        <f>YEAR(Sheet1[[#This Row],[claim_date]])</f>
        <v>2023</v>
      </c>
      <c r="K774" s="2" t="str">
        <f>"Q"&amp;ROUNDUP(MONTH(Sheet1[[#This Row],[claim_date]])/3,0)</f>
        <v>Q2</v>
      </c>
      <c r="L774" s="2" t="str">
        <f>IF(Sheet1[[#This Row],[claim_amount]]&lt;100000,"Low",IF(Sheet1[[#This Row],[claim_amount]]&lt;200000,"Medium","High"))</f>
        <v>Low</v>
      </c>
      <c r="M774" s="2" t="str">
        <f>IF(Sheet1[[#This Row],[days_to_process]]&lt;=30,"Fast","Slow")</f>
        <v>Fast</v>
      </c>
    </row>
    <row r="775" spans="1:13" x14ac:dyDescent="0.3">
      <c r="A775" t="s">
        <v>1468</v>
      </c>
      <c r="B775" s="2" t="s">
        <v>500</v>
      </c>
      <c r="C775" s="1">
        <v>45469</v>
      </c>
      <c r="D775" s="35">
        <v>123437.93</v>
      </c>
      <c r="E775" s="2" t="s">
        <v>19</v>
      </c>
      <c r="F775" s="2" t="s">
        <v>34</v>
      </c>
      <c r="G775" s="2" t="s">
        <v>12</v>
      </c>
      <c r="H775">
        <v>12</v>
      </c>
      <c r="I775" s="2" t="str">
        <f>TEXT(Sheet1[[#This Row],[claim_date]],"mmmm")</f>
        <v>June</v>
      </c>
      <c r="J775" s="2">
        <f>YEAR(Sheet1[[#This Row],[claim_date]])</f>
        <v>2024</v>
      </c>
      <c r="K775" s="2" t="str">
        <f>"Q"&amp;ROUNDUP(MONTH(Sheet1[[#This Row],[claim_date]])/3,0)</f>
        <v>Q2</v>
      </c>
      <c r="L775" s="2" t="str">
        <f>IF(Sheet1[[#This Row],[claim_amount]]&lt;100000,"Low",IF(Sheet1[[#This Row],[claim_amount]]&lt;200000,"Medium","High"))</f>
        <v>Medium</v>
      </c>
      <c r="M775" s="2" t="str">
        <f>IF(Sheet1[[#This Row],[days_to_process]]&lt;=30,"Fast","Slow")</f>
        <v>Fast</v>
      </c>
    </row>
    <row r="776" spans="1:13" x14ac:dyDescent="0.3">
      <c r="A776" t="s">
        <v>1469</v>
      </c>
      <c r="B776" s="2" t="s">
        <v>1470</v>
      </c>
      <c r="C776" s="1">
        <v>44710</v>
      </c>
      <c r="D776" s="35">
        <v>167011.25</v>
      </c>
      <c r="E776" s="2" t="s">
        <v>15</v>
      </c>
      <c r="F776" s="2" t="s">
        <v>11</v>
      </c>
      <c r="G776" s="2" t="s">
        <v>24</v>
      </c>
      <c r="H776">
        <v>18</v>
      </c>
      <c r="I776" s="2" t="str">
        <f>TEXT(Sheet1[[#This Row],[claim_date]],"mmmm")</f>
        <v>May</v>
      </c>
      <c r="J776" s="2">
        <f>YEAR(Sheet1[[#This Row],[claim_date]])</f>
        <v>2022</v>
      </c>
      <c r="K776" s="2" t="str">
        <f>"Q"&amp;ROUNDUP(MONTH(Sheet1[[#This Row],[claim_date]])/3,0)</f>
        <v>Q2</v>
      </c>
      <c r="L776" s="2" t="str">
        <f>IF(Sheet1[[#This Row],[claim_amount]]&lt;100000,"Low",IF(Sheet1[[#This Row],[claim_amount]]&lt;200000,"Medium","High"))</f>
        <v>Medium</v>
      </c>
      <c r="M776" s="2" t="str">
        <f>IF(Sheet1[[#This Row],[days_to_process]]&lt;=30,"Fast","Slow")</f>
        <v>Fast</v>
      </c>
    </row>
    <row r="777" spans="1:13" x14ac:dyDescent="0.3">
      <c r="A777" t="s">
        <v>1471</v>
      </c>
      <c r="B777" s="2" t="s">
        <v>1472</v>
      </c>
      <c r="C777" s="1">
        <v>45308</v>
      </c>
      <c r="D777" s="35">
        <v>43538.74</v>
      </c>
      <c r="E777" s="2" t="s">
        <v>10</v>
      </c>
      <c r="F777" s="2" t="s">
        <v>23</v>
      </c>
      <c r="G777" s="2" t="s">
        <v>12</v>
      </c>
      <c r="H777">
        <v>40</v>
      </c>
      <c r="I777" s="2" t="str">
        <f>TEXT(Sheet1[[#This Row],[claim_date]],"mmmm")</f>
        <v>January</v>
      </c>
      <c r="J777" s="2">
        <f>YEAR(Sheet1[[#This Row],[claim_date]])</f>
        <v>2024</v>
      </c>
      <c r="K777" s="2" t="str">
        <f>"Q"&amp;ROUNDUP(MONTH(Sheet1[[#This Row],[claim_date]])/3,0)</f>
        <v>Q1</v>
      </c>
      <c r="L777" s="2" t="str">
        <f>IF(Sheet1[[#This Row],[claim_amount]]&lt;100000,"Low",IF(Sheet1[[#This Row],[claim_amount]]&lt;200000,"Medium","High"))</f>
        <v>Low</v>
      </c>
      <c r="M777" s="2" t="str">
        <f>IF(Sheet1[[#This Row],[days_to_process]]&lt;=30,"Fast","Slow")</f>
        <v>Slow</v>
      </c>
    </row>
    <row r="778" spans="1:13" x14ac:dyDescent="0.3">
      <c r="A778" t="s">
        <v>1473</v>
      </c>
      <c r="B778" s="2" t="s">
        <v>1474</v>
      </c>
      <c r="C778" s="1">
        <v>45142</v>
      </c>
      <c r="D778" s="35">
        <v>381073.18</v>
      </c>
      <c r="E778" s="2" t="s">
        <v>19</v>
      </c>
      <c r="F778" s="2" t="s">
        <v>16</v>
      </c>
      <c r="G778" s="2" t="s">
        <v>24</v>
      </c>
      <c r="H778">
        <v>16</v>
      </c>
      <c r="I778" s="2" t="str">
        <f>TEXT(Sheet1[[#This Row],[claim_date]],"mmmm")</f>
        <v>August</v>
      </c>
      <c r="J778" s="2">
        <f>YEAR(Sheet1[[#This Row],[claim_date]])</f>
        <v>2023</v>
      </c>
      <c r="K778" s="2" t="str">
        <f>"Q"&amp;ROUNDUP(MONTH(Sheet1[[#This Row],[claim_date]])/3,0)</f>
        <v>Q3</v>
      </c>
      <c r="L778" s="2" t="str">
        <f>IF(Sheet1[[#This Row],[claim_amount]]&lt;100000,"Low",IF(Sheet1[[#This Row],[claim_amount]]&lt;200000,"Medium","High"))</f>
        <v>High</v>
      </c>
      <c r="M778" s="2" t="str">
        <f>IF(Sheet1[[#This Row],[days_to_process]]&lt;=30,"Fast","Slow")</f>
        <v>Fast</v>
      </c>
    </row>
    <row r="779" spans="1:13" x14ac:dyDescent="0.3">
      <c r="A779" t="s">
        <v>1475</v>
      </c>
      <c r="B779" s="2" t="s">
        <v>1476</v>
      </c>
      <c r="C779" s="1">
        <v>45182</v>
      </c>
      <c r="D779" s="35">
        <v>212227.11</v>
      </c>
      <c r="E779" s="2" t="s">
        <v>15</v>
      </c>
      <c r="F779" s="2" t="s">
        <v>20</v>
      </c>
      <c r="G779" s="2" t="s">
        <v>12</v>
      </c>
      <c r="H779">
        <v>26</v>
      </c>
      <c r="I779" s="2" t="str">
        <f>TEXT(Sheet1[[#This Row],[claim_date]],"mmmm")</f>
        <v>September</v>
      </c>
      <c r="J779" s="2">
        <f>YEAR(Sheet1[[#This Row],[claim_date]])</f>
        <v>2023</v>
      </c>
      <c r="K779" s="2" t="str">
        <f>"Q"&amp;ROUNDUP(MONTH(Sheet1[[#This Row],[claim_date]])/3,0)</f>
        <v>Q3</v>
      </c>
      <c r="L779" s="2" t="str">
        <f>IF(Sheet1[[#This Row],[claim_amount]]&lt;100000,"Low",IF(Sheet1[[#This Row],[claim_amount]]&lt;200000,"Medium","High"))</f>
        <v>High</v>
      </c>
      <c r="M779" s="2" t="str">
        <f>IF(Sheet1[[#This Row],[days_to_process]]&lt;=30,"Fast","Slow")</f>
        <v>Fast</v>
      </c>
    </row>
    <row r="780" spans="1:13" x14ac:dyDescent="0.3">
      <c r="A780" t="s">
        <v>1477</v>
      </c>
      <c r="B780" s="2" t="s">
        <v>31</v>
      </c>
      <c r="C780" s="1">
        <v>45118</v>
      </c>
      <c r="D780" s="35">
        <v>44675.87</v>
      </c>
      <c r="E780" s="2" t="s">
        <v>15</v>
      </c>
      <c r="F780" s="2" t="s">
        <v>20</v>
      </c>
      <c r="G780" s="2" t="s">
        <v>24</v>
      </c>
      <c r="H780">
        <v>6</v>
      </c>
      <c r="I780" s="2" t="str">
        <f>TEXT(Sheet1[[#This Row],[claim_date]],"mmmm")</f>
        <v>July</v>
      </c>
      <c r="J780" s="2">
        <f>YEAR(Sheet1[[#This Row],[claim_date]])</f>
        <v>2023</v>
      </c>
      <c r="K780" s="2" t="str">
        <f>"Q"&amp;ROUNDUP(MONTH(Sheet1[[#This Row],[claim_date]])/3,0)</f>
        <v>Q3</v>
      </c>
      <c r="L780" s="2" t="str">
        <f>IF(Sheet1[[#This Row],[claim_amount]]&lt;100000,"Low",IF(Sheet1[[#This Row],[claim_amount]]&lt;200000,"Medium","High"))</f>
        <v>Low</v>
      </c>
      <c r="M780" s="2" t="str">
        <f>IF(Sheet1[[#This Row],[days_to_process]]&lt;=30,"Fast","Slow")</f>
        <v>Fast</v>
      </c>
    </row>
    <row r="781" spans="1:13" x14ac:dyDescent="0.3">
      <c r="A781" t="s">
        <v>1478</v>
      </c>
      <c r="B781" s="2" t="s">
        <v>1479</v>
      </c>
      <c r="C781" s="1">
        <v>45165</v>
      </c>
      <c r="D781" s="35">
        <v>496290.6</v>
      </c>
      <c r="E781" s="2" t="s">
        <v>10</v>
      </c>
      <c r="F781" s="2" t="s">
        <v>16</v>
      </c>
      <c r="G781" s="2" t="s">
        <v>12</v>
      </c>
      <c r="H781">
        <v>43</v>
      </c>
      <c r="I781" s="2" t="str">
        <f>TEXT(Sheet1[[#This Row],[claim_date]],"mmmm")</f>
        <v>August</v>
      </c>
      <c r="J781" s="2">
        <f>YEAR(Sheet1[[#This Row],[claim_date]])</f>
        <v>2023</v>
      </c>
      <c r="K781" s="2" t="str">
        <f>"Q"&amp;ROUNDUP(MONTH(Sheet1[[#This Row],[claim_date]])/3,0)</f>
        <v>Q3</v>
      </c>
      <c r="L781" s="2" t="str">
        <f>IF(Sheet1[[#This Row],[claim_amount]]&lt;100000,"Low",IF(Sheet1[[#This Row],[claim_amount]]&lt;200000,"Medium","High"))</f>
        <v>High</v>
      </c>
      <c r="M781" s="2" t="str">
        <f>IF(Sheet1[[#This Row],[days_to_process]]&lt;=30,"Fast","Slow")</f>
        <v>Slow</v>
      </c>
    </row>
    <row r="782" spans="1:13" x14ac:dyDescent="0.3">
      <c r="A782" t="s">
        <v>1480</v>
      </c>
      <c r="B782" s="2" t="s">
        <v>876</v>
      </c>
      <c r="C782" s="1">
        <v>44159</v>
      </c>
      <c r="D782" s="35">
        <v>313739.73</v>
      </c>
      <c r="E782" s="2" t="s">
        <v>15</v>
      </c>
      <c r="F782" s="2" t="s">
        <v>11</v>
      </c>
      <c r="G782" s="2" t="s">
        <v>12</v>
      </c>
      <c r="H782">
        <v>15</v>
      </c>
      <c r="I782" s="2" t="str">
        <f>TEXT(Sheet1[[#This Row],[claim_date]],"mmmm")</f>
        <v>November</v>
      </c>
      <c r="J782" s="2">
        <f>YEAR(Sheet1[[#This Row],[claim_date]])</f>
        <v>2020</v>
      </c>
      <c r="K782" s="2" t="str">
        <f>"Q"&amp;ROUNDUP(MONTH(Sheet1[[#This Row],[claim_date]])/3,0)</f>
        <v>Q4</v>
      </c>
      <c r="L782" s="2" t="str">
        <f>IF(Sheet1[[#This Row],[claim_amount]]&lt;100000,"Low",IF(Sheet1[[#This Row],[claim_amount]]&lt;200000,"Medium","High"))</f>
        <v>High</v>
      </c>
      <c r="M782" s="2" t="str">
        <f>IF(Sheet1[[#This Row],[days_to_process]]&lt;=30,"Fast","Slow")</f>
        <v>Fast</v>
      </c>
    </row>
    <row r="783" spans="1:13" x14ac:dyDescent="0.3">
      <c r="A783" t="s">
        <v>1481</v>
      </c>
      <c r="B783" s="2" t="s">
        <v>709</v>
      </c>
      <c r="C783" s="1">
        <v>45800</v>
      </c>
      <c r="D783" s="35">
        <v>471771.24</v>
      </c>
      <c r="E783" s="2" t="s">
        <v>15</v>
      </c>
      <c r="F783" s="2" t="s">
        <v>16</v>
      </c>
      <c r="G783" s="2" t="s">
        <v>24</v>
      </c>
      <c r="H783">
        <v>18</v>
      </c>
      <c r="I783" s="2" t="str">
        <f>TEXT(Sheet1[[#This Row],[claim_date]],"mmmm")</f>
        <v>May</v>
      </c>
      <c r="J783" s="2">
        <f>YEAR(Sheet1[[#This Row],[claim_date]])</f>
        <v>2025</v>
      </c>
      <c r="K783" s="2" t="str">
        <f>"Q"&amp;ROUNDUP(MONTH(Sheet1[[#This Row],[claim_date]])/3,0)</f>
        <v>Q2</v>
      </c>
      <c r="L783" s="2" t="str">
        <f>IF(Sheet1[[#This Row],[claim_amount]]&lt;100000,"Low",IF(Sheet1[[#This Row],[claim_amount]]&lt;200000,"Medium","High"))</f>
        <v>High</v>
      </c>
      <c r="M783" s="2" t="str">
        <f>IF(Sheet1[[#This Row],[days_to_process]]&lt;=30,"Fast","Slow")</f>
        <v>Fast</v>
      </c>
    </row>
    <row r="784" spans="1:13" x14ac:dyDescent="0.3">
      <c r="A784" t="s">
        <v>1482</v>
      </c>
      <c r="B784" s="2" t="s">
        <v>1483</v>
      </c>
      <c r="C784" s="1">
        <v>45110</v>
      </c>
      <c r="D784" s="35">
        <v>121450.89</v>
      </c>
      <c r="E784" s="2" t="s">
        <v>10</v>
      </c>
      <c r="F784" s="2" t="s">
        <v>23</v>
      </c>
      <c r="G784" s="2" t="s">
        <v>24</v>
      </c>
      <c r="H784">
        <v>20</v>
      </c>
      <c r="I784" s="2" t="str">
        <f>TEXT(Sheet1[[#This Row],[claim_date]],"mmmm")</f>
        <v>July</v>
      </c>
      <c r="J784" s="2">
        <f>YEAR(Sheet1[[#This Row],[claim_date]])</f>
        <v>2023</v>
      </c>
      <c r="K784" s="2" t="str">
        <f>"Q"&amp;ROUNDUP(MONTH(Sheet1[[#This Row],[claim_date]])/3,0)</f>
        <v>Q3</v>
      </c>
      <c r="L784" s="2" t="str">
        <f>IF(Sheet1[[#This Row],[claim_amount]]&lt;100000,"Low",IF(Sheet1[[#This Row],[claim_amount]]&lt;200000,"Medium","High"))</f>
        <v>Medium</v>
      </c>
      <c r="M784" s="2" t="str">
        <f>IF(Sheet1[[#This Row],[days_to_process]]&lt;=30,"Fast","Slow")</f>
        <v>Fast</v>
      </c>
    </row>
    <row r="785" spans="1:13" x14ac:dyDescent="0.3">
      <c r="A785" t="s">
        <v>1484</v>
      </c>
      <c r="B785" s="2" t="s">
        <v>1485</v>
      </c>
      <c r="C785" s="1">
        <v>45285</v>
      </c>
      <c r="D785" s="35">
        <v>301869.28000000003</v>
      </c>
      <c r="E785" s="2" t="s">
        <v>15</v>
      </c>
      <c r="F785" s="2" t="s">
        <v>11</v>
      </c>
      <c r="G785" s="2" t="s">
        <v>12</v>
      </c>
      <c r="H785">
        <v>48</v>
      </c>
      <c r="I785" s="2" t="str">
        <f>TEXT(Sheet1[[#This Row],[claim_date]],"mmmm")</f>
        <v>December</v>
      </c>
      <c r="J785" s="2">
        <f>YEAR(Sheet1[[#This Row],[claim_date]])</f>
        <v>2023</v>
      </c>
      <c r="K785" s="2" t="str">
        <f>"Q"&amp;ROUNDUP(MONTH(Sheet1[[#This Row],[claim_date]])/3,0)</f>
        <v>Q4</v>
      </c>
      <c r="L785" s="2" t="str">
        <f>IF(Sheet1[[#This Row],[claim_amount]]&lt;100000,"Low",IF(Sheet1[[#This Row],[claim_amount]]&lt;200000,"Medium","High"))</f>
        <v>High</v>
      </c>
      <c r="M785" s="2" t="str">
        <f>IF(Sheet1[[#This Row],[days_to_process]]&lt;=30,"Fast","Slow")</f>
        <v>Slow</v>
      </c>
    </row>
    <row r="786" spans="1:13" x14ac:dyDescent="0.3">
      <c r="A786" t="s">
        <v>1486</v>
      </c>
      <c r="B786" s="2" t="s">
        <v>794</v>
      </c>
      <c r="C786" s="1">
        <v>45528</v>
      </c>
      <c r="D786" s="35">
        <v>130944.07</v>
      </c>
      <c r="E786" s="2" t="s">
        <v>15</v>
      </c>
      <c r="F786" s="2" t="s">
        <v>11</v>
      </c>
      <c r="G786" s="2" t="s">
        <v>12</v>
      </c>
      <c r="H786">
        <v>57</v>
      </c>
      <c r="I786" s="2" t="str">
        <f>TEXT(Sheet1[[#This Row],[claim_date]],"mmmm")</f>
        <v>August</v>
      </c>
      <c r="J786" s="2">
        <f>YEAR(Sheet1[[#This Row],[claim_date]])</f>
        <v>2024</v>
      </c>
      <c r="K786" s="2" t="str">
        <f>"Q"&amp;ROUNDUP(MONTH(Sheet1[[#This Row],[claim_date]])/3,0)</f>
        <v>Q3</v>
      </c>
      <c r="L786" s="2" t="str">
        <f>IF(Sheet1[[#This Row],[claim_amount]]&lt;100000,"Low",IF(Sheet1[[#This Row],[claim_amount]]&lt;200000,"Medium","High"))</f>
        <v>Medium</v>
      </c>
      <c r="M786" s="2" t="str">
        <f>IF(Sheet1[[#This Row],[days_to_process]]&lt;=30,"Fast","Slow")</f>
        <v>Slow</v>
      </c>
    </row>
    <row r="787" spans="1:13" x14ac:dyDescent="0.3">
      <c r="A787" t="s">
        <v>1487</v>
      </c>
      <c r="B787" s="2" t="s">
        <v>1488</v>
      </c>
      <c r="C787" s="1">
        <v>44682</v>
      </c>
      <c r="D787" s="35">
        <v>341113.93</v>
      </c>
      <c r="E787" s="2" t="s">
        <v>19</v>
      </c>
      <c r="F787" s="2" t="s">
        <v>20</v>
      </c>
      <c r="G787" s="2" t="s">
        <v>24</v>
      </c>
      <c r="H787">
        <v>19</v>
      </c>
      <c r="I787" s="2" t="str">
        <f>TEXT(Sheet1[[#This Row],[claim_date]],"mmmm")</f>
        <v>May</v>
      </c>
      <c r="J787" s="2">
        <f>YEAR(Sheet1[[#This Row],[claim_date]])</f>
        <v>2022</v>
      </c>
      <c r="K787" s="2" t="str">
        <f>"Q"&amp;ROUNDUP(MONTH(Sheet1[[#This Row],[claim_date]])/3,0)</f>
        <v>Q2</v>
      </c>
      <c r="L787" s="2" t="str">
        <f>IF(Sheet1[[#This Row],[claim_amount]]&lt;100000,"Low",IF(Sheet1[[#This Row],[claim_amount]]&lt;200000,"Medium","High"))</f>
        <v>High</v>
      </c>
      <c r="M787" s="2" t="str">
        <f>IF(Sheet1[[#This Row],[days_to_process]]&lt;=30,"Fast","Slow")</f>
        <v>Fast</v>
      </c>
    </row>
    <row r="788" spans="1:13" x14ac:dyDescent="0.3">
      <c r="A788" t="s">
        <v>1489</v>
      </c>
      <c r="B788" s="2" t="s">
        <v>1490</v>
      </c>
      <c r="C788" s="1">
        <v>45201</v>
      </c>
      <c r="D788" s="35">
        <v>429163.27</v>
      </c>
      <c r="E788" s="2" t="s">
        <v>19</v>
      </c>
      <c r="F788" s="2" t="s">
        <v>16</v>
      </c>
      <c r="G788" s="2" t="s">
        <v>24</v>
      </c>
      <c r="H788">
        <v>14</v>
      </c>
      <c r="I788" s="2" t="str">
        <f>TEXT(Sheet1[[#This Row],[claim_date]],"mmmm")</f>
        <v>October</v>
      </c>
      <c r="J788" s="2">
        <f>YEAR(Sheet1[[#This Row],[claim_date]])</f>
        <v>2023</v>
      </c>
      <c r="K788" s="2" t="str">
        <f>"Q"&amp;ROUNDUP(MONTH(Sheet1[[#This Row],[claim_date]])/3,0)</f>
        <v>Q4</v>
      </c>
      <c r="L788" s="2" t="str">
        <f>IF(Sheet1[[#This Row],[claim_amount]]&lt;100000,"Low",IF(Sheet1[[#This Row],[claim_amount]]&lt;200000,"Medium","High"))</f>
        <v>High</v>
      </c>
      <c r="M788" s="2" t="str">
        <f>IF(Sheet1[[#This Row],[days_to_process]]&lt;=30,"Fast","Slow")</f>
        <v>Fast</v>
      </c>
    </row>
    <row r="789" spans="1:13" x14ac:dyDescent="0.3">
      <c r="A789" t="s">
        <v>1491</v>
      </c>
      <c r="B789" s="2" t="s">
        <v>1492</v>
      </c>
      <c r="C789" s="1">
        <v>45085</v>
      </c>
      <c r="D789" s="35">
        <v>191474.47</v>
      </c>
      <c r="E789" s="2" t="s">
        <v>10</v>
      </c>
      <c r="F789" s="2" t="s">
        <v>16</v>
      </c>
      <c r="G789" s="2" t="s">
        <v>12</v>
      </c>
      <c r="H789">
        <v>52</v>
      </c>
      <c r="I789" s="2" t="str">
        <f>TEXT(Sheet1[[#This Row],[claim_date]],"mmmm")</f>
        <v>June</v>
      </c>
      <c r="J789" s="2">
        <f>YEAR(Sheet1[[#This Row],[claim_date]])</f>
        <v>2023</v>
      </c>
      <c r="K789" s="2" t="str">
        <f>"Q"&amp;ROUNDUP(MONTH(Sheet1[[#This Row],[claim_date]])/3,0)</f>
        <v>Q2</v>
      </c>
      <c r="L789" s="2" t="str">
        <f>IF(Sheet1[[#This Row],[claim_amount]]&lt;100000,"Low",IF(Sheet1[[#This Row],[claim_amount]]&lt;200000,"Medium","High"))</f>
        <v>Medium</v>
      </c>
      <c r="M789" s="2" t="str">
        <f>IF(Sheet1[[#This Row],[days_to_process]]&lt;=30,"Fast","Slow")</f>
        <v>Slow</v>
      </c>
    </row>
    <row r="790" spans="1:13" x14ac:dyDescent="0.3">
      <c r="A790" t="s">
        <v>1493</v>
      </c>
      <c r="B790" s="2" t="s">
        <v>1177</v>
      </c>
      <c r="C790" s="1">
        <v>44235</v>
      </c>
      <c r="D790" s="35">
        <v>157892.15</v>
      </c>
      <c r="E790" s="2" t="s">
        <v>15</v>
      </c>
      <c r="F790" s="2" t="s">
        <v>34</v>
      </c>
      <c r="G790" s="2" t="s">
        <v>12</v>
      </c>
      <c r="H790">
        <v>19</v>
      </c>
      <c r="I790" s="2" t="str">
        <f>TEXT(Sheet1[[#This Row],[claim_date]],"mmmm")</f>
        <v>February</v>
      </c>
      <c r="J790" s="2">
        <f>YEAR(Sheet1[[#This Row],[claim_date]])</f>
        <v>2021</v>
      </c>
      <c r="K790" s="2" t="str">
        <f>"Q"&amp;ROUNDUP(MONTH(Sheet1[[#This Row],[claim_date]])/3,0)</f>
        <v>Q1</v>
      </c>
      <c r="L790" s="2" t="str">
        <f>IF(Sheet1[[#This Row],[claim_amount]]&lt;100000,"Low",IF(Sheet1[[#This Row],[claim_amount]]&lt;200000,"Medium","High"))</f>
        <v>Medium</v>
      </c>
      <c r="M790" s="2" t="str">
        <f>IF(Sheet1[[#This Row],[days_to_process]]&lt;=30,"Fast","Slow")</f>
        <v>Fast</v>
      </c>
    </row>
    <row r="791" spans="1:13" x14ac:dyDescent="0.3">
      <c r="A791" t="s">
        <v>1494</v>
      </c>
      <c r="B791" s="2" t="s">
        <v>1495</v>
      </c>
      <c r="C791" s="1">
        <v>45259</v>
      </c>
      <c r="D791" s="35">
        <v>311915.96999999997</v>
      </c>
      <c r="E791" s="2" t="s">
        <v>10</v>
      </c>
      <c r="F791" s="2" t="s">
        <v>20</v>
      </c>
      <c r="G791" s="2" t="s">
        <v>24</v>
      </c>
      <c r="H791">
        <v>17</v>
      </c>
      <c r="I791" s="2" t="str">
        <f>TEXT(Sheet1[[#This Row],[claim_date]],"mmmm")</f>
        <v>November</v>
      </c>
      <c r="J791" s="2">
        <f>YEAR(Sheet1[[#This Row],[claim_date]])</f>
        <v>2023</v>
      </c>
      <c r="K791" s="2" t="str">
        <f>"Q"&amp;ROUNDUP(MONTH(Sheet1[[#This Row],[claim_date]])/3,0)</f>
        <v>Q4</v>
      </c>
      <c r="L791" s="2" t="str">
        <f>IF(Sheet1[[#This Row],[claim_amount]]&lt;100000,"Low",IF(Sheet1[[#This Row],[claim_amount]]&lt;200000,"Medium","High"))</f>
        <v>High</v>
      </c>
      <c r="M791" s="2" t="str">
        <f>IF(Sheet1[[#This Row],[days_to_process]]&lt;=30,"Fast","Slow")</f>
        <v>Fast</v>
      </c>
    </row>
    <row r="792" spans="1:13" x14ac:dyDescent="0.3">
      <c r="A792" t="s">
        <v>1496</v>
      </c>
      <c r="B792" s="2" t="s">
        <v>1497</v>
      </c>
      <c r="C792" s="1">
        <v>45748</v>
      </c>
      <c r="D792" s="35">
        <v>90310.39</v>
      </c>
      <c r="E792" s="2" t="s">
        <v>15</v>
      </c>
      <c r="F792" s="2" t="s">
        <v>16</v>
      </c>
      <c r="G792" s="2" t="s">
        <v>12</v>
      </c>
      <c r="H792">
        <v>9</v>
      </c>
      <c r="I792" s="2" t="str">
        <f>TEXT(Sheet1[[#This Row],[claim_date]],"mmmm")</f>
        <v>April</v>
      </c>
      <c r="J792" s="2">
        <f>YEAR(Sheet1[[#This Row],[claim_date]])</f>
        <v>2025</v>
      </c>
      <c r="K792" s="2" t="str">
        <f>"Q"&amp;ROUNDUP(MONTH(Sheet1[[#This Row],[claim_date]])/3,0)</f>
        <v>Q2</v>
      </c>
      <c r="L792" s="2" t="str">
        <f>IF(Sheet1[[#This Row],[claim_amount]]&lt;100000,"Low",IF(Sheet1[[#This Row],[claim_amount]]&lt;200000,"Medium","High"))</f>
        <v>Low</v>
      </c>
      <c r="M792" s="2" t="str">
        <f>IF(Sheet1[[#This Row],[days_to_process]]&lt;=30,"Fast","Slow")</f>
        <v>Fast</v>
      </c>
    </row>
    <row r="793" spans="1:13" x14ac:dyDescent="0.3">
      <c r="A793" t="s">
        <v>1498</v>
      </c>
      <c r="B793" s="2" t="s">
        <v>1324</v>
      </c>
      <c r="C793" s="1">
        <v>45117</v>
      </c>
      <c r="D793" s="35">
        <v>175139.82</v>
      </c>
      <c r="E793" s="2" t="s">
        <v>19</v>
      </c>
      <c r="F793" s="2" t="s">
        <v>16</v>
      </c>
      <c r="G793" s="2" t="s">
        <v>24</v>
      </c>
      <c r="H793">
        <v>21</v>
      </c>
      <c r="I793" s="2" t="str">
        <f>TEXT(Sheet1[[#This Row],[claim_date]],"mmmm")</f>
        <v>July</v>
      </c>
      <c r="J793" s="2">
        <f>YEAR(Sheet1[[#This Row],[claim_date]])</f>
        <v>2023</v>
      </c>
      <c r="K793" s="2" t="str">
        <f>"Q"&amp;ROUNDUP(MONTH(Sheet1[[#This Row],[claim_date]])/3,0)</f>
        <v>Q3</v>
      </c>
      <c r="L793" s="2" t="str">
        <f>IF(Sheet1[[#This Row],[claim_amount]]&lt;100000,"Low",IF(Sheet1[[#This Row],[claim_amount]]&lt;200000,"Medium","High"))</f>
        <v>Medium</v>
      </c>
      <c r="M793" s="2" t="str">
        <f>IF(Sheet1[[#This Row],[days_to_process]]&lt;=30,"Fast","Slow")</f>
        <v>Fast</v>
      </c>
    </row>
    <row r="794" spans="1:13" x14ac:dyDescent="0.3">
      <c r="A794" t="s">
        <v>1499</v>
      </c>
      <c r="B794" s="2" t="s">
        <v>1500</v>
      </c>
      <c r="C794" s="1">
        <v>44477</v>
      </c>
      <c r="D794" s="35">
        <v>127148.72</v>
      </c>
      <c r="E794" s="2" t="s">
        <v>10</v>
      </c>
      <c r="F794" s="2" t="s">
        <v>11</v>
      </c>
      <c r="G794" s="2" t="s">
        <v>12</v>
      </c>
      <c r="H794">
        <v>49</v>
      </c>
      <c r="I794" s="2" t="str">
        <f>TEXT(Sheet1[[#This Row],[claim_date]],"mmmm")</f>
        <v>October</v>
      </c>
      <c r="J794" s="2">
        <f>YEAR(Sheet1[[#This Row],[claim_date]])</f>
        <v>2021</v>
      </c>
      <c r="K794" s="2" t="str">
        <f>"Q"&amp;ROUNDUP(MONTH(Sheet1[[#This Row],[claim_date]])/3,0)</f>
        <v>Q4</v>
      </c>
      <c r="L794" s="2" t="str">
        <f>IF(Sheet1[[#This Row],[claim_amount]]&lt;100000,"Low",IF(Sheet1[[#This Row],[claim_amount]]&lt;200000,"Medium","High"))</f>
        <v>Medium</v>
      </c>
      <c r="M794" s="2" t="str">
        <f>IF(Sheet1[[#This Row],[days_to_process]]&lt;=30,"Fast","Slow")</f>
        <v>Slow</v>
      </c>
    </row>
    <row r="795" spans="1:13" x14ac:dyDescent="0.3">
      <c r="A795" t="s">
        <v>1501</v>
      </c>
      <c r="B795" s="2" t="s">
        <v>1502</v>
      </c>
      <c r="C795" s="1">
        <v>45168</v>
      </c>
      <c r="D795" s="35">
        <v>88281.36</v>
      </c>
      <c r="E795" s="2" t="s">
        <v>10</v>
      </c>
      <c r="F795" s="2" t="s">
        <v>20</v>
      </c>
      <c r="G795" s="2" t="s">
        <v>24</v>
      </c>
      <c r="H795">
        <v>27</v>
      </c>
      <c r="I795" s="2" t="str">
        <f>TEXT(Sheet1[[#This Row],[claim_date]],"mmmm")</f>
        <v>August</v>
      </c>
      <c r="J795" s="2">
        <f>YEAR(Sheet1[[#This Row],[claim_date]])</f>
        <v>2023</v>
      </c>
      <c r="K795" s="2" t="str">
        <f>"Q"&amp;ROUNDUP(MONTH(Sheet1[[#This Row],[claim_date]])/3,0)</f>
        <v>Q3</v>
      </c>
      <c r="L795" s="2" t="str">
        <f>IF(Sheet1[[#This Row],[claim_amount]]&lt;100000,"Low",IF(Sheet1[[#This Row],[claim_amount]]&lt;200000,"Medium","High"))</f>
        <v>Low</v>
      </c>
      <c r="M795" s="2" t="str">
        <f>IF(Sheet1[[#This Row],[days_to_process]]&lt;=30,"Fast","Slow")</f>
        <v>Fast</v>
      </c>
    </row>
    <row r="796" spans="1:13" x14ac:dyDescent="0.3">
      <c r="A796" t="s">
        <v>1503</v>
      </c>
      <c r="B796" s="2" t="s">
        <v>1504</v>
      </c>
      <c r="C796" s="1">
        <v>45499</v>
      </c>
      <c r="D796" s="35">
        <v>208136.26</v>
      </c>
      <c r="E796" s="2" t="s">
        <v>10</v>
      </c>
      <c r="F796" s="2" t="s">
        <v>34</v>
      </c>
      <c r="G796" s="2" t="s">
        <v>24</v>
      </c>
      <c r="H796">
        <v>7</v>
      </c>
      <c r="I796" s="2" t="str">
        <f>TEXT(Sheet1[[#This Row],[claim_date]],"mmmm")</f>
        <v>July</v>
      </c>
      <c r="J796" s="2">
        <f>YEAR(Sheet1[[#This Row],[claim_date]])</f>
        <v>2024</v>
      </c>
      <c r="K796" s="2" t="str">
        <f>"Q"&amp;ROUNDUP(MONTH(Sheet1[[#This Row],[claim_date]])/3,0)</f>
        <v>Q3</v>
      </c>
      <c r="L796" s="2" t="str">
        <f>IF(Sheet1[[#This Row],[claim_amount]]&lt;100000,"Low",IF(Sheet1[[#This Row],[claim_amount]]&lt;200000,"Medium","High"))</f>
        <v>High</v>
      </c>
      <c r="M796" s="2" t="str">
        <f>IF(Sheet1[[#This Row],[days_to_process]]&lt;=30,"Fast","Slow")</f>
        <v>Fast</v>
      </c>
    </row>
    <row r="797" spans="1:13" x14ac:dyDescent="0.3">
      <c r="A797" t="s">
        <v>1505</v>
      </c>
      <c r="B797" s="2" t="s">
        <v>1506</v>
      </c>
      <c r="C797" s="1">
        <v>45294</v>
      </c>
      <c r="D797" s="35">
        <v>116339.84</v>
      </c>
      <c r="E797" s="2" t="s">
        <v>19</v>
      </c>
      <c r="F797" s="2" t="s">
        <v>34</v>
      </c>
      <c r="G797" s="2" t="s">
        <v>24</v>
      </c>
      <c r="H797">
        <v>19</v>
      </c>
      <c r="I797" s="2" t="str">
        <f>TEXT(Sheet1[[#This Row],[claim_date]],"mmmm")</f>
        <v>January</v>
      </c>
      <c r="J797" s="2">
        <f>YEAR(Sheet1[[#This Row],[claim_date]])</f>
        <v>2024</v>
      </c>
      <c r="K797" s="2" t="str">
        <f>"Q"&amp;ROUNDUP(MONTH(Sheet1[[#This Row],[claim_date]])/3,0)</f>
        <v>Q1</v>
      </c>
      <c r="L797" s="2" t="str">
        <f>IF(Sheet1[[#This Row],[claim_amount]]&lt;100000,"Low",IF(Sheet1[[#This Row],[claim_amount]]&lt;200000,"Medium","High"))</f>
        <v>Medium</v>
      </c>
      <c r="M797" s="2" t="str">
        <f>IF(Sheet1[[#This Row],[days_to_process]]&lt;=30,"Fast","Slow")</f>
        <v>Fast</v>
      </c>
    </row>
    <row r="798" spans="1:13" x14ac:dyDescent="0.3">
      <c r="A798" t="s">
        <v>1507</v>
      </c>
      <c r="B798" s="2" t="s">
        <v>1508</v>
      </c>
      <c r="C798" s="1">
        <v>45187</v>
      </c>
      <c r="D798" s="35">
        <v>438142.83</v>
      </c>
      <c r="E798" s="2" t="s">
        <v>15</v>
      </c>
      <c r="F798" s="2" t="s">
        <v>23</v>
      </c>
      <c r="G798" s="2" t="s">
        <v>12</v>
      </c>
      <c r="H798">
        <v>59</v>
      </c>
      <c r="I798" s="2" t="str">
        <f>TEXT(Sheet1[[#This Row],[claim_date]],"mmmm")</f>
        <v>September</v>
      </c>
      <c r="J798" s="2">
        <f>YEAR(Sheet1[[#This Row],[claim_date]])</f>
        <v>2023</v>
      </c>
      <c r="K798" s="2" t="str">
        <f>"Q"&amp;ROUNDUP(MONTH(Sheet1[[#This Row],[claim_date]])/3,0)</f>
        <v>Q3</v>
      </c>
      <c r="L798" s="2" t="str">
        <f>IF(Sheet1[[#This Row],[claim_amount]]&lt;100000,"Low",IF(Sheet1[[#This Row],[claim_amount]]&lt;200000,"Medium","High"))</f>
        <v>High</v>
      </c>
      <c r="M798" s="2" t="str">
        <f>IF(Sheet1[[#This Row],[days_to_process]]&lt;=30,"Fast","Slow")</f>
        <v>Slow</v>
      </c>
    </row>
    <row r="799" spans="1:13" x14ac:dyDescent="0.3">
      <c r="A799" t="s">
        <v>1509</v>
      </c>
      <c r="B799" s="2" t="s">
        <v>1510</v>
      </c>
      <c r="C799" s="1">
        <v>45296</v>
      </c>
      <c r="D799" s="35">
        <v>473718.12</v>
      </c>
      <c r="E799" s="2" t="s">
        <v>19</v>
      </c>
      <c r="F799" s="2" t="s">
        <v>16</v>
      </c>
      <c r="G799" s="2" t="s">
        <v>24</v>
      </c>
      <c r="H799">
        <v>18</v>
      </c>
      <c r="I799" s="2" t="str">
        <f>TEXT(Sheet1[[#This Row],[claim_date]],"mmmm")</f>
        <v>January</v>
      </c>
      <c r="J799" s="2">
        <f>YEAR(Sheet1[[#This Row],[claim_date]])</f>
        <v>2024</v>
      </c>
      <c r="K799" s="2" t="str">
        <f>"Q"&amp;ROUNDUP(MONTH(Sheet1[[#This Row],[claim_date]])/3,0)</f>
        <v>Q1</v>
      </c>
      <c r="L799" s="2" t="str">
        <f>IF(Sheet1[[#This Row],[claim_amount]]&lt;100000,"Low",IF(Sheet1[[#This Row],[claim_amount]]&lt;200000,"Medium","High"))</f>
        <v>High</v>
      </c>
      <c r="M799" s="2" t="str">
        <f>IF(Sheet1[[#This Row],[days_to_process]]&lt;=30,"Fast","Slow")</f>
        <v>Fast</v>
      </c>
    </row>
    <row r="800" spans="1:13" x14ac:dyDescent="0.3">
      <c r="A800" t="s">
        <v>1511</v>
      </c>
      <c r="B800" s="2" t="s">
        <v>1512</v>
      </c>
      <c r="C800" s="1">
        <v>44757</v>
      </c>
      <c r="D800" s="35">
        <v>389335.59</v>
      </c>
      <c r="E800" s="2" t="s">
        <v>15</v>
      </c>
      <c r="F800" s="2" t="s">
        <v>16</v>
      </c>
      <c r="G800" s="2" t="s">
        <v>12</v>
      </c>
      <c r="H800">
        <v>21</v>
      </c>
      <c r="I800" s="2" t="str">
        <f>TEXT(Sheet1[[#This Row],[claim_date]],"mmmm")</f>
        <v>July</v>
      </c>
      <c r="J800" s="2">
        <f>YEAR(Sheet1[[#This Row],[claim_date]])</f>
        <v>2022</v>
      </c>
      <c r="K800" s="2" t="str">
        <f>"Q"&amp;ROUNDUP(MONTH(Sheet1[[#This Row],[claim_date]])/3,0)</f>
        <v>Q3</v>
      </c>
      <c r="L800" s="2" t="str">
        <f>IF(Sheet1[[#This Row],[claim_amount]]&lt;100000,"Low",IF(Sheet1[[#This Row],[claim_amount]]&lt;200000,"Medium","High"))</f>
        <v>High</v>
      </c>
      <c r="M800" s="2" t="str">
        <f>IF(Sheet1[[#This Row],[days_to_process]]&lt;=30,"Fast","Slow")</f>
        <v>Fast</v>
      </c>
    </row>
    <row r="801" spans="1:13" x14ac:dyDescent="0.3">
      <c r="A801" t="s">
        <v>1513</v>
      </c>
      <c r="B801" s="2" t="s">
        <v>676</v>
      </c>
      <c r="C801" s="1">
        <v>44709</v>
      </c>
      <c r="D801" s="35">
        <v>412253.84</v>
      </c>
      <c r="E801" s="2" t="s">
        <v>10</v>
      </c>
      <c r="F801" s="2" t="s">
        <v>16</v>
      </c>
      <c r="G801" s="2" t="s">
        <v>24</v>
      </c>
      <c r="H801">
        <v>43</v>
      </c>
      <c r="I801" s="2" t="str">
        <f>TEXT(Sheet1[[#This Row],[claim_date]],"mmmm")</f>
        <v>May</v>
      </c>
      <c r="J801" s="2">
        <f>YEAR(Sheet1[[#This Row],[claim_date]])</f>
        <v>2022</v>
      </c>
      <c r="K801" s="2" t="str">
        <f>"Q"&amp;ROUNDUP(MONTH(Sheet1[[#This Row],[claim_date]])/3,0)</f>
        <v>Q2</v>
      </c>
      <c r="L801" s="2" t="str">
        <f>IF(Sheet1[[#This Row],[claim_amount]]&lt;100000,"Low",IF(Sheet1[[#This Row],[claim_amount]]&lt;200000,"Medium","High"))</f>
        <v>High</v>
      </c>
      <c r="M801" s="2" t="str">
        <f>IF(Sheet1[[#This Row],[days_to_process]]&lt;=30,"Fast","Slow")</f>
        <v>Slow</v>
      </c>
    </row>
    <row r="802" spans="1:13" x14ac:dyDescent="0.3">
      <c r="A802" t="s">
        <v>1514</v>
      </c>
      <c r="B802" s="2" t="s">
        <v>1515</v>
      </c>
      <c r="C802" s="1">
        <v>45121</v>
      </c>
      <c r="D802" s="35">
        <v>363565.7</v>
      </c>
      <c r="E802" s="2" t="s">
        <v>10</v>
      </c>
      <c r="F802" s="2" t="s">
        <v>34</v>
      </c>
      <c r="G802" s="2" t="s">
        <v>24</v>
      </c>
      <c r="H802">
        <v>32</v>
      </c>
      <c r="I802" s="2" t="str">
        <f>TEXT(Sheet1[[#This Row],[claim_date]],"mmmm")</f>
        <v>July</v>
      </c>
      <c r="J802" s="2">
        <f>YEAR(Sheet1[[#This Row],[claim_date]])</f>
        <v>2023</v>
      </c>
      <c r="K802" s="2" t="str">
        <f>"Q"&amp;ROUNDUP(MONTH(Sheet1[[#This Row],[claim_date]])/3,0)</f>
        <v>Q3</v>
      </c>
      <c r="L802" s="2" t="str">
        <f>IF(Sheet1[[#This Row],[claim_amount]]&lt;100000,"Low",IF(Sheet1[[#This Row],[claim_amount]]&lt;200000,"Medium","High"))</f>
        <v>High</v>
      </c>
      <c r="M802" s="2" t="str">
        <f>IF(Sheet1[[#This Row],[days_to_process]]&lt;=30,"Fast","Slow")</f>
        <v>Slow</v>
      </c>
    </row>
    <row r="803" spans="1:13" x14ac:dyDescent="0.3">
      <c r="A803" t="s">
        <v>1516</v>
      </c>
      <c r="B803" s="2" t="s">
        <v>1517</v>
      </c>
      <c r="C803" s="1">
        <v>45151</v>
      </c>
      <c r="D803" s="35">
        <v>395240.87</v>
      </c>
      <c r="E803" s="2" t="s">
        <v>19</v>
      </c>
      <c r="F803" s="2" t="s">
        <v>11</v>
      </c>
      <c r="G803" s="2" t="s">
        <v>24</v>
      </c>
      <c r="H803">
        <v>17</v>
      </c>
      <c r="I803" s="2" t="str">
        <f>TEXT(Sheet1[[#This Row],[claim_date]],"mmmm")</f>
        <v>August</v>
      </c>
      <c r="J803" s="2">
        <f>YEAR(Sheet1[[#This Row],[claim_date]])</f>
        <v>2023</v>
      </c>
      <c r="K803" s="2" t="str">
        <f>"Q"&amp;ROUNDUP(MONTH(Sheet1[[#This Row],[claim_date]])/3,0)</f>
        <v>Q3</v>
      </c>
      <c r="L803" s="2" t="str">
        <f>IF(Sheet1[[#This Row],[claim_amount]]&lt;100000,"Low",IF(Sheet1[[#This Row],[claim_amount]]&lt;200000,"Medium","High"))</f>
        <v>High</v>
      </c>
      <c r="M803" s="2" t="str">
        <f>IF(Sheet1[[#This Row],[days_to_process]]&lt;=30,"Fast","Slow")</f>
        <v>Fast</v>
      </c>
    </row>
    <row r="804" spans="1:13" x14ac:dyDescent="0.3">
      <c r="A804" t="s">
        <v>1518</v>
      </c>
      <c r="B804" s="2" t="s">
        <v>410</v>
      </c>
      <c r="C804" s="1">
        <v>45427</v>
      </c>
      <c r="D804" s="35">
        <v>190861.2</v>
      </c>
      <c r="E804" s="2" t="s">
        <v>10</v>
      </c>
      <c r="F804" s="2" t="s">
        <v>11</v>
      </c>
      <c r="G804" s="2" t="s">
        <v>24</v>
      </c>
      <c r="H804">
        <v>15</v>
      </c>
      <c r="I804" s="2" t="str">
        <f>TEXT(Sheet1[[#This Row],[claim_date]],"mmmm")</f>
        <v>May</v>
      </c>
      <c r="J804" s="2">
        <f>YEAR(Sheet1[[#This Row],[claim_date]])</f>
        <v>2024</v>
      </c>
      <c r="K804" s="2" t="str">
        <f>"Q"&amp;ROUNDUP(MONTH(Sheet1[[#This Row],[claim_date]])/3,0)</f>
        <v>Q2</v>
      </c>
      <c r="L804" s="2" t="str">
        <f>IF(Sheet1[[#This Row],[claim_amount]]&lt;100000,"Low",IF(Sheet1[[#This Row],[claim_amount]]&lt;200000,"Medium","High"))</f>
        <v>Medium</v>
      </c>
      <c r="M804" s="2" t="str">
        <f>IF(Sheet1[[#This Row],[days_to_process]]&lt;=30,"Fast","Slow")</f>
        <v>Fast</v>
      </c>
    </row>
    <row r="805" spans="1:13" x14ac:dyDescent="0.3">
      <c r="A805" t="s">
        <v>1519</v>
      </c>
      <c r="B805" s="2" t="s">
        <v>1520</v>
      </c>
      <c r="C805" s="1">
        <v>44405</v>
      </c>
      <c r="D805" s="35">
        <v>104444.39</v>
      </c>
      <c r="E805" s="2" t="s">
        <v>19</v>
      </c>
      <c r="F805" s="2" t="s">
        <v>20</v>
      </c>
      <c r="G805" s="2" t="s">
        <v>24</v>
      </c>
      <c r="H805">
        <v>39</v>
      </c>
      <c r="I805" s="2" t="str">
        <f>TEXT(Sheet1[[#This Row],[claim_date]],"mmmm")</f>
        <v>July</v>
      </c>
      <c r="J805" s="2">
        <f>YEAR(Sheet1[[#This Row],[claim_date]])</f>
        <v>2021</v>
      </c>
      <c r="K805" s="2" t="str">
        <f>"Q"&amp;ROUNDUP(MONTH(Sheet1[[#This Row],[claim_date]])/3,0)</f>
        <v>Q3</v>
      </c>
      <c r="L805" s="2" t="str">
        <f>IF(Sheet1[[#This Row],[claim_amount]]&lt;100000,"Low",IF(Sheet1[[#This Row],[claim_amount]]&lt;200000,"Medium","High"))</f>
        <v>Medium</v>
      </c>
      <c r="M805" s="2" t="str">
        <f>IF(Sheet1[[#This Row],[days_to_process]]&lt;=30,"Fast","Slow")</f>
        <v>Slow</v>
      </c>
    </row>
    <row r="806" spans="1:13" x14ac:dyDescent="0.3">
      <c r="A806" t="s">
        <v>1521</v>
      </c>
      <c r="B806" s="2" t="s">
        <v>1522</v>
      </c>
      <c r="C806" s="1">
        <v>44618</v>
      </c>
      <c r="D806" s="35">
        <v>290085.44</v>
      </c>
      <c r="E806" s="2" t="s">
        <v>19</v>
      </c>
      <c r="F806" s="2" t="s">
        <v>16</v>
      </c>
      <c r="G806" s="2" t="s">
        <v>24</v>
      </c>
      <c r="H806">
        <v>18</v>
      </c>
      <c r="I806" s="2" t="str">
        <f>TEXT(Sheet1[[#This Row],[claim_date]],"mmmm")</f>
        <v>February</v>
      </c>
      <c r="J806" s="2">
        <f>YEAR(Sheet1[[#This Row],[claim_date]])</f>
        <v>2022</v>
      </c>
      <c r="K806" s="2" t="str">
        <f>"Q"&amp;ROUNDUP(MONTH(Sheet1[[#This Row],[claim_date]])/3,0)</f>
        <v>Q1</v>
      </c>
      <c r="L806" s="2" t="str">
        <f>IF(Sheet1[[#This Row],[claim_amount]]&lt;100000,"Low",IF(Sheet1[[#This Row],[claim_amount]]&lt;200000,"Medium","High"))</f>
        <v>High</v>
      </c>
      <c r="M806" s="2" t="str">
        <f>IF(Sheet1[[#This Row],[days_to_process]]&lt;=30,"Fast","Slow")</f>
        <v>Fast</v>
      </c>
    </row>
    <row r="807" spans="1:13" x14ac:dyDescent="0.3">
      <c r="A807" t="s">
        <v>1523</v>
      </c>
      <c r="B807" s="2" t="s">
        <v>1524</v>
      </c>
      <c r="C807" s="1">
        <v>45058</v>
      </c>
      <c r="D807" s="35">
        <v>117351.88</v>
      </c>
      <c r="E807" s="2" t="s">
        <v>19</v>
      </c>
      <c r="F807" s="2" t="s">
        <v>23</v>
      </c>
      <c r="G807" s="2" t="s">
        <v>24</v>
      </c>
      <c r="H807">
        <v>46</v>
      </c>
      <c r="I807" s="2" t="str">
        <f>TEXT(Sheet1[[#This Row],[claim_date]],"mmmm")</f>
        <v>May</v>
      </c>
      <c r="J807" s="2">
        <f>YEAR(Sheet1[[#This Row],[claim_date]])</f>
        <v>2023</v>
      </c>
      <c r="K807" s="2" t="str">
        <f>"Q"&amp;ROUNDUP(MONTH(Sheet1[[#This Row],[claim_date]])/3,0)</f>
        <v>Q2</v>
      </c>
      <c r="L807" s="2" t="str">
        <f>IF(Sheet1[[#This Row],[claim_amount]]&lt;100000,"Low",IF(Sheet1[[#This Row],[claim_amount]]&lt;200000,"Medium","High"))</f>
        <v>Medium</v>
      </c>
      <c r="M807" s="2" t="str">
        <f>IF(Sheet1[[#This Row],[days_to_process]]&lt;=30,"Fast","Slow")</f>
        <v>Slow</v>
      </c>
    </row>
    <row r="808" spans="1:13" x14ac:dyDescent="0.3">
      <c r="A808" t="s">
        <v>1525</v>
      </c>
      <c r="B808" s="2" t="s">
        <v>1526</v>
      </c>
      <c r="C808" s="1">
        <v>45421</v>
      </c>
      <c r="D808" s="35">
        <v>250884.61</v>
      </c>
      <c r="E808" s="2" t="s">
        <v>15</v>
      </c>
      <c r="F808" s="2" t="s">
        <v>11</v>
      </c>
      <c r="G808" s="2" t="s">
        <v>12</v>
      </c>
      <c r="H808">
        <v>33</v>
      </c>
      <c r="I808" s="2" t="str">
        <f>TEXT(Sheet1[[#This Row],[claim_date]],"mmmm")</f>
        <v>May</v>
      </c>
      <c r="J808" s="2">
        <f>YEAR(Sheet1[[#This Row],[claim_date]])</f>
        <v>2024</v>
      </c>
      <c r="K808" s="2" t="str">
        <f>"Q"&amp;ROUNDUP(MONTH(Sheet1[[#This Row],[claim_date]])/3,0)</f>
        <v>Q2</v>
      </c>
      <c r="L808" s="2" t="str">
        <f>IF(Sheet1[[#This Row],[claim_amount]]&lt;100000,"Low",IF(Sheet1[[#This Row],[claim_amount]]&lt;200000,"Medium","High"))</f>
        <v>High</v>
      </c>
      <c r="M808" s="2" t="str">
        <f>IF(Sheet1[[#This Row],[days_to_process]]&lt;=30,"Fast","Slow")</f>
        <v>Slow</v>
      </c>
    </row>
    <row r="809" spans="1:13" x14ac:dyDescent="0.3">
      <c r="A809" t="s">
        <v>1527</v>
      </c>
      <c r="B809" s="2" t="s">
        <v>1528</v>
      </c>
      <c r="C809" s="1">
        <v>44655</v>
      </c>
      <c r="D809" s="35">
        <v>25197.75</v>
      </c>
      <c r="E809" s="2" t="s">
        <v>10</v>
      </c>
      <c r="F809" s="2" t="s">
        <v>23</v>
      </c>
      <c r="G809" s="2" t="s">
        <v>12</v>
      </c>
      <c r="H809">
        <v>7</v>
      </c>
      <c r="I809" s="2" t="str">
        <f>TEXT(Sheet1[[#This Row],[claim_date]],"mmmm")</f>
        <v>April</v>
      </c>
      <c r="J809" s="2">
        <f>YEAR(Sheet1[[#This Row],[claim_date]])</f>
        <v>2022</v>
      </c>
      <c r="K809" s="2" t="str">
        <f>"Q"&amp;ROUNDUP(MONTH(Sheet1[[#This Row],[claim_date]])/3,0)</f>
        <v>Q2</v>
      </c>
      <c r="L809" s="2" t="str">
        <f>IF(Sheet1[[#This Row],[claim_amount]]&lt;100000,"Low",IF(Sheet1[[#This Row],[claim_amount]]&lt;200000,"Medium","High"))</f>
        <v>Low</v>
      </c>
      <c r="M809" s="2" t="str">
        <f>IF(Sheet1[[#This Row],[days_to_process]]&lt;=30,"Fast","Slow")</f>
        <v>Fast</v>
      </c>
    </row>
    <row r="810" spans="1:13" x14ac:dyDescent="0.3">
      <c r="A810" t="s">
        <v>1529</v>
      </c>
      <c r="B810" s="2" t="s">
        <v>1530</v>
      </c>
      <c r="C810" s="1">
        <v>45295</v>
      </c>
      <c r="D810" s="35">
        <v>446416.11</v>
      </c>
      <c r="E810" s="2" t="s">
        <v>19</v>
      </c>
      <c r="F810" s="2" t="s">
        <v>20</v>
      </c>
      <c r="G810" s="2" t="s">
        <v>24</v>
      </c>
      <c r="H810">
        <v>10</v>
      </c>
      <c r="I810" s="2" t="str">
        <f>TEXT(Sheet1[[#This Row],[claim_date]],"mmmm")</f>
        <v>January</v>
      </c>
      <c r="J810" s="2">
        <f>YEAR(Sheet1[[#This Row],[claim_date]])</f>
        <v>2024</v>
      </c>
      <c r="K810" s="2" t="str">
        <f>"Q"&amp;ROUNDUP(MONTH(Sheet1[[#This Row],[claim_date]])/3,0)</f>
        <v>Q1</v>
      </c>
      <c r="L810" s="2" t="str">
        <f>IF(Sheet1[[#This Row],[claim_amount]]&lt;100000,"Low",IF(Sheet1[[#This Row],[claim_amount]]&lt;200000,"Medium","High"))</f>
        <v>High</v>
      </c>
      <c r="M810" s="2" t="str">
        <f>IF(Sheet1[[#This Row],[days_to_process]]&lt;=30,"Fast","Slow")</f>
        <v>Fast</v>
      </c>
    </row>
    <row r="811" spans="1:13" x14ac:dyDescent="0.3">
      <c r="A811" t="s">
        <v>1531</v>
      </c>
      <c r="B811" s="2" t="s">
        <v>1532</v>
      </c>
      <c r="C811" s="1">
        <v>44767</v>
      </c>
      <c r="D811" s="35">
        <v>331135.65000000002</v>
      </c>
      <c r="E811" s="2" t="s">
        <v>15</v>
      </c>
      <c r="F811" s="2" t="s">
        <v>23</v>
      </c>
      <c r="G811" s="2" t="s">
        <v>12</v>
      </c>
      <c r="H811">
        <v>41</v>
      </c>
      <c r="I811" s="2" t="str">
        <f>TEXT(Sheet1[[#This Row],[claim_date]],"mmmm")</f>
        <v>July</v>
      </c>
      <c r="J811" s="2">
        <f>YEAR(Sheet1[[#This Row],[claim_date]])</f>
        <v>2022</v>
      </c>
      <c r="K811" s="2" t="str">
        <f>"Q"&amp;ROUNDUP(MONTH(Sheet1[[#This Row],[claim_date]])/3,0)</f>
        <v>Q3</v>
      </c>
      <c r="L811" s="2" t="str">
        <f>IF(Sheet1[[#This Row],[claim_amount]]&lt;100000,"Low",IF(Sheet1[[#This Row],[claim_amount]]&lt;200000,"Medium","High"))</f>
        <v>High</v>
      </c>
      <c r="M811" s="2" t="str">
        <f>IF(Sheet1[[#This Row],[days_to_process]]&lt;=30,"Fast","Slow")</f>
        <v>Slow</v>
      </c>
    </row>
    <row r="812" spans="1:13" x14ac:dyDescent="0.3">
      <c r="A812" t="s">
        <v>1533</v>
      </c>
      <c r="B812" s="2" t="s">
        <v>1534</v>
      </c>
      <c r="C812" s="1">
        <v>45670</v>
      </c>
      <c r="D812" s="35">
        <v>121080.34</v>
      </c>
      <c r="E812" s="2" t="s">
        <v>19</v>
      </c>
      <c r="F812" s="2" t="s">
        <v>34</v>
      </c>
      <c r="G812" s="2" t="s">
        <v>12</v>
      </c>
      <c r="H812">
        <v>38</v>
      </c>
      <c r="I812" s="2" t="str">
        <f>TEXT(Sheet1[[#This Row],[claim_date]],"mmmm")</f>
        <v>January</v>
      </c>
      <c r="J812" s="2">
        <f>YEAR(Sheet1[[#This Row],[claim_date]])</f>
        <v>2025</v>
      </c>
      <c r="K812" s="2" t="str">
        <f>"Q"&amp;ROUNDUP(MONTH(Sheet1[[#This Row],[claim_date]])/3,0)</f>
        <v>Q1</v>
      </c>
      <c r="L812" s="2" t="str">
        <f>IF(Sheet1[[#This Row],[claim_amount]]&lt;100000,"Low",IF(Sheet1[[#This Row],[claim_amount]]&lt;200000,"Medium","High"))</f>
        <v>Medium</v>
      </c>
      <c r="M812" s="2" t="str">
        <f>IF(Sheet1[[#This Row],[days_to_process]]&lt;=30,"Fast","Slow")</f>
        <v>Slow</v>
      </c>
    </row>
    <row r="813" spans="1:13" x14ac:dyDescent="0.3">
      <c r="A813" t="s">
        <v>1535</v>
      </c>
      <c r="B813" s="2" t="s">
        <v>1536</v>
      </c>
      <c r="C813" s="1">
        <v>44548</v>
      </c>
      <c r="D813" s="35">
        <v>434622.32</v>
      </c>
      <c r="E813" s="2" t="s">
        <v>19</v>
      </c>
      <c r="F813" s="2" t="s">
        <v>11</v>
      </c>
      <c r="G813" s="2" t="s">
        <v>12</v>
      </c>
      <c r="H813">
        <v>41</v>
      </c>
      <c r="I813" s="2" t="str">
        <f>TEXT(Sheet1[[#This Row],[claim_date]],"mmmm")</f>
        <v>December</v>
      </c>
      <c r="J813" s="2">
        <f>YEAR(Sheet1[[#This Row],[claim_date]])</f>
        <v>2021</v>
      </c>
      <c r="K813" s="2" t="str">
        <f>"Q"&amp;ROUNDUP(MONTH(Sheet1[[#This Row],[claim_date]])/3,0)</f>
        <v>Q4</v>
      </c>
      <c r="L813" s="2" t="str">
        <f>IF(Sheet1[[#This Row],[claim_amount]]&lt;100000,"Low",IF(Sheet1[[#This Row],[claim_amount]]&lt;200000,"Medium","High"))</f>
        <v>High</v>
      </c>
      <c r="M813" s="2" t="str">
        <f>IF(Sheet1[[#This Row],[days_to_process]]&lt;=30,"Fast","Slow")</f>
        <v>Slow</v>
      </c>
    </row>
    <row r="814" spans="1:13" x14ac:dyDescent="0.3">
      <c r="A814" t="s">
        <v>1537</v>
      </c>
      <c r="B814" s="2" t="s">
        <v>1538</v>
      </c>
      <c r="C814" s="1">
        <v>45461</v>
      </c>
      <c r="D814" s="35">
        <v>115908.86</v>
      </c>
      <c r="E814" s="2" t="s">
        <v>10</v>
      </c>
      <c r="F814" s="2" t="s">
        <v>16</v>
      </c>
      <c r="G814" s="2" t="s">
        <v>24</v>
      </c>
      <c r="H814">
        <v>20</v>
      </c>
      <c r="I814" s="2" t="str">
        <f>TEXT(Sheet1[[#This Row],[claim_date]],"mmmm")</f>
        <v>June</v>
      </c>
      <c r="J814" s="2">
        <f>YEAR(Sheet1[[#This Row],[claim_date]])</f>
        <v>2024</v>
      </c>
      <c r="K814" s="2" t="str">
        <f>"Q"&amp;ROUNDUP(MONTH(Sheet1[[#This Row],[claim_date]])/3,0)</f>
        <v>Q2</v>
      </c>
      <c r="L814" s="2" t="str">
        <f>IF(Sheet1[[#This Row],[claim_amount]]&lt;100000,"Low",IF(Sheet1[[#This Row],[claim_amount]]&lt;200000,"Medium","High"))</f>
        <v>Medium</v>
      </c>
      <c r="M814" s="2" t="str">
        <f>IF(Sheet1[[#This Row],[days_to_process]]&lt;=30,"Fast","Slow")</f>
        <v>Fast</v>
      </c>
    </row>
    <row r="815" spans="1:13" x14ac:dyDescent="0.3">
      <c r="A815" t="s">
        <v>1539</v>
      </c>
      <c r="B815" s="2" t="s">
        <v>1197</v>
      </c>
      <c r="C815" s="1">
        <v>44350</v>
      </c>
      <c r="D815" s="35">
        <v>197311.29</v>
      </c>
      <c r="E815" s="2" t="s">
        <v>19</v>
      </c>
      <c r="F815" s="2" t="s">
        <v>20</v>
      </c>
      <c r="G815" s="2" t="s">
        <v>12</v>
      </c>
      <c r="H815">
        <v>52</v>
      </c>
      <c r="I815" s="2" t="str">
        <f>TEXT(Sheet1[[#This Row],[claim_date]],"mmmm")</f>
        <v>June</v>
      </c>
      <c r="J815" s="2">
        <f>YEAR(Sheet1[[#This Row],[claim_date]])</f>
        <v>2021</v>
      </c>
      <c r="K815" s="2" t="str">
        <f>"Q"&amp;ROUNDUP(MONTH(Sheet1[[#This Row],[claim_date]])/3,0)</f>
        <v>Q2</v>
      </c>
      <c r="L815" s="2" t="str">
        <f>IF(Sheet1[[#This Row],[claim_amount]]&lt;100000,"Low",IF(Sheet1[[#This Row],[claim_amount]]&lt;200000,"Medium","High"))</f>
        <v>Medium</v>
      </c>
      <c r="M815" s="2" t="str">
        <f>IF(Sheet1[[#This Row],[days_to_process]]&lt;=30,"Fast","Slow")</f>
        <v>Slow</v>
      </c>
    </row>
    <row r="816" spans="1:13" x14ac:dyDescent="0.3">
      <c r="A816" t="s">
        <v>1540</v>
      </c>
      <c r="B816" s="2" t="s">
        <v>1541</v>
      </c>
      <c r="C816" s="1">
        <v>45060</v>
      </c>
      <c r="D816" s="35">
        <v>19824.41</v>
      </c>
      <c r="E816" s="2" t="s">
        <v>10</v>
      </c>
      <c r="F816" s="2" t="s">
        <v>16</v>
      </c>
      <c r="G816" s="2" t="s">
        <v>12</v>
      </c>
      <c r="H816">
        <v>39</v>
      </c>
      <c r="I816" s="2" t="str">
        <f>TEXT(Sheet1[[#This Row],[claim_date]],"mmmm")</f>
        <v>May</v>
      </c>
      <c r="J816" s="2">
        <f>YEAR(Sheet1[[#This Row],[claim_date]])</f>
        <v>2023</v>
      </c>
      <c r="K816" s="2" t="str">
        <f>"Q"&amp;ROUNDUP(MONTH(Sheet1[[#This Row],[claim_date]])/3,0)</f>
        <v>Q2</v>
      </c>
      <c r="L816" s="2" t="str">
        <f>IF(Sheet1[[#This Row],[claim_amount]]&lt;100000,"Low",IF(Sheet1[[#This Row],[claim_amount]]&lt;200000,"Medium","High"))</f>
        <v>Low</v>
      </c>
      <c r="M816" s="2" t="str">
        <f>IF(Sheet1[[#This Row],[days_to_process]]&lt;=30,"Fast","Slow")</f>
        <v>Slow</v>
      </c>
    </row>
    <row r="817" spans="1:13" x14ac:dyDescent="0.3">
      <c r="A817" t="s">
        <v>1542</v>
      </c>
      <c r="B817" s="2" t="s">
        <v>1543</v>
      </c>
      <c r="C817" s="1">
        <v>45253</v>
      </c>
      <c r="D817" s="35">
        <v>183730.28</v>
      </c>
      <c r="E817" s="2" t="s">
        <v>15</v>
      </c>
      <c r="F817" s="2" t="s">
        <v>34</v>
      </c>
      <c r="G817" s="2" t="s">
        <v>12</v>
      </c>
      <c r="H817">
        <v>39</v>
      </c>
      <c r="I817" s="2" t="str">
        <f>TEXT(Sheet1[[#This Row],[claim_date]],"mmmm")</f>
        <v>November</v>
      </c>
      <c r="J817" s="2">
        <f>YEAR(Sheet1[[#This Row],[claim_date]])</f>
        <v>2023</v>
      </c>
      <c r="K817" s="2" t="str">
        <f>"Q"&amp;ROUNDUP(MONTH(Sheet1[[#This Row],[claim_date]])/3,0)</f>
        <v>Q4</v>
      </c>
      <c r="L817" s="2" t="str">
        <f>IF(Sheet1[[#This Row],[claim_amount]]&lt;100000,"Low",IF(Sheet1[[#This Row],[claim_amount]]&lt;200000,"Medium","High"))</f>
        <v>Medium</v>
      </c>
      <c r="M817" s="2" t="str">
        <f>IF(Sheet1[[#This Row],[days_to_process]]&lt;=30,"Fast","Slow")</f>
        <v>Slow</v>
      </c>
    </row>
    <row r="818" spans="1:13" x14ac:dyDescent="0.3">
      <c r="A818" t="s">
        <v>1544</v>
      </c>
      <c r="B818" s="2" t="s">
        <v>1545</v>
      </c>
      <c r="C818" s="1">
        <v>45505</v>
      </c>
      <c r="D818" s="35">
        <v>461062.52</v>
      </c>
      <c r="E818" s="2" t="s">
        <v>19</v>
      </c>
      <c r="F818" s="2" t="s">
        <v>16</v>
      </c>
      <c r="G818" s="2" t="s">
        <v>12</v>
      </c>
      <c r="H818">
        <v>24</v>
      </c>
      <c r="I818" s="2" t="str">
        <f>TEXT(Sheet1[[#This Row],[claim_date]],"mmmm")</f>
        <v>August</v>
      </c>
      <c r="J818" s="2">
        <f>YEAR(Sheet1[[#This Row],[claim_date]])</f>
        <v>2024</v>
      </c>
      <c r="K818" s="2" t="str">
        <f>"Q"&amp;ROUNDUP(MONTH(Sheet1[[#This Row],[claim_date]])/3,0)</f>
        <v>Q3</v>
      </c>
      <c r="L818" s="2" t="str">
        <f>IF(Sheet1[[#This Row],[claim_amount]]&lt;100000,"Low",IF(Sheet1[[#This Row],[claim_amount]]&lt;200000,"Medium","High"))</f>
        <v>High</v>
      </c>
      <c r="M818" s="2" t="str">
        <f>IF(Sheet1[[#This Row],[days_to_process]]&lt;=30,"Fast","Slow")</f>
        <v>Fast</v>
      </c>
    </row>
    <row r="819" spans="1:13" x14ac:dyDescent="0.3">
      <c r="A819" t="s">
        <v>1546</v>
      </c>
      <c r="B819" s="2" t="s">
        <v>703</v>
      </c>
      <c r="C819" s="1">
        <v>45315</v>
      </c>
      <c r="D819" s="35">
        <v>476562.16</v>
      </c>
      <c r="E819" s="2" t="s">
        <v>19</v>
      </c>
      <c r="F819" s="2" t="s">
        <v>34</v>
      </c>
      <c r="G819" s="2" t="s">
        <v>12</v>
      </c>
      <c r="H819">
        <v>37</v>
      </c>
      <c r="I819" s="2" t="str">
        <f>TEXT(Sheet1[[#This Row],[claim_date]],"mmmm")</f>
        <v>January</v>
      </c>
      <c r="J819" s="2">
        <f>YEAR(Sheet1[[#This Row],[claim_date]])</f>
        <v>2024</v>
      </c>
      <c r="K819" s="2" t="str">
        <f>"Q"&amp;ROUNDUP(MONTH(Sheet1[[#This Row],[claim_date]])/3,0)</f>
        <v>Q1</v>
      </c>
      <c r="L819" s="2" t="str">
        <f>IF(Sheet1[[#This Row],[claim_amount]]&lt;100000,"Low",IF(Sheet1[[#This Row],[claim_amount]]&lt;200000,"Medium","High"))</f>
        <v>High</v>
      </c>
      <c r="M819" s="2" t="str">
        <f>IF(Sheet1[[#This Row],[days_to_process]]&lt;=30,"Fast","Slow")</f>
        <v>Slow</v>
      </c>
    </row>
    <row r="820" spans="1:13" x14ac:dyDescent="0.3">
      <c r="A820" t="s">
        <v>1547</v>
      </c>
      <c r="B820" s="2" t="s">
        <v>1548</v>
      </c>
      <c r="C820" s="1">
        <v>45513</v>
      </c>
      <c r="D820" s="35">
        <v>354780.05</v>
      </c>
      <c r="E820" s="2" t="s">
        <v>19</v>
      </c>
      <c r="F820" s="2" t="s">
        <v>11</v>
      </c>
      <c r="G820" s="2" t="s">
        <v>24</v>
      </c>
      <c r="H820">
        <v>18</v>
      </c>
      <c r="I820" s="2" t="str">
        <f>TEXT(Sheet1[[#This Row],[claim_date]],"mmmm")</f>
        <v>August</v>
      </c>
      <c r="J820" s="2">
        <f>YEAR(Sheet1[[#This Row],[claim_date]])</f>
        <v>2024</v>
      </c>
      <c r="K820" s="2" t="str">
        <f>"Q"&amp;ROUNDUP(MONTH(Sheet1[[#This Row],[claim_date]])/3,0)</f>
        <v>Q3</v>
      </c>
      <c r="L820" s="2" t="str">
        <f>IF(Sheet1[[#This Row],[claim_amount]]&lt;100000,"Low",IF(Sheet1[[#This Row],[claim_amount]]&lt;200000,"Medium","High"))</f>
        <v>High</v>
      </c>
      <c r="M820" s="2" t="str">
        <f>IF(Sheet1[[#This Row],[days_to_process]]&lt;=30,"Fast","Slow")</f>
        <v>Fast</v>
      </c>
    </row>
    <row r="821" spans="1:13" x14ac:dyDescent="0.3">
      <c r="A821" t="s">
        <v>1549</v>
      </c>
      <c r="B821" s="2" t="s">
        <v>1550</v>
      </c>
      <c r="C821" s="1">
        <v>45698</v>
      </c>
      <c r="D821" s="35">
        <v>46126.62</v>
      </c>
      <c r="E821" s="2" t="s">
        <v>10</v>
      </c>
      <c r="F821" s="2" t="s">
        <v>16</v>
      </c>
      <c r="G821" s="2" t="s">
        <v>12</v>
      </c>
      <c r="H821">
        <v>42</v>
      </c>
      <c r="I821" s="2" t="str">
        <f>TEXT(Sheet1[[#This Row],[claim_date]],"mmmm")</f>
        <v>February</v>
      </c>
      <c r="J821" s="2">
        <f>YEAR(Sheet1[[#This Row],[claim_date]])</f>
        <v>2025</v>
      </c>
      <c r="K821" s="2" t="str">
        <f>"Q"&amp;ROUNDUP(MONTH(Sheet1[[#This Row],[claim_date]])/3,0)</f>
        <v>Q1</v>
      </c>
      <c r="L821" s="2" t="str">
        <f>IF(Sheet1[[#This Row],[claim_amount]]&lt;100000,"Low",IF(Sheet1[[#This Row],[claim_amount]]&lt;200000,"Medium","High"))</f>
        <v>Low</v>
      </c>
      <c r="M821" s="2" t="str">
        <f>IF(Sheet1[[#This Row],[days_to_process]]&lt;=30,"Fast","Slow")</f>
        <v>Slow</v>
      </c>
    </row>
    <row r="822" spans="1:13" x14ac:dyDescent="0.3">
      <c r="A822" t="s">
        <v>1551</v>
      </c>
      <c r="B822" s="2" t="s">
        <v>1552</v>
      </c>
      <c r="C822" s="1">
        <v>45579</v>
      </c>
      <c r="D822" s="35">
        <v>443095.48</v>
      </c>
      <c r="E822" s="2" t="s">
        <v>10</v>
      </c>
      <c r="F822" s="2" t="s">
        <v>23</v>
      </c>
      <c r="G822" s="2" t="s">
        <v>12</v>
      </c>
      <c r="H822">
        <v>13</v>
      </c>
      <c r="I822" s="2" t="str">
        <f>TEXT(Sheet1[[#This Row],[claim_date]],"mmmm")</f>
        <v>October</v>
      </c>
      <c r="J822" s="2">
        <f>YEAR(Sheet1[[#This Row],[claim_date]])</f>
        <v>2024</v>
      </c>
      <c r="K822" s="2" t="str">
        <f>"Q"&amp;ROUNDUP(MONTH(Sheet1[[#This Row],[claim_date]])/3,0)</f>
        <v>Q4</v>
      </c>
      <c r="L822" s="2" t="str">
        <f>IF(Sheet1[[#This Row],[claim_amount]]&lt;100000,"Low",IF(Sheet1[[#This Row],[claim_amount]]&lt;200000,"Medium","High"))</f>
        <v>High</v>
      </c>
      <c r="M822" s="2" t="str">
        <f>IF(Sheet1[[#This Row],[days_to_process]]&lt;=30,"Fast","Slow")</f>
        <v>Fast</v>
      </c>
    </row>
    <row r="823" spans="1:13" x14ac:dyDescent="0.3">
      <c r="A823" t="s">
        <v>1553</v>
      </c>
      <c r="B823" s="2" t="s">
        <v>1554</v>
      </c>
      <c r="C823" s="1">
        <v>45321</v>
      </c>
      <c r="D823" s="35">
        <v>441438.75</v>
      </c>
      <c r="E823" s="2" t="s">
        <v>15</v>
      </c>
      <c r="F823" s="2" t="s">
        <v>20</v>
      </c>
      <c r="G823" s="2" t="s">
        <v>12</v>
      </c>
      <c r="H823">
        <v>59</v>
      </c>
      <c r="I823" s="2" t="str">
        <f>TEXT(Sheet1[[#This Row],[claim_date]],"mmmm")</f>
        <v>January</v>
      </c>
      <c r="J823" s="2">
        <f>YEAR(Sheet1[[#This Row],[claim_date]])</f>
        <v>2024</v>
      </c>
      <c r="K823" s="2" t="str">
        <f>"Q"&amp;ROUNDUP(MONTH(Sheet1[[#This Row],[claim_date]])/3,0)</f>
        <v>Q1</v>
      </c>
      <c r="L823" s="2" t="str">
        <f>IF(Sheet1[[#This Row],[claim_amount]]&lt;100000,"Low",IF(Sheet1[[#This Row],[claim_amount]]&lt;200000,"Medium","High"))</f>
        <v>High</v>
      </c>
      <c r="M823" s="2" t="str">
        <f>IF(Sheet1[[#This Row],[days_to_process]]&lt;=30,"Fast","Slow")</f>
        <v>Slow</v>
      </c>
    </row>
    <row r="824" spans="1:13" x14ac:dyDescent="0.3">
      <c r="A824" t="s">
        <v>1555</v>
      </c>
      <c r="B824" s="2" t="s">
        <v>908</v>
      </c>
      <c r="C824" s="1">
        <v>45131</v>
      </c>
      <c r="D824" s="35">
        <v>273326.07</v>
      </c>
      <c r="E824" s="2" t="s">
        <v>15</v>
      </c>
      <c r="F824" s="2" t="s">
        <v>16</v>
      </c>
      <c r="G824" s="2" t="s">
        <v>12</v>
      </c>
      <c r="H824">
        <v>34</v>
      </c>
      <c r="I824" s="2" t="str">
        <f>TEXT(Sheet1[[#This Row],[claim_date]],"mmmm")</f>
        <v>July</v>
      </c>
      <c r="J824" s="2">
        <f>YEAR(Sheet1[[#This Row],[claim_date]])</f>
        <v>2023</v>
      </c>
      <c r="K824" s="2" t="str">
        <f>"Q"&amp;ROUNDUP(MONTH(Sheet1[[#This Row],[claim_date]])/3,0)</f>
        <v>Q3</v>
      </c>
      <c r="L824" s="2" t="str">
        <f>IF(Sheet1[[#This Row],[claim_amount]]&lt;100000,"Low",IF(Sheet1[[#This Row],[claim_amount]]&lt;200000,"Medium","High"))</f>
        <v>High</v>
      </c>
      <c r="M824" s="2" t="str">
        <f>IF(Sheet1[[#This Row],[days_to_process]]&lt;=30,"Fast","Slow")</f>
        <v>Slow</v>
      </c>
    </row>
    <row r="825" spans="1:13" x14ac:dyDescent="0.3">
      <c r="A825" t="s">
        <v>1556</v>
      </c>
      <c r="B825" s="2" t="s">
        <v>1557</v>
      </c>
      <c r="C825" s="1">
        <v>45297</v>
      </c>
      <c r="D825" s="35">
        <v>416492.42</v>
      </c>
      <c r="E825" s="2" t="s">
        <v>19</v>
      </c>
      <c r="F825" s="2" t="s">
        <v>34</v>
      </c>
      <c r="G825" s="2" t="s">
        <v>24</v>
      </c>
      <c r="H825">
        <v>11</v>
      </c>
      <c r="I825" s="2" t="str">
        <f>TEXT(Sheet1[[#This Row],[claim_date]],"mmmm")</f>
        <v>January</v>
      </c>
      <c r="J825" s="2">
        <f>YEAR(Sheet1[[#This Row],[claim_date]])</f>
        <v>2024</v>
      </c>
      <c r="K825" s="2" t="str">
        <f>"Q"&amp;ROUNDUP(MONTH(Sheet1[[#This Row],[claim_date]])/3,0)</f>
        <v>Q1</v>
      </c>
      <c r="L825" s="2" t="str">
        <f>IF(Sheet1[[#This Row],[claim_amount]]&lt;100000,"Low",IF(Sheet1[[#This Row],[claim_amount]]&lt;200000,"Medium","High"))</f>
        <v>High</v>
      </c>
      <c r="M825" s="2" t="str">
        <f>IF(Sheet1[[#This Row],[days_to_process]]&lt;=30,"Fast","Slow")</f>
        <v>Fast</v>
      </c>
    </row>
    <row r="826" spans="1:13" x14ac:dyDescent="0.3">
      <c r="A826" t="s">
        <v>1558</v>
      </c>
      <c r="B826" s="2" t="s">
        <v>1559</v>
      </c>
      <c r="C826" s="1">
        <v>45762</v>
      </c>
      <c r="D826" s="35">
        <v>478523.21</v>
      </c>
      <c r="E826" s="2" t="s">
        <v>10</v>
      </c>
      <c r="F826" s="2" t="s">
        <v>23</v>
      </c>
      <c r="G826" s="2" t="s">
        <v>12</v>
      </c>
      <c r="H826">
        <v>18</v>
      </c>
      <c r="I826" s="2" t="str">
        <f>TEXT(Sheet1[[#This Row],[claim_date]],"mmmm")</f>
        <v>April</v>
      </c>
      <c r="J826" s="2">
        <f>YEAR(Sheet1[[#This Row],[claim_date]])</f>
        <v>2025</v>
      </c>
      <c r="K826" s="2" t="str">
        <f>"Q"&amp;ROUNDUP(MONTH(Sheet1[[#This Row],[claim_date]])/3,0)</f>
        <v>Q2</v>
      </c>
      <c r="L826" s="2" t="str">
        <f>IF(Sheet1[[#This Row],[claim_amount]]&lt;100000,"Low",IF(Sheet1[[#This Row],[claim_amount]]&lt;200000,"Medium","High"))</f>
        <v>High</v>
      </c>
      <c r="M826" s="2" t="str">
        <f>IF(Sheet1[[#This Row],[days_to_process]]&lt;=30,"Fast","Slow")</f>
        <v>Fast</v>
      </c>
    </row>
    <row r="827" spans="1:13" x14ac:dyDescent="0.3">
      <c r="A827" t="s">
        <v>1560</v>
      </c>
      <c r="B827" s="2" t="s">
        <v>1561</v>
      </c>
      <c r="C827" s="1">
        <v>45538</v>
      </c>
      <c r="D827" s="35">
        <v>239239.16</v>
      </c>
      <c r="E827" s="2" t="s">
        <v>15</v>
      </c>
      <c r="F827" s="2" t="s">
        <v>16</v>
      </c>
      <c r="G827" s="2" t="s">
        <v>24</v>
      </c>
      <c r="H827">
        <v>4</v>
      </c>
      <c r="I827" s="2" t="str">
        <f>TEXT(Sheet1[[#This Row],[claim_date]],"mmmm")</f>
        <v>September</v>
      </c>
      <c r="J827" s="2">
        <f>YEAR(Sheet1[[#This Row],[claim_date]])</f>
        <v>2024</v>
      </c>
      <c r="K827" s="2" t="str">
        <f>"Q"&amp;ROUNDUP(MONTH(Sheet1[[#This Row],[claim_date]])/3,0)</f>
        <v>Q3</v>
      </c>
      <c r="L827" s="2" t="str">
        <f>IF(Sheet1[[#This Row],[claim_amount]]&lt;100000,"Low",IF(Sheet1[[#This Row],[claim_amount]]&lt;200000,"Medium","High"))</f>
        <v>High</v>
      </c>
      <c r="M827" s="2" t="str">
        <f>IF(Sheet1[[#This Row],[days_to_process]]&lt;=30,"Fast","Slow")</f>
        <v>Fast</v>
      </c>
    </row>
    <row r="828" spans="1:13" x14ac:dyDescent="0.3">
      <c r="A828" t="s">
        <v>1562</v>
      </c>
      <c r="B828" s="2" t="s">
        <v>1563</v>
      </c>
      <c r="C828" s="1">
        <v>45230</v>
      </c>
      <c r="D828" s="35">
        <v>18905.36</v>
      </c>
      <c r="E828" s="2" t="s">
        <v>10</v>
      </c>
      <c r="F828" s="2" t="s">
        <v>34</v>
      </c>
      <c r="G828" s="2" t="s">
        <v>12</v>
      </c>
      <c r="H828">
        <v>10</v>
      </c>
      <c r="I828" s="2" t="str">
        <f>TEXT(Sheet1[[#This Row],[claim_date]],"mmmm")</f>
        <v>October</v>
      </c>
      <c r="J828" s="2">
        <f>YEAR(Sheet1[[#This Row],[claim_date]])</f>
        <v>2023</v>
      </c>
      <c r="K828" s="2" t="str">
        <f>"Q"&amp;ROUNDUP(MONTH(Sheet1[[#This Row],[claim_date]])/3,0)</f>
        <v>Q4</v>
      </c>
      <c r="L828" s="2" t="str">
        <f>IF(Sheet1[[#This Row],[claim_amount]]&lt;100000,"Low",IF(Sheet1[[#This Row],[claim_amount]]&lt;200000,"Medium","High"))</f>
        <v>Low</v>
      </c>
      <c r="M828" s="2" t="str">
        <f>IF(Sheet1[[#This Row],[days_to_process]]&lt;=30,"Fast","Slow")</f>
        <v>Fast</v>
      </c>
    </row>
    <row r="829" spans="1:13" x14ac:dyDescent="0.3">
      <c r="A829" t="s">
        <v>1564</v>
      </c>
      <c r="B829" s="2" t="s">
        <v>923</v>
      </c>
      <c r="C829" s="1">
        <v>45333</v>
      </c>
      <c r="D829" s="35">
        <v>494353.9</v>
      </c>
      <c r="E829" s="2" t="s">
        <v>15</v>
      </c>
      <c r="F829" s="2" t="s">
        <v>11</v>
      </c>
      <c r="G829" s="2" t="s">
        <v>12</v>
      </c>
      <c r="H829">
        <v>57</v>
      </c>
      <c r="I829" s="2" t="str">
        <f>TEXT(Sheet1[[#This Row],[claim_date]],"mmmm")</f>
        <v>February</v>
      </c>
      <c r="J829" s="2">
        <f>YEAR(Sheet1[[#This Row],[claim_date]])</f>
        <v>2024</v>
      </c>
      <c r="K829" s="2" t="str">
        <f>"Q"&amp;ROUNDUP(MONTH(Sheet1[[#This Row],[claim_date]])/3,0)</f>
        <v>Q1</v>
      </c>
      <c r="L829" s="2" t="str">
        <f>IF(Sheet1[[#This Row],[claim_amount]]&lt;100000,"Low",IF(Sheet1[[#This Row],[claim_amount]]&lt;200000,"Medium","High"))</f>
        <v>High</v>
      </c>
      <c r="M829" s="2" t="str">
        <f>IF(Sheet1[[#This Row],[days_to_process]]&lt;=30,"Fast","Slow")</f>
        <v>Slow</v>
      </c>
    </row>
    <row r="830" spans="1:13" x14ac:dyDescent="0.3">
      <c r="A830" t="s">
        <v>1565</v>
      </c>
      <c r="B830" s="2" t="s">
        <v>1566</v>
      </c>
      <c r="C830" s="1">
        <v>45440</v>
      </c>
      <c r="D830" s="35">
        <v>365637.41</v>
      </c>
      <c r="E830" s="2" t="s">
        <v>19</v>
      </c>
      <c r="F830" s="2" t="s">
        <v>11</v>
      </c>
      <c r="G830" s="2" t="s">
        <v>12</v>
      </c>
      <c r="H830">
        <v>29</v>
      </c>
      <c r="I830" s="2" t="str">
        <f>TEXT(Sheet1[[#This Row],[claim_date]],"mmmm")</f>
        <v>May</v>
      </c>
      <c r="J830" s="2">
        <f>YEAR(Sheet1[[#This Row],[claim_date]])</f>
        <v>2024</v>
      </c>
      <c r="K830" s="2" t="str">
        <f>"Q"&amp;ROUNDUP(MONTH(Sheet1[[#This Row],[claim_date]])/3,0)</f>
        <v>Q2</v>
      </c>
      <c r="L830" s="2" t="str">
        <f>IF(Sheet1[[#This Row],[claim_amount]]&lt;100000,"Low",IF(Sheet1[[#This Row],[claim_amount]]&lt;200000,"Medium","High"))</f>
        <v>High</v>
      </c>
      <c r="M830" s="2" t="str">
        <f>IF(Sheet1[[#This Row],[days_to_process]]&lt;=30,"Fast","Slow")</f>
        <v>Fast</v>
      </c>
    </row>
    <row r="831" spans="1:13" x14ac:dyDescent="0.3">
      <c r="A831" t="s">
        <v>1567</v>
      </c>
      <c r="B831" s="2" t="s">
        <v>1568</v>
      </c>
      <c r="C831" s="1">
        <v>45397</v>
      </c>
      <c r="D831" s="35">
        <v>135672.17000000001</v>
      </c>
      <c r="E831" s="2" t="s">
        <v>15</v>
      </c>
      <c r="F831" s="2" t="s">
        <v>34</v>
      </c>
      <c r="G831" s="2" t="s">
        <v>12</v>
      </c>
      <c r="H831">
        <v>2</v>
      </c>
      <c r="I831" s="2" t="str">
        <f>TEXT(Sheet1[[#This Row],[claim_date]],"mmmm")</f>
        <v>April</v>
      </c>
      <c r="J831" s="2">
        <f>YEAR(Sheet1[[#This Row],[claim_date]])</f>
        <v>2024</v>
      </c>
      <c r="K831" s="2" t="str">
        <f>"Q"&amp;ROUNDUP(MONTH(Sheet1[[#This Row],[claim_date]])/3,0)</f>
        <v>Q2</v>
      </c>
      <c r="L831" s="2" t="str">
        <f>IF(Sheet1[[#This Row],[claim_amount]]&lt;100000,"Low",IF(Sheet1[[#This Row],[claim_amount]]&lt;200000,"Medium","High"))</f>
        <v>Medium</v>
      </c>
      <c r="M831" s="2" t="str">
        <f>IF(Sheet1[[#This Row],[days_to_process]]&lt;=30,"Fast","Slow")</f>
        <v>Fast</v>
      </c>
    </row>
    <row r="832" spans="1:13" x14ac:dyDescent="0.3">
      <c r="A832" t="s">
        <v>1569</v>
      </c>
      <c r="B832" s="2" t="s">
        <v>1570</v>
      </c>
      <c r="C832" s="1">
        <v>45253</v>
      </c>
      <c r="D832" s="35">
        <v>30193.75</v>
      </c>
      <c r="E832" s="2" t="s">
        <v>10</v>
      </c>
      <c r="F832" s="2" t="s">
        <v>20</v>
      </c>
      <c r="G832" s="2" t="s">
        <v>12</v>
      </c>
      <c r="H832">
        <v>34</v>
      </c>
      <c r="I832" s="2" t="str">
        <f>TEXT(Sheet1[[#This Row],[claim_date]],"mmmm")</f>
        <v>November</v>
      </c>
      <c r="J832" s="2">
        <f>YEAR(Sheet1[[#This Row],[claim_date]])</f>
        <v>2023</v>
      </c>
      <c r="K832" s="2" t="str">
        <f>"Q"&amp;ROUNDUP(MONTH(Sheet1[[#This Row],[claim_date]])/3,0)</f>
        <v>Q4</v>
      </c>
      <c r="L832" s="2" t="str">
        <f>IF(Sheet1[[#This Row],[claim_amount]]&lt;100000,"Low",IF(Sheet1[[#This Row],[claim_amount]]&lt;200000,"Medium","High"))</f>
        <v>Low</v>
      </c>
      <c r="M832" s="2" t="str">
        <f>IF(Sheet1[[#This Row],[days_to_process]]&lt;=30,"Fast","Slow")</f>
        <v>Slow</v>
      </c>
    </row>
    <row r="833" spans="1:13" x14ac:dyDescent="0.3">
      <c r="A833" t="s">
        <v>1571</v>
      </c>
      <c r="B833" s="2" t="s">
        <v>1572</v>
      </c>
      <c r="C833" s="1">
        <v>45232</v>
      </c>
      <c r="D833" s="35">
        <v>233732.89</v>
      </c>
      <c r="E833" s="2" t="s">
        <v>15</v>
      </c>
      <c r="F833" s="2" t="s">
        <v>34</v>
      </c>
      <c r="G833" s="2" t="s">
        <v>24</v>
      </c>
      <c r="H833">
        <v>46</v>
      </c>
      <c r="I833" s="2" t="str">
        <f>TEXT(Sheet1[[#This Row],[claim_date]],"mmmm")</f>
        <v>November</v>
      </c>
      <c r="J833" s="2">
        <f>YEAR(Sheet1[[#This Row],[claim_date]])</f>
        <v>2023</v>
      </c>
      <c r="K833" s="2" t="str">
        <f>"Q"&amp;ROUNDUP(MONTH(Sheet1[[#This Row],[claim_date]])/3,0)</f>
        <v>Q4</v>
      </c>
      <c r="L833" s="2" t="str">
        <f>IF(Sheet1[[#This Row],[claim_amount]]&lt;100000,"Low",IF(Sheet1[[#This Row],[claim_amount]]&lt;200000,"Medium","High"))</f>
        <v>High</v>
      </c>
      <c r="M833" s="2" t="str">
        <f>IF(Sheet1[[#This Row],[days_to_process]]&lt;=30,"Fast","Slow")</f>
        <v>Slow</v>
      </c>
    </row>
    <row r="834" spans="1:13" x14ac:dyDescent="0.3">
      <c r="A834" t="s">
        <v>1573</v>
      </c>
      <c r="B834" s="2" t="s">
        <v>1574</v>
      </c>
      <c r="C834" s="1">
        <v>45468</v>
      </c>
      <c r="D834" s="35">
        <v>46075.199999999997</v>
      </c>
      <c r="E834" s="2" t="s">
        <v>10</v>
      </c>
      <c r="F834" s="2" t="s">
        <v>11</v>
      </c>
      <c r="G834" s="2" t="s">
        <v>12</v>
      </c>
      <c r="H834">
        <v>5</v>
      </c>
      <c r="I834" s="2" t="str">
        <f>TEXT(Sheet1[[#This Row],[claim_date]],"mmmm")</f>
        <v>June</v>
      </c>
      <c r="J834" s="2">
        <f>YEAR(Sheet1[[#This Row],[claim_date]])</f>
        <v>2024</v>
      </c>
      <c r="K834" s="2" t="str">
        <f>"Q"&amp;ROUNDUP(MONTH(Sheet1[[#This Row],[claim_date]])/3,0)</f>
        <v>Q2</v>
      </c>
      <c r="L834" s="2" t="str">
        <f>IF(Sheet1[[#This Row],[claim_amount]]&lt;100000,"Low",IF(Sheet1[[#This Row],[claim_amount]]&lt;200000,"Medium","High"))</f>
        <v>Low</v>
      </c>
      <c r="M834" s="2" t="str">
        <f>IF(Sheet1[[#This Row],[days_to_process]]&lt;=30,"Fast","Slow")</f>
        <v>Fast</v>
      </c>
    </row>
    <row r="835" spans="1:13" x14ac:dyDescent="0.3">
      <c r="A835" t="s">
        <v>1575</v>
      </c>
      <c r="B835" s="2" t="s">
        <v>1576</v>
      </c>
      <c r="C835" s="1">
        <v>45243</v>
      </c>
      <c r="D835" s="35">
        <v>452201.34</v>
      </c>
      <c r="E835" s="2" t="s">
        <v>15</v>
      </c>
      <c r="F835" s="2" t="s">
        <v>20</v>
      </c>
      <c r="G835" s="2" t="s">
        <v>12</v>
      </c>
      <c r="H835">
        <v>39</v>
      </c>
      <c r="I835" s="2" t="str">
        <f>TEXT(Sheet1[[#This Row],[claim_date]],"mmmm")</f>
        <v>November</v>
      </c>
      <c r="J835" s="2">
        <f>YEAR(Sheet1[[#This Row],[claim_date]])</f>
        <v>2023</v>
      </c>
      <c r="K835" s="2" t="str">
        <f>"Q"&amp;ROUNDUP(MONTH(Sheet1[[#This Row],[claim_date]])/3,0)</f>
        <v>Q4</v>
      </c>
      <c r="L835" s="2" t="str">
        <f>IF(Sheet1[[#This Row],[claim_amount]]&lt;100000,"Low",IF(Sheet1[[#This Row],[claim_amount]]&lt;200000,"Medium","High"))</f>
        <v>High</v>
      </c>
      <c r="M835" s="2" t="str">
        <f>IF(Sheet1[[#This Row],[days_to_process]]&lt;=30,"Fast","Slow")</f>
        <v>Slow</v>
      </c>
    </row>
    <row r="836" spans="1:13" x14ac:dyDescent="0.3">
      <c r="A836" t="s">
        <v>1577</v>
      </c>
      <c r="B836" s="2" t="s">
        <v>1578</v>
      </c>
      <c r="C836" s="1">
        <v>45451</v>
      </c>
      <c r="D836" s="35">
        <v>270201.88</v>
      </c>
      <c r="E836" s="2" t="s">
        <v>19</v>
      </c>
      <c r="F836" s="2" t="s">
        <v>34</v>
      </c>
      <c r="G836" s="2" t="s">
        <v>12</v>
      </c>
      <c r="H836">
        <v>50</v>
      </c>
      <c r="I836" s="2" t="str">
        <f>TEXT(Sheet1[[#This Row],[claim_date]],"mmmm")</f>
        <v>June</v>
      </c>
      <c r="J836" s="2">
        <f>YEAR(Sheet1[[#This Row],[claim_date]])</f>
        <v>2024</v>
      </c>
      <c r="K836" s="2" t="str">
        <f>"Q"&amp;ROUNDUP(MONTH(Sheet1[[#This Row],[claim_date]])/3,0)</f>
        <v>Q2</v>
      </c>
      <c r="L836" s="2" t="str">
        <f>IF(Sheet1[[#This Row],[claim_amount]]&lt;100000,"Low",IF(Sheet1[[#This Row],[claim_amount]]&lt;200000,"Medium","High"))</f>
        <v>High</v>
      </c>
      <c r="M836" s="2" t="str">
        <f>IF(Sheet1[[#This Row],[days_to_process]]&lt;=30,"Fast","Slow")</f>
        <v>Slow</v>
      </c>
    </row>
    <row r="837" spans="1:13" x14ac:dyDescent="0.3">
      <c r="A837" t="s">
        <v>1579</v>
      </c>
      <c r="B837" s="2" t="s">
        <v>1580</v>
      </c>
      <c r="C837" s="1">
        <v>45075</v>
      </c>
      <c r="D837" s="35">
        <v>278569.69</v>
      </c>
      <c r="E837" s="2" t="s">
        <v>10</v>
      </c>
      <c r="F837" s="2" t="s">
        <v>16</v>
      </c>
      <c r="G837" s="2" t="s">
        <v>12</v>
      </c>
      <c r="H837">
        <v>39</v>
      </c>
      <c r="I837" s="2" t="str">
        <f>TEXT(Sheet1[[#This Row],[claim_date]],"mmmm")</f>
        <v>May</v>
      </c>
      <c r="J837" s="2">
        <f>YEAR(Sheet1[[#This Row],[claim_date]])</f>
        <v>2023</v>
      </c>
      <c r="K837" s="2" t="str">
        <f>"Q"&amp;ROUNDUP(MONTH(Sheet1[[#This Row],[claim_date]])/3,0)</f>
        <v>Q2</v>
      </c>
      <c r="L837" s="2" t="str">
        <f>IF(Sheet1[[#This Row],[claim_amount]]&lt;100000,"Low",IF(Sheet1[[#This Row],[claim_amount]]&lt;200000,"Medium","High"))</f>
        <v>High</v>
      </c>
      <c r="M837" s="2" t="str">
        <f>IF(Sheet1[[#This Row],[days_to_process]]&lt;=30,"Fast","Slow")</f>
        <v>Slow</v>
      </c>
    </row>
    <row r="838" spans="1:13" x14ac:dyDescent="0.3">
      <c r="A838" t="s">
        <v>1581</v>
      </c>
      <c r="B838" s="2" t="s">
        <v>1582</v>
      </c>
      <c r="C838" s="1">
        <v>45150</v>
      </c>
      <c r="D838" s="35">
        <v>339899.29</v>
      </c>
      <c r="E838" s="2" t="s">
        <v>10</v>
      </c>
      <c r="F838" s="2" t="s">
        <v>11</v>
      </c>
      <c r="G838" s="2" t="s">
        <v>12</v>
      </c>
      <c r="H838">
        <v>56</v>
      </c>
      <c r="I838" s="2" t="str">
        <f>TEXT(Sheet1[[#This Row],[claim_date]],"mmmm")</f>
        <v>August</v>
      </c>
      <c r="J838" s="2">
        <f>YEAR(Sheet1[[#This Row],[claim_date]])</f>
        <v>2023</v>
      </c>
      <c r="K838" s="2" t="str">
        <f>"Q"&amp;ROUNDUP(MONTH(Sheet1[[#This Row],[claim_date]])/3,0)</f>
        <v>Q3</v>
      </c>
      <c r="L838" s="2" t="str">
        <f>IF(Sheet1[[#This Row],[claim_amount]]&lt;100000,"Low",IF(Sheet1[[#This Row],[claim_amount]]&lt;200000,"Medium","High"))</f>
        <v>High</v>
      </c>
      <c r="M838" s="2" t="str">
        <f>IF(Sheet1[[#This Row],[days_to_process]]&lt;=30,"Fast","Slow")</f>
        <v>Slow</v>
      </c>
    </row>
    <row r="839" spans="1:13" x14ac:dyDescent="0.3">
      <c r="A839" t="s">
        <v>1583</v>
      </c>
      <c r="B839" s="2" t="s">
        <v>810</v>
      </c>
      <c r="C839" s="1">
        <v>45275</v>
      </c>
      <c r="D839" s="35">
        <v>183892.44</v>
      </c>
      <c r="E839" s="2" t="s">
        <v>10</v>
      </c>
      <c r="F839" s="2" t="s">
        <v>34</v>
      </c>
      <c r="G839" s="2" t="s">
        <v>12</v>
      </c>
      <c r="H839">
        <v>49</v>
      </c>
      <c r="I839" s="2" t="str">
        <f>TEXT(Sheet1[[#This Row],[claim_date]],"mmmm")</f>
        <v>December</v>
      </c>
      <c r="J839" s="2">
        <f>YEAR(Sheet1[[#This Row],[claim_date]])</f>
        <v>2023</v>
      </c>
      <c r="K839" s="2" t="str">
        <f>"Q"&amp;ROUNDUP(MONTH(Sheet1[[#This Row],[claim_date]])/3,0)</f>
        <v>Q4</v>
      </c>
      <c r="L839" s="2" t="str">
        <f>IF(Sheet1[[#This Row],[claim_amount]]&lt;100000,"Low",IF(Sheet1[[#This Row],[claim_amount]]&lt;200000,"Medium","High"))</f>
        <v>Medium</v>
      </c>
      <c r="M839" s="2" t="str">
        <f>IF(Sheet1[[#This Row],[days_to_process]]&lt;=30,"Fast","Slow")</f>
        <v>Slow</v>
      </c>
    </row>
    <row r="840" spans="1:13" x14ac:dyDescent="0.3">
      <c r="A840" t="s">
        <v>1584</v>
      </c>
      <c r="B840" s="2" t="s">
        <v>1585</v>
      </c>
      <c r="C840" s="1">
        <v>45073</v>
      </c>
      <c r="D840" s="35">
        <v>208566.61</v>
      </c>
      <c r="E840" s="2" t="s">
        <v>10</v>
      </c>
      <c r="F840" s="2" t="s">
        <v>23</v>
      </c>
      <c r="G840" s="2" t="s">
        <v>24</v>
      </c>
      <c r="H840">
        <v>40</v>
      </c>
      <c r="I840" s="2" t="str">
        <f>TEXT(Sheet1[[#This Row],[claim_date]],"mmmm")</f>
        <v>May</v>
      </c>
      <c r="J840" s="2">
        <f>YEAR(Sheet1[[#This Row],[claim_date]])</f>
        <v>2023</v>
      </c>
      <c r="K840" s="2" t="str">
        <f>"Q"&amp;ROUNDUP(MONTH(Sheet1[[#This Row],[claim_date]])/3,0)</f>
        <v>Q2</v>
      </c>
      <c r="L840" s="2" t="str">
        <f>IF(Sheet1[[#This Row],[claim_amount]]&lt;100000,"Low",IF(Sheet1[[#This Row],[claim_amount]]&lt;200000,"Medium","High"))</f>
        <v>High</v>
      </c>
      <c r="M840" s="2" t="str">
        <f>IF(Sheet1[[#This Row],[days_to_process]]&lt;=30,"Fast","Slow")</f>
        <v>Slow</v>
      </c>
    </row>
    <row r="841" spans="1:13" x14ac:dyDescent="0.3">
      <c r="A841" t="s">
        <v>1586</v>
      </c>
      <c r="B841" s="2" t="s">
        <v>1587</v>
      </c>
      <c r="C841" s="1">
        <v>45698</v>
      </c>
      <c r="D841" s="35">
        <v>105679.5</v>
      </c>
      <c r="E841" s="2" t="s">
        <v>19</v>
      </c>
      <c r="F841" s="2" t="s">
        <v>11</v>
      </c>
      <c r="G841" s="2" t="s">
        <v>24</v>
      </c>
      <c r="H841">
        <v>17</v>
      </c>
      <c r="I841" s="2" t="str">
        <f>TEXT(Sheet1[[#This Row],[claim_date]],"mmmm")</f>
        <v>February</v>
      </c>
      <c r="J841" s="2">
        <f>YEAR(Sheet1[[#This Row],[claim_date]])</f>
        <v>2025</v>
      </c>
      <c r="K841" s="2" t="str">
        <f>"Q"&amp;ROUNDUP(MONTH(Sheet1[[#This Row],[claim_date]])/3,0)</f>
        <v>Q1</v>
      </c>
      <c r="L841" s="2" t="str">
        <f>IF(Sheet1[[#This Row],[claim_amount]]&lt;100000,"Low",IF(Sheet1[[#This Row],[claim_amount]]&lt;200000,"Medium","High"))</f>
        <v>Medium</v>
      </c>
      <c r="M841" s="2" t="str">
        <f>IF(Sheet1[[#This Row],[days_to_process]]&lt;=30,"Fast","Slow")</f>
        <v>Fast</v>
      </c>
    </row>
    <row r="842" spans="1:13" x14ac:dyDescent="0.3">
      <c r="A842" t="s">
        <v>1588</v>
      </c>
      <c r="B842" s="2" t="s">
        <v>1589</v>
      </c>
      <c r="C842" s="1">
        <v>45320</v>
      </c>
      <c r="D842" s="35">
        <v>219007.51</v>
      </c>
      <c r="E842" s="2" t="s">
        <v>10</v>
      </c>
      <c r="F842" s="2" t="s">
        <v>23</v>
      </c>
      <c r="G842" s="2" t="s">
        <v>24</v>
      </c>
      <c r="H842">
        <v>47</v>
      </c>
      <c r="I842" s="2" t="str">
        <f>TEXT(Sheet1[[#This Row],[claim_date]],"mmmm")</f>
        <v>January</v>
      </c>
      <c r="J842" s="2">
        <f>YEAR(Sheet1[[#This Row],[claim_date]])</f>
        <v>2024</v>
      </c>
      <c r="K842" s="2" t="str">
        <f>"Q"&amp;ROUNDUP(MONTH(Sheet1[[#This Row],[claim_date]])/3,0)</f>
        <v>Q1</v>
      </c>
      <c r="L842" s="2" t="str">
        <f>IF(Sheet1[[#This Row],[claim_amount]]&lt;100000,"Low",IF(Sheet1[[#This Row],[claim_amount]]&lt;200000,"Medium","High"))</f>
        <v>High</v>
      </c>
      <c r="M842" s="2" t="str">
        <f>IF(Sheet1[[#This Row],[days_to_process]]&lt;=30,"Fast","Slow")</f>
        <v>Slow</v>
      </c>
    </row>
    <row r="843" spans="1:13" x14ac:dyDescent="0.3">
      <c r="A843" t="s">
        <v>1590</v>
      </c>
      <c r="B843" s="2" t="s">
        <v>1591</v>
      </c>
      <c r="C843" s="1">
        <v>44559</v>
      </c>
      <c r="D843" s="35">
        <v>191311.61</v>
      </c>
      <c r="E843" s="2" t="s">
        <v>10</v>
      </c>
      <c r="F843" s="2" t="s">
        <v>16</v>
      </c>
      <c r="G843" s="2" t="s">
        <v>12</v>
      </c>
      <c r="H843">
        <v>11</v>
      </c>
      <c r="I843" s="2" t="str">
        <f>TEXT(Sheet1[[#This Row],[claim_date]],"mmmm")</f>
        <v>December</v>
      </c>
      <c r="J843" s="2">
        <f>YEAR(Sheet1[[#This Row],[claim_date]])</f>
        <v>2021</v>
      </c>
      <c r="K843" s="2" t="str">
        <f>"Q"&amp;ROUNDUP(MONTH(Sheet1[[#This Row],[claim_date]])/3,0)</f>
        <v>Q4</v>
      </c>
      <c r="L843" s="2" t="str">
        <f>IF(Sheet1[[#This Row],[claim_amount]]&lt;100000,"Low",IF(Sheet1[[#This Row],[claim_amount]]&lt;200000,"Medium","High"))</f>
        <v>Medium</v>
      </c>
      <c r="M843" s="2" t="str">
        <f>IF(Sheet1[[#This Row],[days_to_process]]&lt;=30,"Fast","Slow")</f>
        <v>Fast</v>
      </c>
    </row>
    <row r="844" spans="1:13" x14ac:dyDescent="0.3">
      <c r="A844" t="s">
        <v>1592</v>
      </c>
      <c r="B844" s="2" t="s">
        <v>1593</v>
      </c>
      <c r="C844" s="1">
        <v>44995</v>
      </c>
      <c r="D844" s="35">
        <v>167642.79</v>
      </c>
      <c r="E844" s="2" t="s">
        <v>19</v>
      </c>
      <c r="F844" s="2" t="s">
        <v>11</v>
      </c>
      <c r="G844" s="2" t="s">
        <v>24</v>
      </c>
      <c r="H844">
        <v>25</v>
      </c>
      <c r="I844" s="2" t="str">
        <f>TEXT(Sheet1[[#This Row],[claim_date]],"mmmm")</f>
        <v>March</v>
      </c>
      <c r="J844" s="2">
        <f>YEAR(Sheet1[[#This Row],[claim_date]])</f>
        <v>2023</v>
      </c>
      <c r="K844" s="2" t="str">
        <f>"Q"&amp;ROUNDUP(MONTH(Sheet1[[#This Row],[claim_date]])/3,0)</f>
        <v>Q1</v>
      </c>
      <c r="L844" s="2" t="str">
        <f>IF(Sheet1[[#This Row],[claim_amount]]&lt;100000,"Low",IF(Sheet1[[#This Row],[claim_amount]]&lt;200000,"Medium","High"))</f>
        <v>Medium</v>
      </c>
      <c r="M844" s="2" t="str">
        <f>IF(Sheet1[[#This Row],[days_to_process]]&lt;=30,"Fast","Slow")</f>
        <v>Fast</v>
      </c>
    </row>
    <row r="845" spans="1:13" x14ac:dyDescent="0.3">
      <c r="A845" t="s">
        <v>1594</v>
      </c>
      <c r="B845" s="2" t="s">
        <v>1595</v>
      </c>
      <c r="C845" s="1">
        <v>45483</v>
      </c>
      <c r="D845" s="35">
        <v>169887.9</v>
      </c>
      <c r="E845" s="2" t="s">
        <v>10</v>
      </c>
      <c r="F845" s="2" t="s">
        <v>16</v>
      </c>
      <c r="G845" s="2" t="s">
        <v>12</v>
      </c>
      <c r="H845">
        <v>41</v>
      </c>
      <c r="I845" s="2" t="str">
        <f>TEXT(Sheet1[[#This Row],[claim_date]],"mmmm")</f>
        <v>July</v>
      </c>
      <c r="J845" s="2">
        <f>YEAR(Sheet1[[#This Row],[claim_date]])</f>
        <v>2024</v>
      </c>
      <c r="K845" s="2" t="str">
        <f>"Q"&amp;ROUNDUP(MONTH(Sheet1[[#This Row],[claim_date]])/3,0)</f>
        <v>Q3</v>
      </c>
      <c r="L845" s="2" t="str">
        <f>IF(Sheet1[[#This Row],[claim_amount]]&lt;100000,"Low",IF(Sheet1[[#This Row],[claim_amount]]&lt;200000,"Medium","High"))</f>
        <v>Medium</v>
      </c>
      <c r="M845" s="2" t="str">
        <f>IF(Sheet1[[#This Row],[days_to_process]]&lt;=30,"Fast","Slow")</f>
        <v>Slow</v>
      </c>
    </row>
    <row r="846" spans="1:13" x14ac:dyDescent="0.3">
      <c r="A846" t="s">
        <v>1596</v>
      </c>
      <c r="B846" s="2" t="s">
        <v>1597</v>
      </c>
      <c r="C846" s="1">
        <v>45605</v>
      </c>
      <c r="D846" s="35">
        <v>55533.57</v>
      </c>
      <c r="E846" s="2" t="s">
        <v>19</v>
      </c>
      <c r="F846" s="2" t="s">
        <v>23</v>
      </c>
      <c r="G846" s="2" t="s">
        <v>12</v>
      </c>
      <c r="H846">
        <v>56</v>
      </c>
      <c r="I846" s="2" t="str">
        <f>TEXT(Sheet1[[#This Row],[claim_date]],"mmmm")</f>
        <v>November</v>
      </c>
      <c r="J846" s="2">
        <f>YEAR(Sheet1[[#This Row],[claim_date]])</f>
        <v>2024</v>
      </c>
      <c r="K846" s="2" t="str">
        <f>"Q"&amp;ROUNDUP(MONTH(Sheet1[[#This Row],[claim_date]])/3,0)</f>
        <v>Q4</v>
      </c>
      <c r="L846" s="2" t="str">
        <f>IF(Sheet1[[#This Row],[claim_amount]]&lt;100000,"Low",IF(Sheet1[[#This Row],[claim_amount]]&lt;200000,"Medium","High"))</f>
        <v>Low</v>
      </c>
      <c r="M846" s="2" t="str">
        <f>IF(Sheet1[[#This Row],[days_to_process]]&lt;=30,"Fast","Slow")</f>
        <v>Slow</v>
      </c>
    </row>
    <row r="847" spans="1:13" x14ac:dyDescent="0.3">
      <c r="A847" t="s">
        <v>1598</v>
      </c>
      <c r="B847" s="2" t="s">
        <v>1365</v>
      </c>
      <c r="C847" s="1">
        <v>45467</v>
      </c>
      <c r="D847" s="35">
        <v>124968.58</v>
      </c>
      <c r="E847" s="2" t="s">
        <v>15</v>
      </c>
      <c r="F847" s="2" t="s">
        <v>34</v>
      </c>
      <c r="G847" s="2" t="s">
        <v>12</v>
      </c>
      <c r="H847">
        <v>58</v>
      </c>
      <c r="I847" s="2" t="str">
        <f>TEXT(Sheet1[[#This Row],[claim_date]],"mmmm")</f>
        <v>June</v>
      </c>
      <c r="J847" s="2">
        <f>YEAR(Sheet1[[#This Row],[claim_date]])</f>
        <v>2024</v>
      </c>
      <c r="K847" s="2" t="str">
        <f>"Q"&amp;ROUNDUP(MONTH(Sheet1[[#This Row],[claim_date]])/3,0)</f>
        <v>Q2</v>
      </c>
      <c r="L847" s="2" t="str">
        <f>IF(Sheet1[[#This Row],[claim_amount]]&lt;100000,"Low",IF(Sheet1[[#This Row],[claim_amount]]&lt;200000,"Medium","High"))</f>
        <v>Medium</v>
      </c>
      <c r="M847" s="2" t="str">
        <f>IF(Sheet1[[#This Row],[days_to_process]]&lt;=30,"Fast","Slow")</f>
        <v>Slow</v>
      </c>
    </row>
    <row r="848" spans="1:13" x14ac:dyDescent="0.3">
      <c r="A848" t="s">
        <v>1599</v>
      </c>
      <c r="B848" s="2" t="s">
        <v>1600</v>
      </c>
      <c r="C848" s="1">
        <v>45232</v>
      </c>
      <c r="D848" s="35">
        <v>110220.4</v>
      </c>
      <c r="E848" s="2" t="s">
        <v>10</v>
      </c>
      <c r="F848" s="2" t="s">
        <v>20</v>
      </c>
      <c r="G848" s="2" t="s">
        <v>24</v>
      </c>
      <c r="H848">
        <v>17</v>
      </c>
      <c r="I848" s="2" t="str">
        <f>TEXT(Sheet1[[#This Row],[claim_date]],"mmmm")</f>
        <v>November</v>
      </c>
      <c r="J848" s="2">
        <f>YEAR(Sheet1[[#This Row],[claim_date]])</f>
        <v>2023</v>
      </c>
      <c r="K848" s="2" t="str">
        <f>"Q"&amp;ROUNDUP(MONTH(Sheet1[[#This Row],[claim_date]])/3,0)</f>
        <v>Q4</v>
      </c>
      <c r="L848" s="2" t="str">
        <f>IF(Sheet1[[#This Row],[claim_amount]]&lt;100000,"Low",IF(Sheet1[[#This Row],[claim_amount]]&lt;200000,"Medium","High"))</f>
        <v>Medium</v>
      </c>
      <c r="M848" s="2" t="str">
        <f>IF(Sheet1[[#This Row],[days_to_process]]&lt;=30,"Fast","Slow")</f>
        <v>Fast</v>
      </c>
    </row>
    <row r="849" spans="1:13" x14ac:dyDescent="0.3">
      <c r="A849" t="s">
        <v>1601</v>
      </c>
      <c r="B849" s="2" t="s">
        <v>1602</v>
      </c>
      <c r="C849" s="1">
        <v>44445</v>
      </c>
      <c r="D849" s="35">
        <v>99694.080000000002</v>
      </c>
      <c r="E849" s="2" t="s">
        <v>15</v>
      </c>
      <c r="F849" s="2" t="s">
        <v>11</v>
      </c>
      <c r="G849" s="2" t="s">
        <v>12</v>
      </c>
      <c r="H849">
        <v>39</v>
      </c>
      <c r="I849" s="2" t="str">
        <f>TEXT(Sheet1[[#This Row],[claim_date]],"mmmm")</f>
        <v>September</v>
      </c>
      <c r="J849" s="2">
        <f>YEAR(Sheet1[[#This Row],[claim_date]])</f>
        <v>2021</v>
      </c>
      <c r="K849" s="2" t="str">
        <f>"Q"&amp;ROUNDUP(MONTH(Sheet1[[#This Row],[claim_date]])/3,0)</f>
        <v>Q3</v>
      </c>
      <c r="L849" s="2" t="str">
        <f>IF(Sheet1[[#This Row],[claim_amount]]&lt;100000,"Low",IF(Sheet1[[#This Row],[claim_amount]]&lt;200000,"Medium","High"))</f>
        <v>Low</v>
      </c>
      <c r="M849" s="2" t="str">
        <f>IF(Sheet1[[#This Row],[days_to_process]]&lt;=30,"Fast","Slow")</f>
        <v>Slow</v>
      </c>
    </row>
    <row r="850" spans="1:13" x14ac:dyDescent="0.3">
      <c r="A850" t="s">
        <v>1603</v>
      </c>
      <c r="B850" s="2" t="s">
        <v>1604</v>
      </c>
      <c r="C850" s="1">
        <v>45322</v>
      </c>
      <c r="D850" s="35">
        <v>200527.17</v>
      </c>
      <c r="E850" s="2" t="s">
        <v>19</v>
      </c>
      <c r="F850" s="2" t="s">
        <v>16</v>
      </c>
      <c r="G850" s="2" t="s">
        <v>12</v>
      </c>
      <c r="H850">
        <v>17</v>
      </c>
      <c r="I850" s="2" t="str">
        <f>TEXT(Sheet1[[#This Row],[claim_date]],"mmmm")</f>
        <v>January</v>
      </c>
      <c r="J850" s="2">
        <f>YEAR(Sheet1[[#This Row],[claim_date]])</f>
        <v>2024</v>
      </c>
      <c r="K850" s="2" t="str">
        <f>"Q"&amp;ROUNDUP(MONTH(Sheet1[[#This Row],[claim_date]])/3,0)</f>
        <v>Q1</v>
      </c>
      <c r="L850" s="2" t="str">
        <f>IF(Sheet1[[#This Row],[claim_amount]]&lt;100000,"Low",IF(Sheet1[[#This Row],[claim_amount]]&lt;200000,"Medium","High"))</f>
        <v>High</v>
      </c>
      <c r="M850" s="2" t="str">
        <f>IF(Sheet1[[#This Row],[days_to_process]]&lt;=30,"Fast","Slow")</f>
        <v>Fast</v>
      </c>
    </row>
    <row r="851" spans="1:13" x14ac:dyDescent="0.3">
      <c r="A851" t="s">
        <v>1605</v>
      </c>
      <c r="B851" s="2" t="s">
        <v>857</v>
      </c>
      <c r="C851" s="1">
        <v>45402</v>
      </c>
      <c r="D851" s="35">
        <v>220802.92</v>
      </c>
      <c r="E851" s="2" t="s">
        <v>15</v>
      </c>
      <c r="F851" s="2" t="s">
        <v>23</v>
      </c>
      <c r="G851" s="2" t="s">
        <v>24</v>
      </c>
      <c r="H851">
        <v>4</v>
      </c>
      <c r="I851" s="2" t="str">
        <f>TEXT(Sheet1[[#This Row],[claim_date]],"mmmm")</f>
        <v>April</v>
      </c>
      <c r="J851" s="2">
        <f>YEAR(Sheet1[[#This Row],[claim_date]])</f>
        <v>2024</v>
      </c>
      <c r="K851" s="2" t="str">
        <f>"Q"&amp;ROUNDUP(MONTH(Sheet1[[#This Row],[claim_date]])/3,0)</f>
        <v>Q2</v>
      </c>
      <c r="L851" s="2" t="str">
        <f>IF(Sheet1[[#This Row],[claim_amount]]&lt;100000,"Low",IF(Sheet1[[#This Row],[claim_amount]]&lt;200000,"Medium","High"))</f>
        <v>High</v>
      </c>
      <c r="M851" s="2" t="str">
        <f>IF(Sheet1[[#This Row],[days_to_process]]&lt;=30,"Fast","Slow")</f>
        <v>Fast</v>
      </c>
    </row>
    <row r="852" spans="1:13" x14ac:dyDescent="0.3">
      <c r="A852" t="s">
        <v>1606</v>
      </c>
      <c r="B852" s="2" t="s">
        <v>1607</v>
      </c>
      <c r="C852" s="1">
        <v>45012</v>
      </c>
      <c r="D852" s="35">
        <v>233659.67</v>
      </c>
      <c r="E852" s="2" t="s">
        <v>15</v>
      </c>
      <c r="F852" s="2" t="s">
        <v>34</v>
      </c>
      <c r="G852" s="2" t="s">
        <v>24</v>
      </c>
      <c r="H852">
        <v>36</v>
      </c>
      <c r="I852" s="2" t="str">
        <f>TEXT(Sheet1[[#This Row],[claim_date]],"mmmm")</f>
        <v>March</v>
      </c>
      <c r="J852" s="2">
        <f>YEAR(Sheet1[[#This Row],[claim_date]])</f>
        <v>2023</v>
      </c>
      <c r="K852" s="2" t="str">
        <f>"Q"&amp;ROUNDUP(MONTH(Sheet1[[#This Row],[claim_date]])/3,0)</f>
        <v>Q1</v>
      </c>
      <c r="L852" s="2" t="str">
        <f>IF(Sheet1[[#This Row],[claim_amount]]&lt;100000,"Low",IF(Sheet1[[#This Row],[claim_amount]]&lt;200000,"Medium","High"))</f>
        <v>High</v>
      </c>
      <c r="M852" s="2" t="str">
        <f>IF(Sheet1[[#This Row],[days_to_process]]&lt;=30,"Fast","Slow")</f>
        <v>Slow</v>
      </c>
    </row>
    <row r="853" spans="1:13" x14ac:dyDescent="0.3">
      <c r="A853" t="s">
        <v>1608</v>
      </c>
      <c r="B853" s="2" t="s">
        <v>1532</v>
      </c>
      <c r="C853" s="1">
        <v>44771</v>
      </c>
      <c r="D853" s="35">
        <v>153408.16</v>
      </c>
      <c r="E853" s="2" t="s">
        <v>19</v>
      </c>
      <c r="F853" s="2" t="s">
        <v>23</v>
      </c>
      <c r="G853" s="2" t="s">
        <v>12</v>
      </c>
      <c r="H853">
        <v>58</v>
      </c>
      <c r="I853" s="2" t="str">
        <f>TEXT(Sheet1[[#This Row],[claim_date]],"mmmm")</f>
        <v>July</v>
      </c>
      <c r="J853" s="2">
        <f>YEAR(Sheet1[[#This Row],[claim_date]])</f>
        <v>2022</v>
      </c>
      <c r="K853" s="2" t="str">
        <f>"Q"&amp;ROUNDUP(MONTH(Sheet1[[#This Row],[claim_date]])/3,0)</f>
        <v>Q3</v>
      </c>
      <c r="L853" s="2" t="str">
        <f>IF(Sheet1[[#This Row],[claim_amount]]&lt;100000,"Low",IF(Sheet1[[#This Row],[claim_amount]]&lt;200000,"Medium","High"))</f>
        <v>Medium</v>
      </c>
      <c r="M853" s="2" t="str">
        <f>IF(Sheet1[[#This Row],[days_to_process]]&lt;=30,"Fast","Slow")</f>
        <v>Slow</v>
      </c>
    </row>
    <row r="854" spans="1:13" x14ac:dyDescent="0.3">
      <c r="A854" t="s">
        <v>1609</v>
      </c>
      <c r="B854" s="2" t="s">
        <v>1610</v>
      </c>
      <c r="C854" s="1">
        <v>45400</v>
      </c>
      <c r="D854" s="35">
        <v>285861.71000000002</v>
      </c>
      <c r="E854" s="2" t="s">
        <v>10</v>
      </c>
      <c r="F854" s="2" t="s">
        <v>11</v>
      </c>
      <c r="G854" s="2" t="s">
        <v>12</v>
      </c>
      <c r="H854">
        <v>29</v>
      </c>
      <c r="I854" s="2" t="str">
        <f>TEXT(Sheet1[[#This Row],[claim_date]],"mmmm")</f>
        <v>April</v>
      </c>
      <c r="J854" s="2">
        <f>YEAR(Sheet1[[#This Row],[claim_date]])</f>
        <v>2024</v>
      </c>
      <c r="K854" s="2" t="str">
        <f>"Q"&amp;ROUNDUP(MONTH(Sheet1[[#This Row],[claim_date]])/3,0)</f>
        <v>Q2</v>
      </c>
      <c r="L854" s="2" t="str">
        <f>IF(Sheet1[[#This Row],[claim_amount]]&lt;100000,"Low",IF(Sheet1[[#This Row],[claim_amount]]&lt;200000,"Medium","High"))</f>
        <v>High</v>
      </c>
      <c r="M854" s="2" t="str">
        <f>IF(Sheet1[[#This Row],[days_to_process]]&lt;=30,"Fast","Slow")</f>
        <v>Fast</v>
      </c>
    </row>
    <row r="855" spans="1:13" x14ac:dyDescent="0.3">
      <c r="A855" t="s">
        <v>1611</v>
      </c>
      <c r="B855" s="2" t="s">
        <v>14</v>
      </c>
      <c r="C855" s="1">
        <v>44660</v>
      </c>
      <c r="D855" s="35">
        <v>450077.9</v>
      </c>
      <c r="E855" s="2" t="s">
        <v>19</v>
      </c>
      <c r="F855" s="2" t="s">
        <v>23</v>
      </c>
      <c r="G855" s="2" t="s">
        <v>12</v>
      </c>
      <c r="H855">
        <v>27</v>
      </c>
      <c r="I855" s="2" t="str">
        <f>TEXT(Sheet1[[#This Row],[claim_date]],"mmmm")</f>
        <v>April</v>
      </c>
      <c r="J855" s="2">
        <f>YEAR(Sheet1[[#This Row],[claim_date]])</f>
        <v>2022</v>
      </c>
      <c r="K855" s="2" t="str">
        <f>"Q"&amp;ROUNDUP(MONTH(Sheet1[[#This Row],[claim_date]])/3,0)</f>
        <v>Q2</v>
      </c>
      <c r="L855" s="2" t="str">
        <f>IF(Sheet1[[#This Row],[claim_amount]]&lt;100000,"Low",IF(Sheet1[[#This Row],[claim_amount]]&lt;200000,"Medium","High"))</f>
        <v>High</v>
      </c>
      <c r="M855" s="2" t="str">
        <f>IF(Sheet1[[#This Row],[days_to_process]]&lt;=30,"Fast","Slow")</f>
        <v>Fast</v>
      </c>
    </row>
    <row r="856" spans="1:13" x14ac:dyDescent="0.3">
      <c r="A856" t="s">
        <v>1612</v>
      </c>
      <c r="B856" s="2" t="s">
        <v>1357</v>
      </c>
      <c r="C856" s="1">
        <v>44913</v>
      </c>
      <c r="D856" s="35">
        <v>132591.39000000001</v>
      </c>
      <c r="E856" s="2" t="s">
        <v>10</v>
      </c>
      <c r="F856" s="2" t="s">
        <v>23</v>
      </c>
      <c r="G856" s="2" t="s">
        <v>24</v>
      </c>
      <c r="H856">
        <v>48</v>
      </c>
      <c r="I856" s="2" t="str">
        <f>TEXT(Sheet1[[#This Row],[claim_date]],"mmmm")</f>
        <v>December</v>
      </c>
      <c r="J856" s="2">
        <f>YEAR(Sheet1[[#This Row],[claim_date]])</f>
        <v>2022</v>
      </c>
      <c r="K856" s="2" t="str">
        <f>"Q"&amp;ROUNDUP(MONTH(Sheet1[[#This Row],[claim_date]])/3,0)</f>
        <v>Q4</v>
      </c>
      <c r="L856" s="2" t="str">
        <f>IF(Sheet1[[#This Row],[claim_amount]]&lt;100000,"Low",IF(Sheet1[[#This Row],[claim_amount]]&lt;200000,"Medium","High"))</f>
        <v>Medium</v>
      </c>
      <c r="M856" s="2" t="str">
        <f>IF(Sheet1[[#This Row],[days_to_process]]&lt;=30,"Fast","Slow")</f>
        <v>Slow</v>
      </c>
    </row>
    <row r="857" spans="1:13" x14ac:dyDescent="0.3">
      <c r="A857" t="s">
        <v>1613</v>
      </c>
      <c r="B857" s="2" t="s">
        <v>1614</v>
      </c>
      <c r="C857" s="1">
        <v>45365</v>
      </c>
      <c r="D857" s="35">
        <v>480640.27</v>
      </c>
      <c r="E857" s="2" t="s">
        <v>15</v>
      </c>
      <c r="F857" s="2" t="s">
        <v>23</v>
      </c>
      <c r="G857" s="2" t="s">
        <v>12</v>
      </c>
      <c r="H857">
        <v>59</v>
      </c>
      <c r="I857" s="2" t="str">
        <f>TEXT(Sheet1[[#This Row],[claim_date]],"mmmm")</f>
        <v>March</v>
      </c>
      <c r="J857" s="2">
        <f>YEAR(Sheet1[[#This Row],[claim_date]])</f>
        <v>2024</v>
      </c>
      <c r="K857" s="2" t="str">
        <f>"Q"&amp;ROUNDUP(MONTH(Sheet1[[#This Row],[claim_date]])/3,0)</f>
        <v>Q1</v>
      </c>
      <c r="L857" s="2" t="str">
        <f>IF(Sheet1[[#This Row],[claim_amount]]&lt;100000,"Low",IF(Sheet1[[#This Row],[claim_amount]]&lt;200000,"Medium","High"))</f>
        <v>High</v>
      </c>
      <c r="M857" s="2" t="str">
        <f>IF(Sheet1[[#This Row],[days_to_process]]&lt;=30,"Fast","Slow")</f>
        <v>Slow</v>
      </c>
    </row>
    <row r="858" spans="1:13" x14ac:dyDescent="0.3">
      <c r="A858" t="s">
        <v>1615</v>
      </c>
      <c r="B858" s="2" t="s">
        <v>398</v>
      </c>
      <c r="C858" s="1">
        <v>45264</v>
      </c>
      <c r="D858" s="35">
        <v>113827.07</v>
      </c>
      <c r="E858" s="2" t="s">
        <v>15</v>
      </c>
      <c r="F858" s="2" t="s">
        <v>11</v>
      </c>
      <c r="G858" s="2" t="s">
        <v>24</v>
      </c>
      <c r="H858">
        <v>25</v>
      </c>
      <c r="I858" s="2" t="str">
        <f>TEXT(Sheet1[[#This Row],[claim_date]],"mmmm")</f>
        <v>December</v>
      </c>
      <c r="J858" s="2">
        <f>YEAR(Sheet1[[#This Row],[claim_date]])</f>
        <v>2023</v>
      </c>
      <c r="K858" s="2" t="str">
        <f>"Q"&amp;ROUNDUP(MONTH(Sheet1[[#This Row],[claim_date]])/3,0)</f>
        <v>Q4</v>
      </c>
      <c r="L858" s="2" t="str">
        <f>IF(Sheet1[[#This Row],[claim_amount]]&lt;100000,"Low",IF(Sheet1[[#This Row],[claim_amount]]&lt;200000,"Medium","High"))</f>
        <v>Medium</v>
      </c>
      <c r="M858" s="2" t="str">
        <f>IF(Sheet1[[#This Row],[days_to_process]]&lt;=30,"Fast","Slow")</f>
        <v>Fast</v>
      </c>
    </row>
    <row r="859" spans="1:13" x14ac:dyDescent="0.3">
      <c r="A859" t="s">
        <v>1616</v>
      </c>
      <c r="B859" s="2" t="s">
        <v>237</v>
      </c>
      <c r="C859" s="1">
        <v>45368</v>
      </c>
      <c r="D859" s="35">
        <v>188934.89</v>
      </c>
      <c r="E859" s="2" t="s">
        <v>15</v>
      </c>
      <c r="F859" s="2" t="s">
        <v>34</v>
      </c>
      <c r="G859" s="2" t="s">
        <v>12</v>
      </c>
      <c r="H859">
        <v>23</v>
      </c>
      <c r="I859" s="2" t="str">
        <f>TEXT(Sheet1[[#This Row],[claim_date]],"mmmm")</f>
        <v>March</v>
      </c>
      <c r="J859" s="2">
        <f>YEAR(Sheet1[[#This Row],[claim_date]])</f>
        <v>2024</v>
      </c>
      <c r="K859" s="2" t="str">
        <f>"Q"&amp;ROUNDUP(MONTH(Sheet1[[#This Row],[claim_date]])/3,0)</f>
        <v>Q1</v>
      </c>
      <c r="L859" s="2" t="str">
        <f>IF(Sheet1[[#This Row],[claim_amount]]&lt;100000,"Low",IF(Sheet1[[#This Row],[claim_amount]]&lt;200000,"Medium","High"))</f>
        <v>Medium</v>
      </c>
      <c r="M859" s="2" t="str">
        <f>IF(Sheet1[[#This Row],[days_to_process]]&lt;=30,"Fast","Slow")</f>
        <v>Fast</v>
      </c>
    </row>
    <row r="860" spans="1:13" x14ac:dyDescent="0.3">
      <c r="A860" t="s">
        <v>1617</v>
      </c>
      <c r="B860" s="2" t="s">
        <v>1618</v>
      </c>
      <c r="C860" s="1">
        <v>44501</v>
      </c>
      <c r="D860" s="35">
        <v>141006.24</v>
      </c>
      <c r="E860" s="2" t="s">
        <v>10</v>
      </c>
      <c r="F860" s="2" t="s">
        <v>23</v>
      </c>
      <c r="G860" s="2" t="s">
        <v>12</v>
      </c>
      <c r="H860">
        <v>18</v>
      </c>
      <c r="I860" s="2" t="str">
        <f>TEXT(Sheet1[[#This Row],[claim_date]],"mmmm")</f>
        <v>November</v>
      </c>
      <c r="J860" s="2">
        <f>YEAR(Sheet1[[#This Row],[claim_date]])</f>
        <v>2021</v>
      </c>
      <c r="K860" s="2" t="str">
        <f>"Q"&amp;ROUNDUP(MONTH(Sheet1[[#This Row],[claim_date]])/3,0)</f>
        <v>Q4</v>
      </c>
      <c r="L860" s="2" t="str">
        <f>IF(Sheet1[[#This Row],[claim_amount]]&lt;100000,"Low",IF(Sheet1[[#This Row],[claim_amount]]&lt;200000,"Medium","High"))</f>
        <v>Medium</v>
      </c>
      <c r="M860" s="2" t="str">
        <f>IF(Sheet1[[#This Row],[days_to_process]]&lt;=30,"Fast","Slow")</f>
        <v>Fast</v>
      </c>
    </row>
    <row r="861" spans="1:13" x14ac:dyDescent="0.3">
      <c r="A861" t="s">
        <v>1619</v>
      </c>
      <c r="B861" s="2" t="s">
        <v>1620</v>
      </c>
      <c r="C861" s="1">
        <v>44960</v>
      </c>
      <c r="D861" s="35">
        <v>326579.23</v>
      </c>
      <c r="E861" s="2" t="s">
        <v>19</v>
      </c>
      <c r="F861" s="2" t="s">
        <v>11</v>
      </c>
      <c r="G861" s="2" t="s">
        <v>12</v>
      </c>
      <c r="H861">
        <v>2</v>
      </c>
      <c r="I861" s="2" t="str">
        <f>TEXT(Sheet1[[#This Row],[claim_date]],"mmmm")</f>
        <v>February</v>
      </c>
      <c r="J861" s="2">
        <f>YEAR(Sheet1[[#This Row],[claim_date]])</f>
        <v>2023</v>
      </c>
      <c r="K861" s="2" t="str">
        <f>"Q"&amp;ROUNDUP(MONTH(Sheet1[[#This Row],[claim_date]])/3,0)</f>
        <v>Q1</v>
      </c>
      <c r="L861" s="2" t="str">
        <f>IF(Sheet1[[#This Row],[claim_amount]]&lt;100000,"Low",IF(Sheet1[[#This Row],[claim_amount]]&lt;200000,"Medium","High"))</f>
        <v>High</v>
      </c>
      <c r="M861" s="2" t="str">
        <f>IF(Sheet1[[#This Row],[days_to_process]]&lt;=30,"Fast","Slow")</f>
        <v>Fast</v>
      </c>
    </row>
    <row r="862" spans="1:13" x14ac:dyDescent="0.3">
      <c r="A862" t="s">
        <v>1621</v>
      </c>
      <c r="B862" s="2" t="s">
        <v>1622</v>
      </c>
      <c r="C862" s="1">
        <v>44703</v>
      </c>
      <c r="D862" s="35">
        <v>303270.61</v>
      </c>
      <c r="E862" s="2" t="s">
        <v>15</v>
      </c>
      <c r="F862" s="2" t="s">
        <v>11</v>
      </c>
      <c r="G862" s="2" t="s">
        <v>12</v>
      </c>
      <c r="H862">
        <v>39</v>
      </c>
      <c r="I862" s="2" t="str">
        <f>TEXT(Sheet1[[#This Row],[claim_date]],"mmmm")</f>
        <v>May</v>
      </c>
      <c r="J862" s="2">
        <f>YEAR(Sheet1[[#This Row],[claim_date]])</f>
        <v>2022</v>
      </c>
      <c r="K862" s="2" t="str">
        <f>"Q"&amp;ROUNDUP(MONTH(Sheet1[[#This Row],[claim_date]])/3,0)</f>
        <v>Q2</v>
      </c>
      <c r="L862" s="2" t="str">
        <f>IF(Sheet1[[#This Row],[claim_amount]]&lt;100000,"Low",IF(Sheet1[[#This Row],[claim_amount]]&lt;200000,"Medium","High"))</f>
        <v>High</v>
      </c>
      <c r="M862" s="2" t="str">
        <f>IF(Sheet1[[#This Row],[days_to_process]]&lt;=30,"Fast","Slow")</f>
        <v>Slow</v>
      </c>
    </row>
    <row r="863" spans="1:13" x14ac:dyDescent="0.3">
      <c r="A863" t="s">
        <v>1623</v>
      </c>
      <c r="B863" s="2" t="s">
        <v>1624</v>
      </c>
      <c r="C863" s="1">
        <v>45489</v>
      </c>
      <c r="D863" s="35">
        <v>267527.42</v>
      </c>
      <c r="E863" s="2" t="s">
        <v>15</v>
      </c>
      <c r="F863" s="2" t="s">
        <v>20</v>
      </c>
      <c r="G863" s="2" t="s">
        <v>12</v>
      </c>
      <c r="H863">
        <v>50</v>
      </c>
      <c r="I863" s="2" t="str">
        <f>TEXT(Sheet1[[#This Row],[claim_date]],"mmmm")</f>
        <v>July</v>
      </c>
      <c r="J863" s="2">
        <f>YEAR(Sheet1[[#This Row],[claim_date]])</f>
        <v>2024</v>
      </c>
      <c r="K863" s="2" t="str">
        <f>"Q"&amp;ROUNDUP(MONTH(Sheet1[[#This Row],[claim_date]])/3,0)</f>
        <v>Q3</v>
      </c>
      <c r="L863" s="2" t="str">
        <f>IF(Sheet1[[#This Row],[claim_amount]]&lt;100000,"Low",IF(Sheet1[[#This Row],[claim_amount]]&lt;200000,"Medium","High"))</f>
        <v>High</v>
      </c>
      <c r="M863" s="2" t="str">
        <f>IF(Sheet1[[#This Row],[days_to_process]]&lt;=30,"Fast","Slow")</f>
        <v>Slow</v>
      </c>
    </row>
    <row r="864" spans="1:13" x14ac:dyDescent="0.3">
      <c r="A864" t="s">
        <v>1625</v>
      </c>
      <c r="B864" s="2" t="s">
        <v>1626</v>
      </c>
      <c r="C864" s="1">
        <v>44881</v>
      </c>
      <c r="D864" s="35">
        <v>10473.36</v>
      </c>
      <c r="E864" s="2" t="s">
        <v>10</v>
      </c>
      <c r="F864" s="2" t="s">
        <v>11</v>
      </c>
      <c r="G864" s="2" t="s">
        <v>24</v>
      </c>
      <c r="H864">
        <v>53</v>
      </c>
      <c r="I864" s="2" t="str">
        <f>TEXT(Sheet1[[#This Row],[claim_date]],"mmmm")</f>
        <v>November</v>
      </c>
      <c r="J864" s="2">
        <f>YEAR(Sheet1[[#This Row],[claim_date]])</f>
        <v>2022</v>
      </c>
      <c r="K864" s="2" t="str">
        <f>"Q"&amp;ROUNDUP(MONTH(Sheet1[[#This Row],[claim_date]])/3,0)</f>
        <v>Q4</v>
      </c>
      <c r="L864" s="2" t="str">
        <f>IF(Sheet1[[#This Row],[claim_amount]]&lt;100000,"Low",IF(Sheet1[[#This Row],[claim_amount]]&lt;200000,"Medium","High"))</f>
        <v>Low</v>
      </c>
      <c r="M864" s="2" t="str">
        <f>IF(Sheet1[[#This Row],[days_to_process]]&lt;=30,"Fast","Slow")</f>
        <v>Slow</v>
      </c>
    </row>
    <row r="865" spans="1:13" x14ac:dyDescent="0.3">
      <c r="A865" t="s">
        <v>1627</v>
      </c>
      <c r="B865" s="2" t="s">
        <v>1628</v>
      </c>
      <c r="C865" s="1">
        <v>44906</v>
      </c>
      <c r="D865" s="35">
        <v>465418.81</v>
      </c>
      <c r="E865" s="2" t="s">
        <v>10</v>
      </c>
      <c r="F865" s="2" t="s">
        <v>34</v>
      </c>
      <c r="G865" s="2" t="s">
        <v>12</v>
      </c>
      <c r="H865">
        <v>15</v>
      </c>
      <c r="I865" s="2" t="str">
        <f>TEXT(Sheet1[[#This Row],[claim_date]],"mmmm")</f>
        <v>December</v>
      </c>
      <c r="J865" s="2">
        <f>YEAR(Sheet1[[#This Row],[claim_date]])</f>
        <v>2022</v>
      </c>
      <c r="K865" s="2" t="str">
        <f>"Q"&amp;ROUNDUP(MONTH(Sheet1[[#This Row],[claim_date]])/3,0)</f>
        <v>Q4</v>
      </c>
      <c r="L865" s="2" t="str">
        <f>IF(Sheet1[[#This Row],[claim_amount]]&lt;100000,"Low",IF(Sheet1[[#This Row],[claim_amount]]&lt;200000,"Medium","High"))</f>
        <v>High</v>
      </c>
      <c r="M865" s="2" t="str">
        <f>IF(Sheet1[[#This Row],[days_to_process]]&lt;=30,"Fast","Slow")</f>
        <v>Fast</v>
      </c>
    </row>
    <row r="866" spans="1:13" x14ac:dyDescent="0.3">
      <c r="A866" t="s">
        <v>1629</v>
      </c>
      <c r="B866" s="2" t="s">
        <v>1630</v>
      </c>
      <c r="C866" s="1">
        <v>45173</v>
      </c>
      <c r="D866" s="35">
        <v>467510.34</v>
      </c>
      <c r="E866" s="2" t="s">
        <v>19</v>
      </c>
      <c r="F866" s="2" t="s">
        <v>16</v>
      </c>
      <c r="G866" s="2" t="s">
        <v>12</v>
      </c>
      <c r="H866">
        <v>32</v>
      </c>
      <c r="I866" s="2" t="str">
        <f>TEXT(Sheet1[[#This Row],[claim_date]],"mmmm")</f>
        <v>September</v>
      </c>
      <c r="J866" s="2">
        <f>YEAR(Sheet1[[#This Row],[claim_date]])</f>
        <v>2023</v>
      </c>
      <c r="K866" s="2" t="str">
        <f>"Q"&amp;ROUNDUP(MONTH(Sheet1[[#This Row],[claim_date]])/3,0)</f>
        <v>Q3</v>
      </c>
      <c r="L866" s="2" t="str">
        <f>IF(Sheet1[[#This Row],[claim_amount]]&lt;100000,"Low",IF(Sheet1[[#This Row],[claim_amount]]&lt;200000,"Medium","High"))</f>
        <v>High</v>
      </c>
      <c r="M866" s="2" t="str">
        <f>IF(Sheet1[[#This Row],[days_to_process]]&lt;=30,"Fast","Slow")</f>
        <v>Slow</v>
      </c>
    </row>
    <row r="867" spans="1:13" x14ac:dyDescent="0.3">
      <c r="A867" t="s">
        <v>1631</v>
      </c>
      <c r="B867" s="2" t="s">
        <v>1632</v>
      </c>
      <c r="C867" s="1">
        <v>45382</v>
      </c>
      <c r="D867" s="35">
        <v>315790.74</v>
      </c>
      <c r="E867" s="2" t="s">
        <v>10</v>
      </c>
      <c r="F867" s="2" t="s">
        <v>16</v>
      </c>
      <c r="G867" s="2" t="s">
        <v>12</v>
      </c>
      <c r="H867">
        <v>38</v>
      </c>
      <c r="I867" s="2" t="str">
        <f>TEXT(Sheet1[[#This Row],[claim_date]],"mmmm")</f>
        <v>March</v>
      </c>
      <c r="J867" s="2">
        <f>YEAR(Sheet1[[#This Row],[claim_date]])</f>
        <v>2024</v>
      </c>
      <c r="K867" s="2" t="str">
        <f>"Q"&amp;ROUNDUP(MONTH(Sheet1[[#This Row],[claim_date]])/3,0)</f>
        <v>Q1</v>
      </c>
      <c r="L867" s="2" t="str">
        <f>IF(Sheet1[[#This Row],[claim_amount]]&lt;100000,"Low",IF(Sheet1[[#This Row],[claim_amount]]&lt;200000,"Medium","High"))</f>
        <v>High</v>
      </c>
      <c r="M867" s="2" t="str">
        <f>IF(Sheet1[[#This Row],[days_to_process]]&lt;=30,"Fast","Slow")</f>
        <v>Slow</v>
      </c>
    </row>
    <row r="868" spans="1:13" x14ac:dyDescent="0.3">
      <c r="A868" t="s">
        <v>1633</v>
      </c>
      <c r="B868" s="2" t="s">
        <v>792</v>
      </c>
      <c r="C868" s="1">
        <v>44307</v>
      </c>
      <c r="D868" s="35">
        <v>121358.55</v>
      </c>
      <c r="E868" s="2" t="s">
        <v>15</v>
      </c>
      <c r="F868" s="2" t="s">
        <v>16</v>
      </c>
      <c r="G868" s="2" t="s">
        <v>12</v>
      </c>
      <c r="H868">
        <v>49</v>
      </c>
      <c r="I868" s="2" t="str">
        <f>TEXT(Sheet1[[#This Row],[claim_date]],"mmmm")</f>
        <v>April</v>
      </c>
      <c r="J868" s="2">
        <f>YEAR(Sheet1[[#This Row],[claim_date]])</f>
        <v>2021</v>
      </c>
      <c r="K868" s="2" t="str">
        <f>"Q"&amp;ROUNDUP(MONTH(Sheet1[[#This Row],[claim_date]])/3,0)</f>
        <v>Q2</v>
      </c>
      <c r="L868" s="2" t="str">
        <f>IF(Sheet1[[#This Row],[claim_amount]]&lt;100000,"Low",IF(Sheet1[[#This Row],[claim_amount]]&lt;200000,"Medium","High"))</f>
        <v>Medium</v>
      </c>
      <c r="M868" s="2" t="str">
        <f>IF(Sheet1[[#This Row],[days_to_process]]&lt;=30,"Fast","Slow")</f>
        <v>Slow</v>
      </c>
    </row>
    <row r="869" spans="1:13" x14ac:dyDescent="0.3">
      <c r="A869" t="s">
        <v>1634</v>
      </c>
      <c r="B869" s="2" t="s">
        <v>1635</v>
      </c>
      <c r="C869" s="1">
        <v>44914</v>
      </c>
      <c r="D869" s="35">
        <v>401912.99</v>
      </c>
      <c r="E869" s="2" t="s">
        <v>10</v>
      </c>
      <c r="F869" s="2" t="s">
        <v>11</v>
      </c>
      <c r="G869" s="2" t="s">
        <v>12</v>
      </c>
      <c r="H869">
        <v>19</v>
      </c>
      <c r="I869" s="2" t="str">
        <f>TEXT(Sheet1[[#This Row],[claim_date]],"mmmm")</f>
        <v>December</v>
      </c>
      <c r="J869" s="2">
        <f>YEAR(Sheet1[[#This Row],[claim_date]])</f>
        <v>2022</v>
      </c>
      <c r="K869" s="2" t="str">
        <f>"Q"&amp;ROUNDUP(MONTH(Sheet1[[#This Row],[claim_date]])/3,0)</f>
        <v>Q4</v>
      </c>
      <c r="L869" s="2" t="str">
        <f>IF(Sheet1[[#This Row],[claim_amount]]&lt;100000,"Low",IF(Sheet1[[#This Row],[claim_amount]]&lt;200000,"Medium","High"))</f>
        <v>High</v>
      </c>
      <c r="M869" s="2" t="str">
        <f>IF(Sheet1[[#This Row],[days_to_process]]&lt;=30,"Fast","Slow")</f>
        <v>Fast</v>
      </c>
    </row>
    <row r="870" spans="1:13" x14ac:dyDescent="0.3">
      <c r="A870" t="s">
        <v>1636</v>
      </c>
      <c r="B870" s="2" t="s">
        <v>1637</v>
      </c>
      <c r="C870" s="1">
        <v>45213</v>
      </c>
      <c r="D870" s="35">
        <v>186979.35</v>
      </c>
      <c r="E870" s="2" t="s">
        <v>15</v>
      </c>
      <c r="F870" s="2" t="s">
        <v>34</v>
      </c>
      <c r="G870" s="2" t="s">
        <v>12</v>
      </c>
      <c r="H870">
        <v>6</v>
      </c>
      <c r="I870" s="2" t="str">
        <f>TEXT(Sheet1[[#This Row],[claim_date]],"mmmm")</f>
        <v>October</v>
      </c>
      <c r="J870" s="2">
        <f>YEAR(Sheet1[[#This Row],[claim_date]])</f>
        <v>2023</v>
      </c>
      <c r="K870" s="2" t="str">
        <f>"Q"&amp;ROUNDUP(MONTH(Sheet1[[#This Row],[claim_date]])/3,0)</f>
        <v>Q4</v>
      </c>
      <c r="L870" s="2" t="str">
        <f>IF(Sheet1[[#This Row],[claim_amount]]&lt;100000,"Low",IF(Sheet1[[#This Row],[claim_amount]]&lt;200000,"Medium","High"))</f>
        <v>Medium</v>
      </c>
      <c r="M870" s="2" t="str">
        <f>IF(Sheet1[[#This Row],[days_to_process]]&lt;=30,"Fast","Slow")</f>
        <v>Fast</v>
      </c>
    </row>
    <row r="871" spans="1:13" x14ac:dyDescent="0.3">
      <c r="A871" t="s">
        <v>1638</v>
      </c>
      <c r="B871" s="2" t="s">
        <v>1639</v>
      </c>
      <c r="C871" s="1">
        <v>45536</v>
      </c>
      <c r="D871" s="35">
        <v>301209.59999999998</v>
      </c>
      <c r="E871" s="2" t="s">
        <v>19</v>
      </c>
      <c r="F871" s="2" t="s">
        <v>20</v>
      </c>
      <c r="G871" s="2" t="s">
        <v>12</v>
      </c>
      <c r="H871">
        <v>10</v>
      </c>
      <c r="I871" s="2" t="str">
        <f>TEXT(Sheet1[[#This Row],[claim_date]],"mmmm")</f>
        <v>September</v>
      </c>
      <c r="J871" s="2">
        <f>YEAR(Sheet1[[#This Row],[claim_date]])</f>
        <v>2024</v>
      </c>
      <c r="K871" s="2" t="str">
        <f>"Q"&amp;ROUNDUP(MONTH(Sheet1[[#This Row],[claim_date]])/3,0)</f>
        <v>Q3</v>
      </c>
      <c r="L871" s="2" t="str">
        <f>IF(Sheet1[[#This Row],[claim_amount]]&lt;100000,"Low",IF(Sheet1[[#This Row],[claim_amount]]&lt;200000,"Medium","High"))</f>
        <v>High</v>
      </c>
      <c r="M871" s="2" t="str">
        <f>IF(Sheet1[[#This Row],[days_to_process]]&lt;=30,"Fast","Slow")</f>
        <v>Fast</v>
      </c>
    </row>
    <row r="872" spans="1:13" x14ac:dyDescent="0.3">
      <c r="A872" t="s">
        <v>1640</v>
      </c>
      <c r="B872" s="2" t="s">
        <v>1641</v>
      </c>
      <c r="C872" s="1">
        <v>45342</v>
      </c>
      <c r="D872" s="35">
        <v>267582.53999999998</v>
      </c>
      <c r="E872" s="2" t="s">
        <v>19</v>
      </c>
      <c r="F872" s="2" t="s">
        <v>34</v>
      </c>
      <c r="G872" s="2" t="s">
        <v>12</v>
      </c>
      <c r="H872">
        <v>22</v>
      </c>
      <c r="I872" s="2" t="str">
        <f>TEXT(Sheet1[[#This Row],[claim_date]],"mmmm")</f>
        <v>February</v>
      </c>
      <c r="J872" s="2">
        <f>YEAR(Sheet1[[#This Row],[claim_date]])</f>
        <v>2024</v>
      </c>
      <c r="K872" s="2" t="str">
        <f>"Q"&amp;ROUNDUP(MONTH(Sheet1[[#This Row],[claim_date]])/3,0)</f>
        <v>Q1</v>
      </c>
      <c r="L872" s="2" t="str">
        <f>IF(Sheet1[[#This Row],[claim_amount]]&lt;100000,"Low",IF(Sheet1[[#This Row],[claim_amount]]&lt;200000,"Medium","High"))</f>
        <v>High</v>
      </c>
      <c r="M872" s="2" t="str">
        <f>IF(Sheet1[[#This Row],[days_to_process]]&lt;=30,"Fast","Slow")</f>
        <v>Fast</v>
      </c>
    </row>
    <row r="873" spans="1:13" x14ac:dyDescent="0.3">
      <c r="A873" t="s">
        <v>1642</v>
      </c>
      <c r="B873" s="2" t="s">
        <v>1643</v>
      </c>
      <c r="C873" s="1">
        <v>45512</v>
      </c>
      <c r="D873" s="35">
        <v>169464.35</v>
      </c>
      <c r="E873" s="2" t="s">
        <v>10</v>
      </c>
      <c r="F873" s="2" t="s">
        <v>16</v>
      </c>
      <c r="G873" s="2" t="s">
        <v>24</v>
      </c>
      <c r="H873">
        <v>6</v>
      </c>
      <c r="I873" s="2" t="str">
        <f>TEXT(Sheet1[[#This Row],[claim_date]],"mmmm")</f>
        <v>August</v>
      </c>
      <c r="J873" s="2">
        <f>YEAR(Sheet1[[#This Row],[claim_date]])</f>
        <v>2024</v>
      </c>
      <c r="K873" s="2" t="str">
        <f>"Q"&amp;ROUNDUP(MONTH(Sheet1[[#This Row],[claim_date]])/3,0)</f>
        <v>Q3</v>
      </c>
      <c r="L873" s="2" t="str">
        <f>IF(Sheet1[[#This Row],[claim_amount]]&lt;100000,"Low",IF(Sheet1[[#This Row],[claim_amount]]&lt;200000,"Medium","High"))</f>
        <v>Medium</v>
      </c>
      <c r="M873" s="2" t="str">
        <f>IF(Sheet1[[#This Row],[days_to_process]]&lt;=30,"Fast","Slow")</f>
        <v>Fast</v>
      </c>
    </row>
    <row r="874" spans="1:13" x14ac:dyDescent="0.3">
      <c r="A874" t="s">
        <v>1644</v>
      </c>
      <c r="B874" s="2" t="s">
        <v>250</v>
      </c>
      <c r="C874" s="1">
        <v>45456</v>
      </c>
      <c r="D874" s="35">
        <v>449358.59</v>
      </c>
      <c r="E874" s="2" t="s">
        <v>10</v>
      </c>
      <c r="F874" s="2" t="s">
        <v>11</v>
      </c>
      <c r="G874" s="2" t="s">
        <v>12</v>
      </c>
      <c r="H874">
        <v>22</v>
      </c>
      <c r="I874" s="2" t="str">
        <f>TEXT(Sheet1[[#This Row],[claim_date]],"mmmm")</f>
        <v>June</v>
      </c>
      <c r="J874" s="2">
        <f>YEAR(Sheet1[[#This Row],[claim_date]])</f>
        <v>2024</v>
      </c>
      <c r="K874" s="2" t="str">
        <f>"Q"&amp;ROUNDUP(MONTH(Sheet1[[#This Row],[claim_date]])/3,0)</f>
        <v>Q2</v>
      </c>
      <c r="L874" s="2" t="str">
        <f>IF(Sheet1[[#This Row],[claim_amount]]&lt;100000,"Low",IF(Sheet1[[#This Row],[claim_amount]]&lt;200000,"Medium","High"))</f>
        <v>High</v>
      </c>
      <c r="M874" s="2" t="str">
        <f>IF(Sheet1[[#This Row],[days_to_process]]&lt;=30,"Fast","Slow")</f>
        <v>Fast</v>
      </c>
    </row>
    <row r="875" spans="1:13" x14ac:dyDescent="0.3">
      <c r="A875" t="s">
        <v>1645</v>
      </c>
      <c r="B875" s="2" t="s">
        <v>1646</v>
      </c>
      <c r="C875" s="1">
        <v>44919</v>
      </c>
      <c r="D875" s="35">
        <v>289482.56</v>
      </c>
      <c r="E875" s="2" t="s">
        <v>10</v>
      </c>
      <c r="F875" s="2" t="s">
        <v>16</v>
      </c>
      <c r="G875" s="2" t="s">
        <v>12</v>
      </c>
      <c r="H875">
        <v>35</v>
      </c>
      <c r="I875" s="2" t="str">
        <f>TEXT(Sheet1[[#This Row],[claim_date]],"mmmm")</f>
        <v>December</v>
      </c>
      <c r="J875" s="2">
        <f>YEAR(Sheet1[[#This Row],[claim_date]])</f>
        <v>2022</v>
      </c>
      <c r="K875" s="2" t="str">
        <f>"Q"&amp;ROUNDUP(MONTH(Sheet1[[#This Row],[claim_date]])/3,0)</f>
        <v>Q4</v>
      </c>
      <c r="L875" s="2" t="str">
        <f>IF(Sheet1[[#This Row],[claim_amount]]&lt;100000,"Low",IF(Sheet1[[#This Row],[claim_amount]]&lt;200000,"Medium","High"))</f>
        <v>High</v>
      </c>
      <c r="M875" s="2" t="str">
        <f>IF(Sheet1[[#This Row],[days_to_process]]&lt;=30,"Fast","Slow")</f>
        <v>Slow</v>
      </c>
    </row>
    <row r="876" spans="1:13" x14ac:dyDescent="0.3">
      <c r="A876" t="s">
        <v>1647</v>
      </c>
      <c r="B876" s="2" t="s">
        <v>626</v>
      </c>
      <c r="C876" s="1">
        <v>45349</v>
      </c>
      <c r="D876" s="35">
        <v>118778.14</v>
      </c>
      <c r="E876" s="2" t="s">
        <v>15</v>
      </c>
      <c r="F876" s="2" t="s">
        <v>34</v>
      </c>
      <c r="G876" s="2" t="s">
        <v>24</v>
      </c>
      <c r="H876">
        <v>44</v>
      </c>
      <c r="I876" s="2" t="str">
        <f>TEXT(Sheet1[[#This Row],[claim_date]],"mmmm")</f>
        <v>February</v>
      </c>
      <c r="J876" s="2">
        <f>YEAR(Sheet1[[#This Row],[claim_date]])</f>
        <v>2024</v>
      </c>
      <c r="K876" s="2" t="str">
        <f>"Q"&amp;ROUNDUP(MONTH(Sheet1[[#This Row],[claim_date]])/3,0)</f>
        <v>Q1</v>
      </c>
      <c r="L876" s="2" t="str">
        <f>IF(Sheet1[[#This Row],[claim_amount]]&lt;100000,"Low",IF(Sheet1[[#This Row],[claim_amount]]&lt;200000,"Medium","High"))</f>
        <v>Medium</v>
      </c>
      <c r="M876" s="2" t="str">
        <f>IF(Sheet1[[#This Row],[days_to_process]]&lt;=30,"Fast","Slow")</f>
        <v>Slow</v>
      </c>
    </row>
    <row r="877" spans="1:13" x14ac:dyDescent="0.3">
      <c r="A877" t="s">
        <v>1648</v>
      </c>
      <c r="B877" s="2" t="s">
        <v>1219</v>
      </c>
      <c r="C877" s="1">
        <v>44754</v>
      </c>
      <c r="D877" s="35">
        <v>131003.35</v>
      </c>
      <c r="E877" s="2" t="s">
        <v>15</v>
      </c>
      <c r="F877" s="2" t="s">
        <v>16</v>
      </c>
      <c r="G877" s="2" t="s">
        <v>12</v>
      </c>
      <c r="H877">
        <v>38</v>
      </c>
      <c r="I877" s="2" t="str">
        <f>TEXT(Sheet1[[#This Row],[claim_date]],"mmmm")</f>
        <v>July</v>
      </c>
      <c r="J877" s="2">
        <f>YEAR(Sheet1[[#This Row],[claim_date]])</f>
        <v>2022</v>
      </c>
      <c r="K877" s="2" t="str">
        <f>"Q"&amp;ROUNDUP(MONTH(Sheet1[[#This Row],[claim_date]])/3,0)</f>
        <v>Q3</v>
      </c>
      <c r="L877" s="2" t="str">
        <f>IF(Sheet1[[#This Row],[claim_amount]]&lt;100000,"Low",IF(Sheet1[[#This Row],[claim_amount]]&lt;200000,"Medium","High"))</f>
        <v>Medium</v>
      </c>
      <c r="M877" s="2" t="str">
        <f>IF(Sheet1[[#This Row],[days_to_process]]&lt;=30,"Fast","Slow")</f>
        <v>Slow</v>
      </c>
    </row>
    <row r="878" spans="1:13" x14ac:dyDescent="0.3">
      <c r="A878" t="s">
        <v>1649</v>
      </c>
      <c r="B878" s="2" t="s">
        <v>1650</v>
      </c>
      <c r="C878" s="1">
        <v>44777</v>
      </c>
      <c r="D878" s="35">
        <v>449503.95</v>
      </c>
      <c r="E878" s="2" t="s">
        <v>10</v>
      </c>
      <c r="F878" s="2" t="s">
        <v>16</v>
      </c>
      <c r="G878" s="2" t="s">
        <v>24</v>
      </c>
      <c r="H878">
        <v>45</v>
      </c>
      <c r="I878" s="2" t="str">
        <f>TEXT(Sheet1[[#This Row],[claim_date]],"mmmm")</f>
        <v>August</v>
      </c>
      <c r="J878" s="2">
        <f>YEAR(Sheet1[[#This Row],[claim_date]])</f>
        <v>2022</v>
      </c>
      <c r="K878" s="2" t="str">
        <f>"Q"&amp;ROUNDUP(MONTH(Sheet1[[#This Row],[claim_date]])/3,0)</f>
        <v>Q3</v>
      </c>
      <c r="L878" s="2" t="str">
        <f>IF(Sheet1[[#This Row],[claim_amount]]&lt;100000,"Low",IF(Sheet1[[#This Row],[claim_amount]]&lt;200000,"Medium","High"))</f>
        <v>High</v>
      </c>
      <c r="M878" s="2" t="str">
        <f>IF(Sheet1[[#This Row],[days_to_process]]&lt;=30,"Fast","Slow")</f>
        <v>Slow</v>
      </c>
    </row>
    <row r="879" spans="1:13" x14ac:dyDescent="0.3">
      <c r="A879" t="s">
        <v>1651</v>
      </c>
      <c r="B879" s="2" t="s">
        <v>1652</v>
      </c>
      <c r="C879" s="1">
        <v>45456</v>
      </c>
      <c r="D879" s="35">
        <v>205377.29</v>
      </c>
      <c r="E879" s="2" t="s">
        <v>15</v>
      </c>
      <c r="F879" s="2" t="s">
        <v>16</v>
      </c>
      <c r="G879" s="2" t="s">
        <v>24</v>
      </c>
      <c r="H879">
        <v>32</v>
      </c>
      <c r="I879" s="2" t="str">
        <f>TEXT(Sheet1[[#This Row],[claim_date]],"mmmm")</f>
        <v>June</v>
      </c>
      <c r="J879" s="2">
        <f>YEAR(Sheet1[[#This Row],[claim_date]])</f>
        <v>2024</v>
      </c>
      <c r="K879" s="2" t="str">
        <f>"Q"&amp;ROUNDUP(MONTH(Sheet1[[#This Row],[claim_date]])/3,0)</f>
        <v>Q2</v>
      </c>
      <c r="L879" s="2" t="str">
        <f>IF(Sheet1[[#This Row],[claim_amount]]&lt;100000,"Low",IF(Sheet1[[#This Row],[claim_amount]]&lt;200000,"Medium","High"))</f>
        <v>High</v>
      </c>
      <c r="M879" s="2" t="str">
        <f>IF(Sheet1[[#This Row],[days_to_process]]&lt;=30,"Fast","Slow")</f>
        <v>Slow</v>
      </c>
    </row>
    <row r="880" spans="1:13" x14ac:dyDescent="0.3">
      <c r="A880" t="s">
        <v>1653</v>
      </c>
      <c r="B880" s="2" t="s">
        <v>1654</v>
      </c>
      <c r="C880" s="1">
        <v>45745</v>
      </c>
      <c r="D880" s="35">
        <v>363991.44</v>
      </c>
      <c r="E880" s="2" t="s">
        <v>19</v>
      </c>
      <c r="F880" s="2" t="s">
        <v>11</v>
      </c>
      <c r="G880" s="2" t="s">
        <v>24</v>
      </c>
      <c r="H880">
        <v>48</v>
      </c>
      <c r="I880" s="2" t="str">
        <f>TEXT(Sheet1[[#This Row],[claim_date]],"mmmm")</f>
        <v>March</v>
      </c>
      <c r="J880" s="2">
        <f>YEAR(Sheet1[[#This Row],[claim_date]])</f>
        <v>2025</v>
      </c>
      <c r="K880" s="2" t="str">
        <f>"Q"&amp;ROUNDUP(MONTH(Sheet1[[#This Row],[claim_date]])/3,0)</f>
        <v>Q1</v>
      </c>
      <c r="L880" s="2" t="str">
        <f>IF(Sheet1[[#This Row],[claim_amount]]&lt;100000,"Low",IF(Sheet1[[#This Row],[claim_amount]]&lt;200000,"Medium","High"))</f>
        <v>High</v>
      </c>
      <c r="M880" s="2" t="str">
        <f>IF(Sheet1[[#This Row],[days_to_process]]&lt;=30,"Fast","Slow")</f>
        <v>Slow</v>
      </c>
    </row>
    <row r="881" spans="1:13" x14ac:dyDescent="0.3">
      <c r="A881" t="s">
        <v>1655</v>
      </c>
      <c r="B881" s="2" t="s">
        <v>1656</v>
      </c>
      <c r="C881" s="1">
        <v>44996</v>
      </c>
      <c r="D881" s="35">
        <v>141286.07999999999</v>
      </c>
      <c r="E881" s="2" t="s">
        <v>19</v>
      </c>
      <c r="F881" s="2" t="s">
        <v>11</v>
      </c>
      <c r="G881" s="2" t="s">
        <v>12</v>
      </c>
      <c r="H881">
        <v>45</v>
      </c>
      <c r="I881" s="2" t="str">
        <f>TEXT(Sheet1[[#This Row],[claim_date]],"mmmm")</f>
        <v>March</v>
      </c>
      <c r="J881" s="2">
        <f>YEAR(Sheet1[[#This Row],[claim_date]])</f>
        <v>2023</v>
      </c>
      <c r="K881" s="2" t="str">
        <f>"Q"&amp;ROUNDUP(MONTH(Sheet1[[#This Row],[claim_date]])/3,0)</f>
        <v>Q1</v>
      </c>
      <c r="L881" s="2" t="str">
        <f>IF(Sheet1[[#This Row],[claim_amount]]&lt;100000,"Low",IF(Sheet1[[#This Row],[claim_amount]]&lt;200000,"Medium","High"))</f>
        <v>Medium</v>
      </c>
      <c r="M881" s="2" t="str">
        <f>IF(Sheet1[[#This Row],[days_to_process]]&lt;=30,"Fast","Slow")</f>
        <v>Slow</v>
      </c>
    </row>
    <row r="882" spans="1:13" x14ac:dyDescent="0.3">
      <c r="A882" t="s">
        <v>1657</v>
      </c>
      <c r="B882" s="2" t="s">
        <v>1658</v>
      </c>
      <c r="C882" s="1">
        <v>45727</v>
      </c>
      <c r="D882" s="35">
        <v>438293.13</v>
      </c>
      <c r="E882" s="2" t="s">
        <v>19</v>
      </c>
      <c r="F882" s="2" t="s">
        <v>34</v>
      </c>
      <c r="G882" s="2" t="s">
        <v>24</v>
      </c>
      <c r="H882">
        <v>4</v>
      </c>
      <c r="I882" s="2" t="str">
        <f>TEXT(Sheet1[[#This Row],[claim_date]],"mmmm")</f>
        <v>March</v>
      </c>
      <c r="J882" s="2">
        <f>YEAR(Sheet1[[#This Row],[claim_date]])</f>
        <v>2025</v>
      </c>
      <c r="K882" s="2" t="str">
        <f>"Q"&amp;ROUNDUP(MONTH(Sheet1[[#This Row],[claim_date]])/3,0)</f>
        <v>Q1</v>
      </c>
      <c r="L882" s="2" t="str">
        <f>IF(Sheet1[[#This Row],[claim_amount]]&lt;100000,"Low",IF(Sheet1[[#This Row],[claim_amount]]&lt;200000,"Medium","High"))</f>
        <v>High</v>
      </c>
      <c r="M882" s="2" t="str">
        <f>IF(Sheet1[[#This Row],[days_to_process]]&lt;=30,"Fast","Slow")</f>
        <v>Fast</v>
      </c>
    </row>
    <row r="883" spans="1:13" x14ac:dyDescent="0.3">
      <c r="A883" t="s">
        <v>1659</v>
      </c>
      <c r="B883" s="2" t="s">
        <v>1660</v>
      </c>
      <c r="C883" s="1">
        <v>44627</v>
      </c>
      <c r="D883" s="35">
        <v>160249.46</v>
      </c>
      <c r="E883" s="2" t="s">
        <v>10</v>
      </c>
      <c r="F883" s="2" t="s">
        <v>16</v>
      </c>
      <c r="G883" s="2" t="s">
        <v>12</v>
      </c>
      <c r="H883">
        <v>13</v>
      </c>
      <c r="I883" s="2" t="str">
        <f>TEXT(Sheet1[[#This Row],[claim_date]],"mmmm")</f>
        <v>March</v>
      </c>
      <c r="J883" s="2">
        <f>YEAR(Sheet1[[#This Row],[claim_date]])</f>
        <v>2022</v>
      </c>
      <c r="K883" s="2" t="str">
        <f>"Q"&amp;ROUNDUP(MONTH(Sheet1[[#This Row],[claim_date]])/3,0)</f>
        <v>Q1</v>
      </c>
      <c r="L883" s="2" t="str">
        <f>IF(Sheet1[[#This Row],[claim_amount]]&lt;100000,"Low",IF(Sheet1[[#This Row],[claim_amount]]&lt;200000,"Medium","High"))</f>
        <v>Medium</v>
      </c>
      <c r="M883" s="2" t="str">
        <f>IF(Sheet1[[#This Row],[days_to_process]]&lt;=30,"Fast","Slow")</f>
        <v>Fast</v>
      </c>
    </row>
    <row r="884" spans="1:13" x14ac:dyDescent="0.3">
      <c r="A884" t="s">
        <v>1661</v>
      </c>
      <c r="B884" s="2" t="s">
        <v>1662</v>
      </c>
      <c r="C884" s="1">
        <v>45554</v>
      </c>
      <c r="D884" s="35">
        <v>30001.4</v>
      </c>
      <c r="E884" s="2" t="s">
        <v>10</v>
      </c>
      <c r="F884" s="2" t="s">
        <v>11</v>
      </c>
      <c r="G884" s="2" t="s">
        <v>12</v>
      </c>
      <c r="H884">
        <v>22</v>
      </c>
      <c r="I884" s="2" t="str">
        <f>TEXT(Sheet1[[#This Row],[claim_date]],"mmmm")</f>
        <v>September</v>
      </c>
      <c r="J884" s="2">
        <f>YEAR(Sheet1[[#This Row],[claim_date]])</f>
        <v>2024</v>
      </c>
      <c r="K884" s="2" t="str">
        <f>"Q"&amp;ROUNDUP(MONTH(Sheet1[[#This Row],[claim_date]])/3,0)</f>
        <v>Q3</v>
      </c>
      <c r="L884" s="2" t="str">
        <f>IF(Sheet1[[#This Row],[claim_amount]]&lt;100000,"Low",IF(Sheet1[[#This Row],[claim_amount]]&lt;200000,"Medium","High"))</f>
        <v>Low</v>
      </c>
      <c r="M884" s="2" t="str">
        <f>IF(Sheet1[[#This Row],[days_to_process]]&lt;=30,"Fast","Slow")</f>
        <v>Fast</v>
      </c>
    </row>
    <row r="885" spans="1:13" x14ac:dyDescent="0.3">
      <c r="A885" t="s">
        <v>1663</v>
      </c>
      <c r="B885" s="2" t="s">
        <v>537</v>
      </c>
      <c r="C885" s="1">
        <v>45520</v>
      </c>
      <c r="D885" s="35">
        <v>268026.08</v>
      </c>
      <c r="E885" s="2" t="s">
        <v>10</v>
      </c>
      <c r="F885" s="2" t="s">
        <v>16</v>
      </c>
      <c r="G885" s="2" t="s">
        <v>24</v>
      </c>
      <c r="H885">
        <v>34</v>
      </c>
      <c r="I885" s="2" t="str">
        <f>TEXT(Sheet1[[#This Row],[claim_date]],"mmmm")</f>
        <v>August</v>
      </c>
      <c r="J885" s="2">
        <f>YEAR(Sheet1[[#This Row],[claim_date]])</f>
        <v>2024</v>
      </c>
      <c r="K885" s="2" t="str">
        <f>"Q"&amp;ROUNDUP(MONTH(Sheet1[[#This Row],[claim_date]])/3,0)</f>
        <v>Q3</v>
      </c>
      <c r="L885" s="2" t="str">
        <f>IF(Sheet1[[#This Row],[claim_amount]]&lt;100000,"Low",IF(Sheet1[[#This Row],[claim_amount]]&lt;200000,"Medium","High"))</f>
        <v>High</v>
      </c>
      <c r="M885" s="2" t="str">
        <f>IF(Sheet1[[#This Row],[days_to_process]]&lt;=30,"Fast","Slow")</f>
        <v>Slow</v>
      </c>
    </row>
    <row r="886" spans="1:13" x14ac:dyDescent="0.3">
      <c r="A886" t="s">
        <v>1664</v>
      </c>
      <c r="B886" s="2" t="s">
        <v>1665</v>
      </c>
      <c r="C886" s="1">
        <v>45670</v>
      </c>
      <c r="D886" s="35">
        <v>301755.32</v>
      </c>
      <c r="E886" s="2" t="s">
        <v>19</v>
      </c>
      <c r="F886" s="2" t="s">
        <v>11</v>
      </c>
      <c r="G886" s="2" t="s">
        <v>24</v>
      </c>
      <c r="H886">
        <v>54</v>
      </c>
      <c r="I886" s="2" t="str">
        <f>TEXT(Sheet1[[#This Row],[claim_date]],"mmmm")</f>
        <v>January</v>
      </c>
      <c r="J886" s="2">
        <f>YEAR(Sheet1[[#This Row],[claim_date]])</f>
        <v>2025</v>
      </c>
      <c r="K886" s="2" t="str">
        <f>"Q"&amp;ROUNDUP(MONTH(Sheet1[[#This Row],[claim_date]])/3,0)</f>
        <v>Q1</v>
      </c>
      <c r="L886" s="2" t="str">
        <f>IF(Sheet1[[#This Row],[claim_amount]]&lt;100000,"Low",IF(Sheet1[[#This Row],[claim_amount]]&lt;200000,"Medium","High"))</f>
        <v>High</v>
      </c>
      <c r="M886" s="2" t="str">
        <f>IF(Sheet1[[#This Row],[days_to_process]]&lt;=30,"Fast","Slow")</f>
        <v>Slow</v>
      </c>
    </row>
    <row r="887" spans="1:13" x14ac:dyDescent="0.3">
      <c r="A887" t="s">
        <v>1666</v>
      </c>
      <c r="B887" s="2" t="s">
        <v>1667</v>
      </c>
      <c r="C887" s="1">
        <v>45336</v>
      </c>
      <c r="D887" s="35">
        <v>289260.89</v>
      </c>
      <c r="E887" s="2" t="s">
        <v>10</v>
      </c>
      <c r="F887" s="2" t="s">
        <v>11</v>
      </c>
      <c r="G887" s="2" t="s">
        <v>24</v>
      </c>
      <c r="H887">
        <v>56</v>
      </c>
      <c r="I887" s="2" t="str">
        <f>TEXT(Sheet1[[#This Row],[claim_date]],"mmmm")</f>
        <v>February</v>
      </c>
      <c r="J887" s="2">
        <f>YEAR(Sheet1[[#This Row],[claim_date]])</f>
        <v>2024</v>
      </c>
      <c r="K887" s="2" t="str">
        <f>"Q"&amp;ROUNDUP(MONTH(Sheet1[[#This Row],[claim_date]])/3,0)</f>
        <v>Q1</v>
      </c>
      <c r="L887" s="2" t="str">
        <f>IF(Sheet1[[#This Row],[claim_amount]]&lt;100000,"Low",IF(Sheet1[[#This Row],[claim_amount]]&lt;200000,"Medium","High"))</f>
        <v>High</v>
      </c>
      <c r="M887" s="2" t="str">
        <f>IF(Sheet1[[#This Row],[days_to_process]]&lt;=30,"Fast","Slow")</f>
        <v>Slow</v>
      </c>
    </row>
    <row r="888" spans="1:13" x14ac:dyDescent="0.3">
      <c r="A888" t="s">
        <v>1668</v>
      </c>
      <c r="B888" s="2" t="s">
        <v>473</v>
      </c>
      <c r="C888" s="1">
        <v>45399</v>
      </c>
      <c r="D888" s="35">
        <v>74245.83</v>
      </c>
      <c r="E888" s="2" t="s">
        <v>10</v>
      </c>
      <c r="F888" s="2" t="s">
        <v>16</v>
      </c>
      <c r="G888" s="2" t="s">
        <v>24</v>
      </c>
      <c r="H888">
        <v>9</v>
      </c>
      <c r="I888" s="2" t="str">
        <f>TEXT(Sheet1[[#This Row],[claim_date]],"mmmm")</f>
        <v>April</v>
      </c>
      <c r="J888" s="2">
        <f>YEAR(Sheet1[[#This Row],[claim_date]])</f>
        <v>2024</v>
      </c>
      <c r="K888" s="2" t="str">
        <f>"Q"&amp;ROUNDUP(MONTH(Sheet1[[#This Row],[claim_date]])/3,0)</f>
        <v>Q2</v>
      </c>
      <c r="L888" s="2" t="str">
        <f>IF(Sheet1[[#This Row],[claim_amount]]&lt;100000,"Low",IF(Sheet1[[#This Row],[claim_amount]]&lt;200000,"Medium","High"))</f>
        <v>Low</v>
      </c>
      <c r="M888" s="2" t="str">
        <f>IF(Sheet1[[#This Row],[days_to_process]]&lt;=30,"Fast","Slow")</f>
        <v>Fast</v>
      </c>
    </row>
    <row r="889" spans="1:13" x14ac:dyDescent="0.3">
      <c r="A889" t="s">
        <v>1669</v>
      </c>
      <c r="B889" s="2" t="s">
        <v>1670</v>
      </c>
      <c r="C889" s="1">
        <v>45013</v>
      </c>
      <c r="D889" s="35">
        <v>450675.9</v>
      </c>
      <c r="E889" s="2" t="s">
        <v>15</v>
      </c>
      <c r="F889" s="2" t="s">
        <v>23</v>
      </c>
      <c r="G889" s="2" t="s">
        <v>24</v>
      </c>
      <c r="H889">
        <v>39</v>
      </c>
      <c r="I889" s="2" t="str">
        <f>TEXT(Sheet1[[#This Row],[claim_date]],"mmmm")</f>
        <v>March</v>
      </c>
      <c r="J889" s="2">
        <f>YEAR(Sheet1[[#This Row],[claim_date]])</f>
        <v>2023</v>
      </c>
      <c r="K889" s="2" t="str">
        <f>"Q"&amp;ROUNDUP(MONTH(Sheet1[[#This Row],[claim_date]])/3,0)</f>
        <v>Q1</v>
      </c>
      <c r="L889" s="2" t="str">
        <f>IF(Sheet1[[#This Row],[claim_amount]]&lt;100000,"Low",IF(Sheet1[[#This Row],[claim_amount]]&lt;200000,"Medium","High"))</f>
        <v>High</v>
      </c>
      <c r="M889" s="2" t="str">
        <f>IF(Sheet1[[#This Row],[days_to_process]]&lt;=30,"Fast","Slow")</f>
        <v>Slow</v>
      </c>
    </row>
    <row r="890" spans="1:13" x14ac:dyDescent="0.3">
      <c r="A890" t="s">
        <v>1671</v>
      </c>
      <c r="B890" s="2" t="s">
        <v>1672</v>
      </c>
      <c r="C890" s="1">
        <v>45351</v>
      </c>
      <c r="D890" s="35">
        <v>383780.52</v>
      </c>
      <c r="E890" s="2" t="s">
        <v>10</v>
      </c>
      <c r="F890" s="2" t="s">
        <v>20</v>
      </c>
      <c r="G890" s="2" t="s">
        <v>24</v>
      </c>
      <c r="H890">
        <v>29</v>
      </c>
      <c r="I890" s="2" t="str">
        <f>TEXT(Sheet1[[#This Row],[claim_date]],"mmmm")</f>
        <v>February</v>
      </c>
      <c r="J890" s="2">
        <f>YEAR(Sheet1[[#This Row],[claim_date]])</f>
        <v>2024</v>
      </c>
      <c r="K890" s="2" t="str">
        <f>"Q"&amp;ROUNDUP(MONTH(Sheet1[[#This Row],[claim_date]])/3,0)</f>
        <v>Q1</v>
      </c>
      <c r="L890" s="2" t="str">
        <f>IF(Sheet1[[#This Row],[claim_amount]]&lt;100000,"Low",IF(Sheet1[[#This Row],[claim_amount]]&lt;200000,"Medium","High"))</f>
        <v>High</v>
      </c>
      <c r="M890" s="2" t="str">
        <f>IF(Sheet1[[#This Row],[days_to_process]]&lt;=30,"Fast","Slow")</f>
        <v>Fast</v>
      </c>
    </row>
    <row r="891" spans="1:13" x14ac:dyDescent="0.3">
      <c r="A891" t="s">
        <v>1673</v>
      </c>
      <c r="B891" s="2" t="s">
        <v>1674</v>
      </c>
      <c r="C891" s="1">
        <v>45302</v>
      </c>
      <c r="D891" s="35">
        <v>321808.40999999997</v>
      </c>
      <c r="E891" s="2" t="s">
        <v>10</v>
      </c>
      <c r="F891" s="2" t="s">
        <v>11</v>
      </c>
      <c r="G891" s="2" t="s">
        <v>24</v>
      </c>
      <c r="H891">
        <v>31</v>
      </c>
      <c r="I891" s="2" t="str">
        <f>TEXT(Sheet1[[#This Row],[claim_date]],"mmmm")</f>
        <v>January</v>
      </c>
      <c r="J891" s="2">
        <f>YEAR(Sheet1[[#This Row],[claim_date]])</f>
        <v>2024</v>
      </c>
      <c r="K891" s="2" t="str">
        <f>"Q"&amp;ROUNDUP(MONTH(Sheet1[[#This Row],[claim_date]])/3,0)</f>
        <v>Q1</v>
      </c>
      <c r="L891" s="2" t="str">
        <f>IF(Sheet1[[#This Row],[claim_amount]]&lt;100000,"Low",IF(Sheet1[[#This Row],[claim_amount]]&lt;200000,"Medium","High"))</f>
        <v>High</v>
      </c>
      <c r="M891" s="2" t="str">
        <f>IF(Sheet1[[#This Row],[days_to_process]]&lt;=30,"Fast","Slow")</f>
        <v>Slow</v>
      </c>
    </row>
    <row r="892" spans="1:13" x14ac:dyDescent="0.3">
      <c r="A892" t="s">
        <v>1675</v>
      </c>
      <c r="B892" s="2" t="s">
        <v>1676</v>
      </c>
      <c r="C892" s="1">
        <v>44976</v>
      </c>
      <c r="D892" s="35">
        <v>340973.85</v>
      </c>
      <c r="E892" s="2" t="s">
        <v>19</v>
      </c>
      <c r="F892" s="2" t="s">
        <v>34</v>
      </c>
      <c r="G892" s="2" t="s">
        <v>24</v>
      </c>
      <c r="H892">
        <v>59</v>
      </c>
      <c r="I892" s="2" t="str">
        <f>TEXT(Sheet1[[#This Row],[claim_date]],"mmmm")</f>
        <v>February</v>
      </c>
      <c r="J892" s="2">
        <f>YEAR(Sheet1[[#This Row],[claim_date]])</f>
        <v>2023</v>
      </c>
      <c r="K892" s="2" t="str">
        <f>"Q"&amp;ROUNDUP(MONTH(Sheet1[[#This Row],[claim_date]])/3,0)</f>
        <v>Q1</v>
      </c>
      <c r="L892" s="2" t="str">
        <f>IF(Sheet1[[#This Row],[claim_amount]]&lt;100000,"Low",IF(Sheet1[[#This Row],[claim_amount]]&lt;200000,"Medium","High"))</f>
        <v>High</v>
      </c>
      <c r="M892" s="2" t="str">
        <f>IF(Sheet1[[#This Row],[days_to_process]]&lt;=30,"Fast","Slow")</f>
        <v>Slow</v>
      </c>
    </row>
    <row r="893" spans="1:13" x14ac:dyDescent="0.3">
      <c r="A893" t="s">
        <v>1677</v>
      </c>
      <c r="B893" s="2" t="s">
        <v>1678</v>
      </c>
      <c r="C893" s="1">
        <v>45280</v>
      </c>
      <c r="D893" s="35">
        <v>262674.95</v>
      </c>
      <c r="E893" s="2" t="s">
        <v>10</v>
      </c>
      <c r="F893" s="2" t="s">
        <v>20</v>
      </c>
      <c r="G893" s="2" t="s">
        <v>12</v>
      </c>
      <c r="H893">
        <v>59</v>
      </c>
      <c r="I893" s="2" t="str">
        <f>TEXT(Sheet1[[#This Row],[claim_date]],"mmmm")</f>
        <v>December</v>
      </c>
      <c r="J893" s="2">
        <f>YEAR(Sheet1[[#This Row],[claim_date]])</f>
        <v>2023</v>
      </c>
      <c r="K893" s="2" t="str">
        <f>"Q"&amp;ROUNDUP(MONTH(Sheet1[[#This Row],[claim_date]])/3,0)</f>
        <v>Q4</v>
      </c>
      <c r="L893" s="2" t="str">
        <f>IF(Sheet1[[#This Row],[claim_amount]]&lt;100000,"Low",IF(Sheet1[[#This Row],[claim_amount]]&lt;200000,"Medium","High"))</f>
        <v>High</v>
      </c>
      <c r="M893" s="2" t="str">
        <f>IF(Sheet1[[#This Row],[days_to_process]]&lt;=30,"Fast","Slow")</f>
        <v>Slow</v>
      </c>
    </row>
    <row r="894" spans="1:13" x14ac:dyDescent="0.3">
      <c r="A894" t="s">
        <v>1679</v>
      </c>
      <c r="B894" s="2" t="s">
        <v>1680</v>
      </c>
      <c r="C894" s="1">
        <v>44991</v>
      </c>
      <c r="D894" s="35">
        <v>209903.85</v>
      </c>
      <c r="E894" s="2" t="s">
        <v>15</v>
      </c>
      <c r="F894" s="2" t="s">
        <v>34</v>
      </c>
      <c r="G894" s="2" t="s">
        <v>24</v>
      </c>
      <c r="H894">
        <v>25</v>
      </c>
      <c r="I894" s="2" t="str">
        <f>TEXT(Sheet1[[#This Row],[claim_date]],"mmmm")</f>
        <v>March</v>
      </c>
      <c r="J894" s="2">
        <f>YEAR(Sheet1[[#This Row],[claim_date]])</f>
        <v>2023</v>
      </c>
      <c r="K894" s="2" t="str">
        <f>"Q"&amp;ROUNDUP(MONTH(Sheet1[[#This Row],[claim_date]])/3,0)</f>
        <v>Q1</v>
      </c>
      <c r="L894" s="2" t="str">
        <f>IF(Sheet1[[#This Row],[claim_amount]]&lt;100000,"Low",IF(Sheet1[[#This Row],[claim_amount]]&lt;200000,"Medium","High"))</f>
        <v>High</v>
      </c>
      <c r="M894" s="2" t="str">
        <f>IF(Sheet1[[#This Row],[days_to_process]]&lt;=30,"Fast","Slow")</f>
        <v>Fast</v>
      </c>
    </row>
    <row r="895" spans="1:13" x14ac:dyDescent="0.3">
      <c r="A895" t="s">
        <v>1681</v>
      </c>
      <c r="B895" s="2" t="s">
        <v>1131</v>
      </c>
      <c r="C895" s="1">
        <v>45769</v>
      </c>
      <c r="D895" s="35">
        <v>327396.53000000003</v>
      </c>
      <c r="E895" s="2" t="s">
        <v>15</v>
      </c>
      <c r="F895" s="2" t="s">
        <v>11</v>
      </c>
      <c r="G895" s="2" t="s">
        <v>12</v>
      </c>
      <c r="H895">
        <v>38</v>
      </c>
      <c r="I895" s="2" t="str">
        <f>TEXT(Sheet1[[#This Row],[claim_date]],"mmmm")</f>
        <v>April</v>
      </c>
      <c r="J895" s="2">
        <f>YEAR(Sheet1[[#This Row],[claim_date]])</f>
        <v>2025</v>
      </c>
      <c r="K895" s="2" t="str">
        <f>"Q"&amp;ROUNDUP(MONTH(Sheet1[[#This Row],[claim_date]])/3,0)</f>
        <v>Q2</v>
      </c>
      <c r="L895" s="2" t="str">
        <f>IF(Sheet1[[#This Row],[claim_amount]]&lt;100000,"Low",IF(Sheet1[[#This Row],[claim_amount]]&lt;200000,"Medium","High"))</f>
        <v>High</v>
      </c>
      <c r="M895" s="2" t="str">
        <f>IF(Sheet1[[#This Row],[days_to_process]]&lt;=30,"Fast","Slow")</f>
        <v>Slow</v>
      </c>
    </row>
    <row r="896" spans="1:13" x14ac:dyDescent="0.3">
      <c r="A896" t="s">
        <v>1682</v>
      </c>
      <c r="B896" s="2" t="s">
        <v>1683</v>
      </c>
      <c r="C896" s="1">
        <v>45302</v>
      </c>
      <c r="D896" s="35">
        <v>64582.54</v>
      </c>
      <c r="E896" s="2" t="s">
        <v>15</v>
      </c>
      <c r="F896" s="2" t="s">
        <v>20</v>
      </c>
      <c r="G896" s="2" t="s">
        <v>12</v>
      </c>
      <c r="H896">
        <v>15</v>
      </c>
      <c r="I896" s="2" t="str">
        <f>TEXT(Sheet1[[#This Row],[claim_date]],"mmmm")</f>
        <v>January</v>
      </c>
      <c r="J896" s="2">
        <f>YEAR(Sheet1[[#This Row],[claim_date]])</f>
        <v>2024</v>
      </c>
      <c r="K896" s="2" t="str">
        <f>"Q"&amp;ROUNDUP(MONTH(Sheet1[[#This Row],[claim_date]])/3,0)</f>
        <v>Q1</v>
      </c>
      <c r="L896" s="2" t="str">
        <f>IF(Sheet1[[#This Row],[claim_amount]]&lt;100000,"Low",IF(Sheet1[[#This Row],[claim_amount]]&lt;200000,"Medium","High"))</f>
        <v>Low</v>
      </c>
      <c r="M896" s="2" t="str">
        <f>IF(Sheet1[[#This Row],[days_to_process]]&lt;=30,"Fast","Slow")</f>
        <v>Fast</v>
      </c>
    </row>
    <row r="897" spans="1:13" x14ac:dyDescent="0.3">
      <c r="A897" t="s">
        <v>1684</v>
      </c>
      <c r="B897" s="2" t="s">
        <v>1685</v>
      </c>
      <c r="C897" s="1">
        <v>45075</v>
      </c>
      <c r="D897" s="35">
        <v>393695.15</v>
      </c>
      <c r="E897" s="2" t="s">
        <v>19</v>
      </c>
      <c r="F897" s="2" t="s">
        <v>16</v>
      </c>
      <c r="G897" s="2" t="s">
        <v>12</v>
      </c>
      <c r="H897">
        <v>14</v>
      </c>
      <c r="I897" s="2" t="str">
        <f>TEXT(Sheet1[[#This Row],[claim_date]],"mmmm")</f>
        <v>May</v>
      </c>
      <c r="J897" s="2">
        <f>YEAR(Sheet1[[#This Row],[claim_date]])</f>
        <v>2023</v>
      </c>
      <c r="K897" s="2" t="str">
        <f>"Q"&amp;ROUNDUP(MONTH(Sheet1[[#This Row],[claim_date]])/3,0)</f>
        <v>Q2</v>
      </c>
      <c r="L897" s="2" t="str">
        <f>IF(Sheet1[[#This Row],[claim_amount]]&lt;100000,"Low",IF(Sheet1[[#This Row],[claim_amount]]&lt;200000,"Medium","High"))</f>
        <v>High</v>
      </c>
      <c r="M897" s="2" t="str">
        <f>IF(Sheet1[[#This Row],[days_to_process]]&lt;=30,"Fast","Slow")</f>
        <v>Fast</v>
      </c>
    </row>
    <row r="898" spans="1:13" x14ac:dyDescent="0.3">
      <c r="A898" t="s">
        <v>1686</v>
      </c>
      <c r="B898" s="2" t="s">
        <v>1687</v>
      </c>
      <c r="C898" s="1">
        <v>45474</v>
      </c>
      <c r="D898" s="35">
        <v>186748.54</v>
      </c>
      <c r="E898" s="2" t="s">
        <v>19</v>
      </c>
      <c r="F898" s="2" t="s">
        <v>11</v>
      </c>
      <c r="G898" s="2" t="s">
        <v>12</v>
      </c>
      <c r="H898">
        <v>23</v>
      </c>
      <c r="I898" s="2" t="str">
        <f>TEXT(Sheet1[[#This Row],[claim_date]],"mmmm")</f>
        <v>July</v>
      </c>
      <c r="J898" s="2">
        <f>YEAR(Sheet1[[#This Row],[claim_date]])</f>
        <v>2024</v>
      </c>
      <c r="K898" s="2" t="str">
        <f>"Q"&amp;ROUNDUP(MONTH(Sheet1[[#This Row],[claim_date]])/3,0)</f>
        <v>Q3</v>
      </c>
      <c r="L898" s="2" t="str">
        <f>IF(Sheet1[[#This Row],[claim_amount]]&lt;100000,"Low",IF(Sheet1[[#This Row],[claim_amount]]&lt;200000,"Medium","High"))</f>
        <v>Medium</v>
      </c>
      <c r="M898" s="2" t="str">
        <f>IF(Sheet1[[#This Row],[days_to_process]]&lt;=30,"Fast","Slow")</f>
        <v>Fast</v>
      </c>
    </row>
    <row r="899" spans="1:13" x14ac:dyDescent="0.3">
      <c r="A899" t="s">
        <v>1688</v>
      </c>
      <c r="B899" s="2" t="s">
        <v>1689</v>
      </c>
      <c r="C899" s="1">
        <v>45702</v>
      </c>
      <c r="D899" s="35">
        <v>363479.77</v>
      </c>
      <c r="E899" s="2" t="s">
        <v>19</v>
      </c>
      <c r="F899" s="2" t="s">
        <v>16</v>
      </c>
      <c r="G899" s="2" t="s">
        <v>12</v>
      </c>
      <c r="H899">
        <v>35</v>
      </c>
      <c r="I899" s="2" t="str">
        <f>TEXT(Sheet1[[#This Row],[claim_date]],"mmmm")</f>
        <v>February</v>
      </c>
      <c r="J899" s="2">
        <f>YEAR(Sheet1[[#This Row],[claim_date]])</f>
        <v>2025</v>
      </c>
      <c r="K899" s="2" t="str">
        <f>"Q"&amp;ROUNDUP(MONTH(Sheet1[[#This Row],[claim_date]])/3,0)</f>
        <v>Q1</v>
      </c>
      <c r="L899" s="2" t="str">
        <f>IF(Sheet1[[#This Row],[claim_amount]]&lt;100000,"Low",IF(Sheet1[[#This Row],[claim_amount]]&lt;200000,"Medium","High"))</f>
        <v>High</v>
      </c>
      <c r="M899" s="2" t="str">
        <f>IF(Sheet1[[#This Row],[days_to_process]]&lt;=30,"Fast","Slow")</f>
        <v>Slow</v>
      </c>
    </row>
    <row r="900" spans="1:13" x14ac:dyDescent="0.3">
      <c r="A900" t="s">
        <v>1690</v>
      </c>
      <c r="B900" s="2" t="s">
        <v>568</v>
      </c>
      <c r="C900" s="1">
        <v>45012</v>
      </c>
      <c r="D900" s="35">
        <v>253270.13</v>
      </c>
      <c r="E900" s="2" t="s">
        <v>15</v>
      </c>
      <c r="F900" s="2" t="s">
        <v>23</v>
      </c>
      <c r="G900" s="2" t="s">
        <v>24</v>
      </c>
      <c r="H900">
        <v>13</v>
      </c>
      <c r="I900" s="2" t="str">
        <f>TEXT(Sheet1[[#This Row],[claim_date]],"mmmm")</f>
        <v>March</v>
      </c>
      <c r="J900" s="2">
        <f>YEAR(Sheet1[[#This Row],[claim_date]])</f>
        <v>2023</v>
      </c>
      <c r="K900" s="2" t="str">
        <f>"Q"&amp;ROUNDUP(MONTH(Sheet1[[#This Row],[claim_date]])/3,0)</f>
        <v>Q1</v>
      </c>
      <c r="L900" s="2" t="str">
        <f>IF(Sheet1[[#This Row],[claim_amount]]&lt;100000,"Low",IF(Sheet1[[#This Row],[claim_amount]]&lt;200000,"Medium","High"))</f>
        <v>High</v>
      </c>
      <c r="M900" s="2" t="str">
        <f>IF(Sheet1[[#This Row],[days_to_process]]&lt;=30,"Fast","Slow")</f>
        <v>Fast</v>
      </c>
    </row>
    <row r="901" spans="1:13" x14ac:dyDescent="0.3">
      <c r="A901" t="s">
        <v>1691</v>
      </c>
      <c r="B901" s="2" t="s">
        <v>248</v>
      </c>
      <c r="C901" s="1">
        <v>45301</v>
      </c>
      <c r="D901" s="35">
        <v>292835.25</v>
      </c>
      <c r="E901" s="2" t="s">
        <v>10</v>
      </c>
      <c r="F901" s="2" t="s">
        <v>20</v>
      </c>
      <c r="G901" s="2" t="s">
        <v>24</v>
      </c>
      <c r="H901">
        <v>32</v>
      </c>
      <c r="I901" s="2" t="str">
        <f>TEXT(Sheet1[[#This Row],[claim_date]],"mmmm")</f>
        <v>January</v>
      </c>
      <c r="J901" s="2">
        <f>YEAR(Sheet1[[#This Row],[claim_date]])</f>
        <v>2024</v>
      </c>
      <c r="K901" s="2" t="str">
        <f>"Q"&amp;ROUNDUP(MONTH(Sheet1[[#This Row],[claim_date]])/3,0)</f>
        <v>Q1</v>
      </c>
      <c r="L901" s="2" t="str">
        <f>IF(Sheet1[[#This Row],[claim_amount]]&lt;100000,"Low",IF(Sheet1[[#This Row],[claim_amount]]&lt;200000,"Medium","High"))</f>
        <v>High</v>
      </c>
      <c r="M901" s="2" t="str">
        <f>IF(Sheet1[[#This Row],[days_to_process]]&lt;=30,"Fast","Slow")</f>
        <v>Slow</v>
      </c>
    </row>
    <row r="902" spans="1:13" x14ac:dyDescent="0.3">
      <c r="A902" t="s">
        <v>1692</v>
      </c>
      <c r="B902" s="2" t="s">
        <v>1693</v>
      </c>
      <c r="C902" s="1">
        <v>45048</v>
      </c>
      <c r="D902" s="35">
        <v>17815.04</v>
      </c>
      <c r="E902" s="2" t="s">
        <v>15</v>
      </c>
      <c r="F902" s="2" t="s">
        <v>34</v>
      </c>
      <c r="G902" s="2" t="s">
        <v>12</v>
      </c>
      <c r="H902">
        <v>48</v>
      </c>
      <c r="I902" s="2" t="str">
        <f>TEXT(Sheet1[[#This Row],[claim_date]],"mmmm")</f>
        <v>May</v>
      </c>
      <c r="J902" s="2">
        <f>YEAR(Sheet1[[#This Row],[claim_date]])</f>
        <v>2023</v>
      </c>
      <c r="K902" s="2" t="str">
        <f>"Q"&amp;ROUNDUP(MONTH(Sheet1[[#This Row],[claim_date]])/3,0)</f>
        <v>Q2</v>
      </c>
      <c r="L902" s="2" t="str">
        <f>IF(Sheet1[[#This Row],[claim_amount]]&lt;100000,"Low",IF(Sheet1[[#This Row],[claim_amount]]&lt;200000,"Medium","High"))</f>
        <v>Low</v>
      </c>
      <c r="M902" s="2" t="str">
        <f>IF(Sheet1[[#This Row],[days_to_process]]&lt;=30,"Fast","Slow")</f>
        <v>Slow</v>
      </c>
    </row>
    <row r="903" spans="1:13" x14ac:dyDescent="0.3">
      <c r="A903" t="s">
        <v>1694</v>
      </c>
      <c r="B903" s="2" t="s">
        <v>1695</v>
      </c>
      <c r="C903" s="1">
        <v>44981</v>
      </c>
      <c r="D903" s="35">
        <v>452720.43</v>
      </c>
      <c r="E903" s="2" t="s">
        <v>19</v>
      </c>
      <c r="F903" s="2" t="s">
        <v>16</v>
      </c>
      <c r="G903" s="2" t="s">
        <v>24</v>
      </c>
      <c r="H903">
        <v>51</v>
      </c>
      <c r="I903" s="2" t="str">
        <f>TEXT(Sheet1[[#This Row],[claim_date]],"mmmm")</f>
        <v>February</v>
      </c>
      <c r="J903" s="2">
        <f>YEAR(Sheet1[[#This Row],[claim_date]])</f>
        <v>2023</v>
      </c>
      <c r="K903" s="2" t="str">
        <f>"Q"&amp;ROUNDUP(MONTH(Sheet1[[#This Row],[claim_date]])/3,0)</f>
        <v>Q1</v>
      </c>
      <c r="L903" s="2" t="str">
        <f>IF(Sheet1[[#This Row],[claim_amount]]&lt;100000,"Low",IF(Sheet1[[#This Row],[claim_amount]]&lt;200000,"Medium","High"))</f>
        <v>High</v>
      </c>
      <c r="M903" s="2" t="str">
        <f>IF(Sheet1[[#This Row],[days_to_process]]&lt;=30,"Fast","Slow")</f>
        <v>Slow</v>
      </c>
    </row>
    <row r="904" spans="1:13" x14ac:dyDescent="0.3">
      <c r="A904" t="s">
        <v>1696</v>
      </c>
      <c r="B904" s="2" t="s">
        <v>1697</v>
      </c>
      <c r="C904" s="1">
        <v>45102</v>
      </c>
      <c r="D904" s="35">
        <v>490352.67</v>
      </c>
      <c r="E904" s="2" t="s">
        <v>15</v>
      </c>
      <c r="F904" s="2" t="s">
        <v>23</v>
      </c>
      <c r="G904" s="2" t="s">
        <v>24</v>
      </c>
      <c r="H904">
        <v>46</v>
      </c>
      <c r="I904" s="2" t="str">
        <f>TEXT(Sheet1[[#This Row],[claim_date]],"mmmm")</f>
        <v>June</v>
      </c>
      <c r="J904" s="2">
        <f>YEAR(Sheet1[[#This Row],[claim_date]])</f>
        <v>2023</v>
      </c>
      <c r="K904" s="2" t="str">
        <f>"Q"&amp;ROUNDUP(MONTH(Sheet1[[#This Row],[claim_date]])/3,0)</f>
        <v>Q2</v>
      </c>
      <c r="L904" s="2" t="str">
        <f>IF(Sheet1[[#This Row],[claim_amount]]&lt;100000,"Low",IF(Sheet1[[#This Row],[claim_amount]]&lt;200000,"Medium","High"))</f>
        <v>High</v>
      </c>
      <c r="M904" s="2" t="str">
        <f>IF(Sheet1[[#This Row],[days_to_process]]&lt;=30,"Fast","Slow")</f>
        <v>Slow</v>
      </c>
    </row>
    <row r="905" spans="1:13" x14ac:dyDescent="0.3">
      <c r="A905" t="s">
        <v>1698</v>
      </c>
      <c r="B905" s="2" t="s">
        <v>1699</v>
      </c>
      <c r="C905" s="1">
        <v>45601</v>
      </c>
      <c r="D905" s="35">
        <v>376466.96</v>
      </c>
      <c r="E905" s="2" t="s">
        <v>10</v>
      </c>
      <c r="F905" s="2" t="s">
        <v>11</v>
      </c>
      <c r="G905" s="2" t="s">
        <v>24</v>
      </c>
      <c r="H905">
        <v>20</v>
      </c>
      <c r="I905" s="2" t="str">
        <f>TEXT(Sheet1[[#This Row],[claim_date]],"mmmm")</f>
        <v>November</v>
      </c>
      <c r="J905" s="2">
        <f>YEAR(Sheet1[[#This Row],[claim_date]])</f>
        <v>2024</v>
      </c>
      <c r="K905" s="2" t="str">
        <f>"Q"&amp;ROUNDUP(MONTH(Sheet1[[#This Row],[claim_date]])/3,0)</f>
        <v>Q4</v>
      </c>
      <c r="L905" s="2" t="str">
        <f>IF(Sheet1[[#This Row],[claim_amount]]&lt;100000,"Low",IF(Sheet1[[#This Row],[claim_amount]]&lt;200000,"Medium","High"))</f>
        <v>High</v>
      </c>
      <c r="M905" s="2" t="str">
        <f>IF(Sheet1[[#This Row],[days_to_process]]&lt;=30,"Fast","Slow")</f>
        <v>Fast</v>
      </c>
    </row>
    <row r="906" spans="1:13" x14ac:dyDescent="0.3">
      <c r="A906" t="s">
        <v>1700</v>
      </c>
      <c r="B906" s="2" t="s">
        <v>1701</v>
      </c>
      <c r="C906" s="1">
        <v>44975</v>
      </c>
      <c r="D906" s="35">
        <v>434878.95</v>
      </c>
      <c r="E906" s="2" t="s">
        <v>10</v>
      </c>
      <c r="F906" s="2" t="s">
        <v>16</v>
      </c>
      <c r="G906" s="2" t="s">
        <v>24</v>
      </c>
      <c r="H906">
        <v>13</v>
      </c>
      <c r="I906" s="2" t="str">
        <f>TEXT(Sheet1[[#This Row],[claim_date]],"mmmm")</f>
        <v>February</v>
      </c>
      <c r="J906" s="2">
        <f>YEAR(Sheet1[[#This Row],[claim_date]])</f>
        <v>2023</v>
      </c>
      <c r="K906" s="2" t="str">
        <f>"Q"&amp;ROUNDUP(MONTH(Sheet1[[#This Row],[claim_date]])/3,0)</f>
        <v>Q1</v>
      </c>
      <c r="L906" s="2" t="str">
        <f>IF(Sheet1[[#This Row],[claim_amount]]&lt;100000,"Low",IF(Sheet1[[#This Row],[claim_amount]]&lt;200000,"Medium","High"))</f>
        <v>High</v>
      </c>
      <c r="M906" s="2" t="str">
        <f>IF(Sheet1[[#This Row],[days_to_process]]&lt;=30,"Fast","Slow")</f>
        <v>Fast</v>
      </c>
    </row>
    <row r="907" spans="1:13" x14ac:dyDescent="0.3">
      <c r="A907" t="s">
        <v>1702</v>
      </c>
      <c r="B907" s="2" t="s">
        <v>439</v>
      </c>
      <c r="C907" s="1">
        <v>45625</v>
      </c>
      <c r="D907" s="35">
        <v>448286.88</v>
      </c>
      <c r="E907" s="2" t="s">
        <v>10</v>
      </c>
      <c r="F907" s="2" t="s">
        <v>34</v>
      </c>
      <c r="G907" s="2" t="s">
        <v>24</v>
      </c>
      <c r="H907">
        <v>26</v>
      </c>
      <c r="I907" s="2" t="str">
        <f>TEXT(Sheet1[[#This Row],[claim_date]],"mmmm")</f>
        <v>November</v>
      </c>
      <c r="J907" s="2">
        <f>YEAR(Sheet1[[#This Row],[claim_date]])</f>
        <v>2024</v>
      </c>
      <c r="K907" s="2" t="str">
        <f>"Q"&amp;ROUNDUP(MONTH(Sheet1[[#This Row],[claim_date]])/3,0)</f>
        <v>Q4</v>
      </c>
      <c r="L907" s="2" t="str">
        <f>IF(Sheet1[[#This Row],[claim_amount]]&lt;100000,"Low",IF(Sheet1[[#This Row],[claim_amount]]&lt;200000,"Medium","High"))</f>
        <v>High</v>
      </c>
      <c r="M907" s="2" t="str">
        <f>IF(Sheet1[[#This Row],[days_to_process]]&lt;=30,"Fast","Slow")</f>
        <v>Fast</v>
      </c>
    </row>
    <row r="908" spans="1:13" x14ac:dyDescent="0.3">
      <c r="A908" t="s">
        <v>1703</v>
      </c>
      <c r="B908" s="2" t="s">
        <v>1268</v>
      </c>
      <c r="C908" s="1">
        <v>45572</v>
      </c>
      <c r="D908" s="35">
        <v>51162.78</v>
      </c>
      <c r="E908" s="2" t="s">
        <v>10</v>
      </c>
      <c r="F908" s="2" t="s">
        <v>16</v>
      </c>
      <c r="G908" s="2" t="s">
        <v>24</v>
      </c>
      <c r="H908">
        <v>20</v>
      </c>
      <c r="I908" s="2" t="str">
        <f>TEXT(Sheet1[[#This Row],[claim_date]],"mmmm")</f>
        <v>October</v>
      </c>
      <c r="J908" s="2">
        <f>YEAR(Sheet1[[#This Row],[claim_date]])</f>
        <v>2024</v>
      </c>
      <c r="K908" s="2" t="str">
        <f>"Q"&amp;ROUNDUP(MONTH(Sheet1[[#This Row],[claim_date]])/3,0)</f>
        <v>Q4</v>
      </c>
      <c r="L908" s="2" t="str">
        <f>IF(Sheet1[[#This Row],[claim_amount]]&lt;100000,"Low",IF(Sheet1[[#This Row],[claim_amount]]&lt;200000,"Medium","High"))</f>
        <v>Low</v>
      </c>
      <c r="M908" s="2" t="str">
        <f>IF(Sheet1[[#This Row],[days_to_process]]&lt;=30,"Fast","Slow")</f>
        <v>Fast</v>
      </c>
    </row>
    <row r="909" spans="1:13" x14ac:dyDescent="0.3">
      <c r="A909" t="s">
        <v>1704</v>
      </c>
      <c r="B909" s="2" t="s">
        <v>86</v>
      </c>
      <c r="C909" s="1">
        <v>45517</v>
      </c>
      <c r="D909" s="35">
        <v>281264.43</v>
      </c>
      <c r="E909" s="2" t="s">
        <v>19</v>
      </c>
      <c r="F909" s="2" t="s">
        <v>20</v>
      </c>
      <c r="G909" s="2" t="s">
        <v>24</v>
      </c>
      <c r="H909">
        <v>54</v>
      </c>
      <c r="I909" s="2" t="str">
        <f>TEXT(Sheet1[[#This Row],[claim_date]],"mmmm")</f>
        <v>August</v>
      </c>
      <c r="J909" s="2">
        <f>YEAR(Sheet1[[#This Row],[claim_date]])</f>
        <v>2024</v>
      </c>
      <c r="K909" s="2" t="str">
        <f>"Q"&amp;ROUNDUP(MONTH(Sheet1[[#This Row],[claim_date]])/3,0)</f>
        <v>Q3</v>
      </c>
      <c r="L909" s="2" t="str">
        <f>IF(Sheet1[[#This Row],[claim_amount]]&lt;100000,"Low",IF(Sheet1[[#This Row],[claim_amount]]&lt;200000,"Medium","High"))</f>
        <v>High</v>
      </c>
      <c r="M909" s="2" t="str">
        <f>IF(Sheet1[[#This Row],[days_to_process]]&lt;=30,"Fast","Slow")</f>
        <v>Slow</v>
      </c>
    </row>
    <row r="910" spans="1:13" x14ac:dyDescent="0.3">
      <c r="A910" t="s">
        <v>1705</v>
      </c>
      <c r="B910" s="2" t="s">
        <v>1706</v>
      </c>
      <c r="C910" s="1">
        <v>45527</v>
      </c>
      <c r="D910" s="35">
        <v>408506.72</v>
      </c>
      <c r="E910" s="2" t="s">
        <v>19</v>
      </c>
      <c r="F910" s="2" t="s">
        <v>11</v>
      </c>
      <c r="G910" s="2" t="s">
        <v>24</v>
      </c>
      <c r="H910">
        <v>36</v>
      </c>
      <c r="I910" s="2" t="str">
        <f>TEXT(Sheet1[[#This Row],[claim_date]],"mmmm")</f>
        <v>August</v>
      </c>
      <c r="J910" s="2">
        <f>YEAR(Sheet1[[#This Row],[claim_date]])</f>
        <v>2024</v>
      </c>
      <c r="K910" s="2" t="str">
        <f>"Q"&amp;ROUNDUP(MONTH(Sheet1[[#This Row],[claim_date]])/3,0)</f>
        <v>Q3</v>
      </c>
      <c r="L910" s="2" t="str">
        <f>IF(Sheet1[[#This Row],[claim_amount]]&lt;100000,"Low",IF(Sheet1[[#This Row],[claim_amount]]&lt;200000,"Medium","High"))</f>
        <v>High</v>
      </c>
      <c r="M910" s="2" t="str">
        <f>IF(Sheet1[[#This Row],[days_to_process]]&lt;=30,"Fast","Slow")</f>
        <v>Slow</v>
      </c>
    </row>
    <row r="911" spans="1:13" x14ac:dyDescent="0.3">
      <c r="A911" t="s">
        <v>1707</v>
      </c>
      <c r="B911" s="2" t="s">
        <v>1708</v>
      </c>
      <c r="C911" s="1">
        <v>44933</v>
      </c>
      <c r="D911" s="35">
        <v>467078.24</v>
      </c>
      <c r="E911" s="2" t="s">
        <v>15</v>
      </c>
      <c r="F911" s="2" t="s">
        <v>20</v>
      </c>
      <c r="G911" s="2" t="s">
        <v>24</v>
      </c>
      <c r="H911">
        <v>12</v>
      </c>
      <c r="I911" s="2" t="str">
        <f>TEXT(Sheet1[[#This Row],[claim_date]],"mmmm")</f>
        <v>January</v>
      </c>
      <c r="J911" s="2">
        <f>YEAR(Sheet1[[#This Row],[claim_date]])</f>
        <v>2023</v>
      </c>
      <c r="K911" s="2" t="str">
        <f>"Q"&amp;ROUNDUP(MONTH(Sheet1[[#This Row],[claim_date]])/3,0)</f>
        <v>Q1</v>
      </c>
      <c r="L911" s="2" t="str">
        <f>IF(Sheet1[[#This Row],[claim_amount]]&lt;100000,"Low",IF(Sheet1[[#This Row],[claim_amount]]&lt;200000,"Medium","High"))</f>
        <v>High</v>
      </c>
      <c r="M911" s="2" t="str">
        <f>IF(Sheet1[[#This Row],[days_to_process]]&lt;=30,"Fast","Slow")</f>
        <v>Fast</v>
      </c>
    </row>
    <row r="912" spans="1:13" x14ac:dyDescent="0.3">
      <c r="A912" t="s">
        <v>1709</v>
      </c>
      <c r="B912" s="2" t="s">
        <v>1710</v>
      </c>
      <c r="C912" s="1">
        <v>44077</v>
      </c>
      <c r="D912" s="35">
        <v>256785.91</v>
      </c>
      <c r="E912" s="2" t="s">
        <v>15</v>
      </c>
      <c r="F912" s="2" t="s">
        <v>16</v>
      </c>
      <c r="G912" s="2" t="s">
        <v>12</v>
      </c>
      <c r="H912">
        <v>33</v>
      </c>
      <c r="I912" s="2" t="str">
        <f>TEXT(Sheet1[[#This Row],[claim_date]],"mmmm")</f>
        <v>September</v>
      </c>
      <c r="J912" s="2">
        <f>YEAR(Sheet1[[#This Row],[claim_date]])</f>
        <v>2020</v>
      </c>
      <c r="K912" s="2" t="str">
        <f>"Q"&amp;ROUNDUP(MONTH(Sheet1[[#This Row],[claim_date]])/3,0)</f>
        <v>Q3</v>
      </c>
      <c r="L912" s="2" t="str">
        <f>IF(Sheet1[[#This Row],[claim_amount]]&lt;100000,"Low",IF(Sheet1[[#This Row],[claim_amount]]&lt;200000,"Medium","High"))</f>
        <v>High</v>
      </c>
      <c r="M912" s="2" t="str">
        <f>IF(Sheet1[[#This Row],[days_to_process]]&lt;=30,"Fast","Slow")</f>
        <v>Slow</v>
      </c>
    </row>
    <row r="913" spans="1:13" x14ac:dyDescent="0.3">
      <c r="A913" t="s">
        <v>1711</v>
      </c>
      <c r="B913" s="2" t="s">
        <v>487</v>
      </c>
      <c r="C913" s="1">
        <v>44468</v>
      </c>
      <c r="D913" s="35">
        <v>69511.55</v>
      </c>
      <c r="E913" s="2" t="s">
        <v>15</v>
      </c>
      <c r="F913" s="2" t="s">
        <v>11</v>
      </c>
      <c r="G913" s="2" t="s">
        <v>24</v>
      </c>
      <c r="H913">
        <v>17</v>
      </c>
      <c r="I913" s="2" t="str">
        <f>TEXT(Sheet1[[#This Row],[claim_date]],"mmmm")</f>
        <v>September</v>
      </c>
      <c r="J913" s="2">
        <f>YEAR(Sheet1[[#This Row],[claim_date]])</f>
        <v>2021</v>
      </c>
      <c r="K913" s="2" t="str">
        <f>"Q"&amp;ROUNDUP(MONTH(Sheet1[[#This Row],[claim_date]])/3,0)</f>
        <v>Q3</v>
      </c>
      <c r="L913" s="2" t="str">
        <f>IF(Sheet1[[#This Row],[claim_amount]]&lt;100000,"Low",IF(Sheet1[[#This Row],[claim_amount]]&lt;200000,"Medium","High"))</f>
        <v>Low</v>
      </c>
      <c r="M913" s="2" t="str">
        <f>IF(Sheet1[[#This Row],[days_to_process]]&lt;=30,"Fast","Slow")</f>
        <v>Fast</v>
      </c>
    </row>
    <row r="914" spans="1:13" x14ac:dyDescent="0.3">
      <c r="A914" t="s">
        <v>1712</v>
      </c>
      <c r="B914" s="2" t="s">
        <v>105</v>
      </c>
      <c r="C914" s="1">
        <v>45382</v>
      </c>
      <c r="D914" s="35">
        <v>14203.35</v>
      </c>
      <c r="E914" s="2" t="s">
        <v>15</v>
      </c>
      <c r="F914" s="2" t="s">
        <v>16</v>
      </c>
      <c r="G914" s="2" t="s">
        <v>12</v>
      </c>
      <c r="H914">
        <v>48</v>
      </c>
      <c r="I914" s="2" t="str">
        <f>TEXT(Sheet1[[#This Row],[claim_date]],"mmmm")</f>
        <v>March</v>
      </c>
      <c r="J914" s="2">
        <f>YEAR(Sheet1[[#This Row],[claim_date]])</f>
        <v>2024</v>
      </c>
      <c r="K914" s="2" t="str">
        <f>"Q"&amp;ROUNDUP(MONTH(Sheet1[[#This Row],[claim_date]])/3,0)</f>
        <v>Q1</v>
      </c>
      <c r="L914" s="2" t="str">
        <f>IF(Sheet1[[#This Row],[claim_amount]]&lt;100000,"Low",IF(Sheet1[[#This Row],[claim_amount]]&lt;200000,"Medium","High"))</f>
        <v>Low</v>
      </c>
      <c r="M914" s="2" t="str">
        <f>IF(Sheet1[[#This Row],[days_to_process]]&lt;=30,"Fast","Slow")</f>
        <v>Slow</v>
      </c>
    </row>
    <row r="915" spans="1:13" x14ac:dyDescent="0.3">
      <c r="A915" t="s">
        <v>1713</v>
      </c>
      <c r="B915" s="2" t="s">
        <v>1714</v>
      </c>
      <c r="C915" s="1">
        <v>45011</v>
      </c>
      <c r="D915" s="35">
        <v>70028.34</v>
      </c>
      <c r="E915" s="2" t="s">
        <v>19</v>
      </c>
      <c r="F915" s="2" t="s">
        <v>16</v>
      </c>
      <c r="G915" s="2" t="s">
        <v>24</v>
      </c>
      <c r="H915">
        <v>46</v>
      </c>
      <c r="I915" s="2" t="str">
        <f>TEXT(Sheet1[[#This Row],[claim_date]],"mmmm")</f>
        <v>March</v>
      </c>
      <c r="J915" s="2">
        <f>YEAR(Sheet1[[#This Row],[claim_date]])</f>
        <v>2023</v>
      </c>
      <c r="K915" s="2" t="str">
        <f>"Q"&amp;ROUNDUP(MONTH(Sheet1[[#This Row],[claim_date]])/3,0)</f>
        <v>Q1</v>
      </c>
      <c r="L915" s="2" t="str">
        <f>IF(Sheet1[[#This Row],[claim_amount]]&lt;100000,"Low",IF(Sheet1[[#This Row],[claim_amount]]&lt;200000,"Medium","High"))</f>
        <v>Low</v>
      </c>
      <c r="M915" s="2" t="str">
        <f>IF(Sheet1[[#This Row],[days_to_process]]&lt;=30,"Fast","Slow")</f>
        <v>Slow</v>
      </c>
    </row>
    <row r="916" spans="1:13" x14ac:dyDescent="0.3">
      <c r="A916" t="s">
        <v>1715</v>
      </c>
      <c r="B916" s="2" t="s">
        <v>1716</v>
      </c>
      <c r="C916" s="1">
        <v>44688</v>
      </c>
      <c r="D916" s="35">
        <v>294902.53999999998</v>
      </c>
      <c r="E916" s="2" t="s">
        <v>10</v>
      </c>
      <c r="F916" s="2" t="s">
        <v>16</v>
      </c>
      <c r="G916" s="2" t="s">
        <v>24</v>
      </c>
      <c r="H916">
        <v>47</v>
      </c>
      <c r="I916" s="2" t="str">
        <f>TEXT(Sheet1[[#This Row],[claim_date]],"mmmm")</f>
        <v>May</v>
      </c>
      <c r="J916" s="2">
        <f>YEAR(Sheet1[[#This Row],[claim_date]])</f>
        <v>2022</v>
      </c>
      <c r="K916" s="2" t="str">
        <f>"Q"&amp;ROUNDUP(MONTH(Sheet1[[#This Row],[claim_date]])/3,0)</f>
        <v>Q2</v>
      </c>
      <c r="L916" s="2" t="str">
        <f>IF(Sheet1[[#This Row],[claim_amount]]&lt;100000,"Low",IF(Sheet1[[#This Row],[claim_amount]]&lt;200000,"Medium","High"))</f>
        <v>High</v>
      </c>
      <c r="M916" s="2" t="str">
        <f>IF(Sheet1[[#This Row],[days_to_process]]&lt;=30,"Fast","Slow")</f>
        <v>Slow</v>
      </c>
    </row>
    <row r="917" spans="1:13" x14ac:dyDescent="0.3">
      <c r="A917" t="s">
        <v>1717</v>
      </c>
      <c r="B917" s="2" t="s">
        <v>1718</v>
      </c>
      <c r="C917" s="1">
        <v>44129</v>
      </c>
      <c r="D917" s="35">
        <v>442524.66</v>
      </c>
      <c r="E917" s="2" t="s">
        <v>15</v>
      </c>
      <c r="F917" s="2" t="s">
        <v>16</v>
      </c>
      <c r="G917" s="2" t="s">
        <v>12</v>
      </c>
      <c r="H917">
        <v>58</v>
      </c>
      <c r="I917" s="2" t="str">
        <f>TEXT(Sheet1[[#This Row],[claim_date]],"mmmm")</f>
        <v>October</v>
      </c>
      <c r="J917" s="2">
        <f>YEAR(Sheet1[[#This Row],[claim_date]])</f>
        <v>2020</v>
      </c>
      <c r="K917" s="2" t="str">
        <f>"Q"&amp;ROUNDUP(MONTH(Sheet1[[#This Row],[claim_date]])/3,0)</f>
        <v>Q4</v>
      </c>
      <c r="L917" s="2" t="str">
        <f>IF(Sheet1[[#This Row],[claim_amount]]&lt;100000,"Low",IF(Sheet1[[#This Row],[claim_amount]]&lt;200000,"Medium","High"))</f>
        <v>High</v>
      </c>
      <c r="M917" s="2" t="str">
        <f>IF(Sheet1[[#This Row],[days_to_process]]&lt;=30,"Fast","Slow")</f>
        <v>Slow</v>
      </c>
    </row>
    <row r="918" spans="1:13" x14ac:dyDescent="0.3">
      <c r="A918" t="s">
        <v>1719</v>
      </c>
      <c r="B918" s="2" t="s">
        <v>1720</v>
      </c>
      <c r="C918" s="1">
        <v>44591</v>
      </c>
      <c r="D918" s="35">
        <v>62621.23</v>
      </c>
      <c r="E918" s="2" t="s">
        <v>10</v>
      </c>
      <c r="F918" s="2" t="s">
        <v>34</v>
      </c>
      <c r="G918" s="2" t="s">
        <v>24</v>
      </c>
      <c r="H918">
        <v>58</v>
      </c>
      <c r="I918" s="2" t="str">
        <f>TEXT(Sheet1[[#This Row],[claim_date]],"mmmm")</f>
        <v>January</v>
      </c>
      <c r="J918" s="2">
        <f>YEAR(Sheet1[[#This Row],[claim_date]])</f>
        <v>2022</v>
      </c>
      <c r="K918" s="2" t="str">
        <f>"Q"&amp;ROUNDUP(MONTH(Sheet1[[#This Row],[claim_date]])/3,0)</f>
        <v>Q1</v>
      </c>
      <c r="L918" s="2" t="str">
        <f>IF(Sheet1[[#This Row],[claim_amount]]&lt;100000,"Low",IF(Sheet1[[#This Row],[claim_amount]]&lt;200000,"Medium","High"))</f>
        <v>Low</v>
      </c>
      <c r="M918" s="2" t="str">
        <f>IF(Sheet1[[#This Row],[days_to_process]]&lt;=30,"Fast","Slow")</f>
        <v>Slow</v>
      </c>
    </row>
    <row r="919" spans="1:13" x14ac:dyDescent="0.3">
      <c r="A919" t="s">
        <v>1721</v>
      </c>
      <c r="B919" s="2" t="s">
        <v>1722</v>
      </c>
      <c r="C919" s="1">
        <v>45010</v>
      </c>
      <c r="D919" s="35">
        <v>33165.300000000003</v>
      </c>
      <c r="E919" s="2" t="s">
        <v>15</v>
      </c>
      <c r="F919" s="2" t="s">
        <v>23</v>
      </c>
      <c r="G919" s="2" t="s">
        <v>12</v>
      </c>
      <c r="H919">
        <v>33</v>
      </c>
      <c r="I919" s="2" t="str">
        <f>TEXT(Sheet1[[#This Row],[claim_date]],"mmmm")</f>
        <v>March</v>
      </c>
      <c r="J919" s="2">
        <f>YEAR(Sheet1[[#This Row],[claim_date]])</f>
        <v>2023</v>
      </c>
      <c r="K919" s="2" t="str">
        <f>"Q"&amp;ROUNDUP(MONTH(Sheet1[[#This Row],[claim_date]])/3,0)</f>
        <v>Q1</v>
      </c>
      <c r="L919" s="2" t="str">
        <f>IF(Sheet1[[#This Row],[claim_amount]]&lt;100000,"Low",IF(Sheet1[[#This Row],[claim_amount]]&lt;200000,"Medium","High"))</f>
        <v>Low</v>
      </c>
      <c r="M919" s="2" t="str">
        <f>IF(Sheet1[[#This Row],[days_to_process]]&lt;=30,"Fast","Slow")</f>
        <v>Slow</v>
      </c>
    </row>
    <row r="920" spans="1:13" x14ac:dyDescent="0.3">
      <c r="A920" t="s">
        <v>1723</v>
      </c>
      <c r="B920" s="2" t="s">
        <v>1724</v>
      </c>
      <c r="C920" s="1">
        <v>44594</v>
      </c>
      <c r="D920" s="35">
        <v>448583.61</v>
      </c>
      <c r="E920" s="2" t="s">
        <v>10</v>
      </c>
      <c r="F920" s="2" t="s">
        <v>23</v>
      </c>
      <c r="G920" s="2" t="s">
        <v>12</v>
      </c>
      <c r="H920">
        <v>37</v>
      </c>
      <c r="I920" s="2" t="str">
        <f>TEXT(Sheet1[[#This Row],[claim_date]],"mmmm")</f>
        <v>February</v>
      </c>
      <c r="J920" s="2">
        <f>YEAR(Sheet1[[#This Row],[claim_date]])</f>
        <v>2022</v>
      </c>
      <c r="K920" s="2" t="str">
        <f>"Q"&amp;ROUNDUP(MONTH(Sheet1[[#This Row],[claim_date]])/3,0)</f>
        <v>Q1</v>
      </c>
      <c r="L920" s="2" t="str">
        <f>IF(Sheet1[[#This Row],[claim_amount]]&lt;100000,"Low",IF(Sheet1[[#This Row],[claim_amount]]&lt;200000,"Medium","High"))</f>
        <v>High</v>
      </c>
      <c r="M920" s="2" t="str">
        <f>IF(Sheet1[[#This Row],[days_to_process]]&lt;=30,"Fast","Slow")</f>
        <v>Slow</v>
      </c>
    </row>
    <row r="921" spans="1:13" x14ac:dyDescent="0.3">
      <c r="A921" t="s">
        <v>1725</v>
      </c>
      <c r="B921" s="2" t="s">
        <v>1726</v>
      </c>
      <c r="C921" s="1">
        <v>45777</v>
      </c>
      <c r="D921" s="35">
        <v>145481.57</v>
      </c>
      <c r="E921" s="2" t="s">
        <v>19</v>
      </c>
      <c r="F921" s="2" t="s">
        <v>20</v>
      </c>
      <c r="G921" s="2" t="s">
        <v>24</v>
      </c>
      <c r="H921">
        <v>46</v>
      </c>
      <c r="I921" s="2" t="str">
        <f>TEXT(Sheet1[[#This Row],[claim_date]],"mmmm")</f>
        <v>April</v>
      </c>
      <c r="J921" s="2">
        <f>YEAR(Sheet1[[#This Row],[claim_date]])</f>
        <v>2025</v>
      </c>
      <c r="K921" s="2" t="str">
        <f>"Q"&amp;ROUNDUP(MONTH(Sheet1[[#This Row],[claim_date]])/3,0)</f>
        <v>Q2</v>
      </c>
      <c r="L921" s="2" t="str">
        <f>IF(Sheet1[[#This Row],[claim_amount]]&lt;100000,"Low",IF(Sheet1[[#This Row],[claim_amount]]&lt;200000,"Medium","High"))</f>
        <v>Medium</v>
      </c>
      <c r="M921" s="2" t="str">
        <f>IF(Sheet1[[#This Row],[days_to_process]]&lt;=30,"Fast","Slow")</f>
        <v>Slow</v>
      </c>
    </row>
    <row r="922" spans="1:13" x14ac:dyDescent="0.3">
      <c r="A922" t="s">
        <v>1727</v>
      </c>
      <c r="B922" s="2" t="s">
        <v>1728</v>
      </c>
      <c r="C922" s="1">
        <v>45373</v>
      </c>
      <c r="D922" s="35">
        <v>186593.2</v>
      </c>
      <c r="E922" s="2" t="s">
        <v>15</v>
      </c>
      <c r="F922" s="2" t="s">
        <v>20</v>
      </c>
      <c r="G922" s="2" t="s">
        <v>24</v>
      </c>
      <c r="H922">
        <v>10</v>
      </c>
      <c r="I922" s="2" t="str">
        <f>TEXT(Sheet1[[#This Row],[claim_date]],"mmmm")</f>
        <v>March</v>
      </c>
      <c r="J922" s="2">
        <f>YEAR(Sheet1[[#This Row],[claim_date]])</f>
        <v>2024</v>
      </c>
      <c r="K922" s="2" t="str">
        <f>"Q"&amp;ROUNDUP(MONTH(Sheet1[[#This Row],[claim_date]])/3,0)</f>
        <v>Q1</v>
      </c>
      <c r="L922" s="2" t="str">
        <f>IF(Sheet1[[#This Row],[claim_amount]]&lt;100000,"Low",IF(Sheet1[[#This Row],[claim_amount]]&lt;200000,"Medium","High"))</f>
        <v>Medium</v>
      </c>
      <c r="M922" s="2" t="str">
        <f>IF(Sheet1[[#This Row],[days_to_process]]&lt;=30,"Fast","Slow")</f>
        <v>Fast</v>
      </c>
    </row>
    <row r="923" spans="1:13" x14ac:dyDescent="0.3">
      <c r="A923" t="s">
        <v>1729</v>
      </c>
      <c r="B923" s="2" t="s">
        <v>1185</v>
      </c>
      <c r="C923" s="1">
        <v>45432</v>
      </c>
      <c r="D923" s="35">
        <v>427754.36</v>
      </c>
      <c r="E923" s="2" t="s">
        <v>19</v>
      </c>
      <c r="F923" s="2" t="s">
        <v>20</v>
      </c>
      <c r="G923" s="2" t="s">
        <v>12</v>
      </c>
      <c r="H923">
        <v>5</v>
      </c>
      <c r="I923" s="2" t="str">
        <f>TEXT(Sheet1[[#This Row],[claim_date]],"mmmm")</f>
        <v>May</v>
      </c>
      <c r="J923" s="2">
        <f>YEAR(Sheet1[[#This Row],[claim_date]])</f>
        <v>2024</v>
      </c>
      <c r="K923" s="2" t="str">
        <f>"Q"&amp;ROUNDUP(MONTH(Sheet1[[#This Row],[claim_date]])/3,0)</f>
        <v>Q2</v>
      </c>
      <c r="L923" s="2" t="str">
        <f>IF(Sheet1[[#This Row],[claim_amount]]&lt;100000,"Low",IF(Sheet1[[#This Row],[claim_amount]]&lt;200000,"Medium","High"))</f>
        <v>High</v>
      </c>
      <c r="M923" s="2" t="str">
        <f>IF(Sheet1[[#This Row],[days_to_process]]&lt;=30,"Fast","Slow")</f>
        <v>Fast</v>
      </c>
    </row>
    <row r="924" spans="1:13" x14ac:dyDescent="0.3">
      <c r="A924" t="s">
        <v>1730</v>
      </c>
      <c r="B924" s="2" t="s">
        <v>1595</v>
      </c>
      <c r="C924" s="1">
        <v>45645</v>
      </c>
      <c r="D924" s="35">
        <v>98635.43</v>
      </c>
      <c r="E924" s="2" t="s">
        <v>19</v>
      </c>
      <c r="F924" s="2" t="s">
        <v>20</v>
      </c>
      <c r="G924" s="2" t="s">
        <v>24</v>
      </c>
      <c r="H924">
        <v>4</v>
      </c>
      <c r="I924" s="2" t="str">
        <f>TEXT(Sheet1[[#This Row],[claim_date]],"mmmm")</f>
        <v>December</v>
      </c>
      <c r="J924" s="2">
        <f>YEAR(Sheet1[[#This Row],[claim_date]])</f>
        <v>2024</v>
      </c>
      <c r="K924" s="2" t="str">
        <f>"Q"&amp;ROUNDUP(MONTH(Sheet1[[#This Row],[claim_date]])/3,0)</f>
        <v>Q4</v>
      </c>
      <c r="L924" s="2" t="str">
        <f>IF(Sheet1[[#This Row],[claim_amount]]&lt;100000,"Low",IF(Sheet1[[#This Row],[claim_amount]]&lt;200000,"Medium","High"))</f>
        <v>Low</v>
      </c>
      <c r="M924" s="2" t="str">
        <f>IF(Sheet1[[#This Row],[days_to_process]]&lt;=30,"Fast","Slow")</f>
        <v>Fast</v>
      </c>
    </row>
    <row r="925" spans="1:13" x14ac:dyDescent="0.3">
      <c r="A925" t="s">
        <v>1731</v>
      </c>
      <c r="B925" s="2" t="s">
        <v>1732</v>
      </c>
      <c r="C925" s="1">
        <v>45579</v>
      </c>
      <c r="D925" s="35">
        <v>173955.71</v>
      </c>
      <c r="E925" s="2" t="s">
        <v>15</v>
      </c>
      <c r="F925" s="2" t="s">
        <v>16</v>
      </c>
      <c r="G925" s="2" t="s">
        <v>12</v>
      </c>
      <c r="H925">
        <v>6</v>
      </c>
      <c r="I925" s="2" t="str">
        <f>TEXT(Sheet1[[#This Row],[claim_date]],"mmmm")</f>
        <v>October</v>
      </c>
      <c r="J925" s="2">
        <f>YEAR(Sheet1[[#This Row],[claim_date]])</f>
        <v>2024</v>
      </c>
      <c r="K925" s="2" t="str">
        <f>"Q"&amp;ROUNDUP(MONTH(Sheet1[[#This Row],[claim_date]])/3,0)</f>
        <v>Q4</v>
      </c>
      <c r="L925" s="2" t="str">
        <f>IF(Sheet1[[#This Row],[claim_amount]]&lt;100000,"Low",IF(Sheet1[[#This Row],[claim_amount]]&lt;200000,"Medium","High"))</f>
        <v>Medium</v>
      </c>
      <c r="M925" s="2" t="str">
        <f>IF(Sheet1[[#This Row],[days_to_process]]&lt;=30,"Fast","Slow")</f>
        <v>Fast</v>
      </c>
    </row>
    <row r="926" spans="1:13" x14ac:dyDescent="0.3">
      <c r="A926" t="s">
        <v>1733</v>
      </c>
      <c r="B926" s="2" t="s">
        <v>1734</v>
      </c>
      <c r="C926" s="1">
        <v>45298</v>
      </c>
      <c r="D926" s="35">
        <v>102260.26</v>
      </c>
      <c r="E926" s="2" t="s">
        <v>15</v>
      </c>
      <c r="F926" s="2" t="s">
        <v>34</v>
      </c>
      <c r="G926" s="2" t="s">
        <v>24</v>
      </c>
      <c r="H926">
        <v>25</v>
      </c>
      <c r="I926" s="2" t="str">
        <f>TEXT(Sheet1[[#This Row],[claim_date]],"mmmm")</f>
        <v>January</v>
      </c>
      <c r="J926" s="2">
        <f>YEAR(Sheet1[[#This Row],[claim_date]])</f>
        <v>2024</v>
      </c>
      <c r="K926" s="2" t="str">
        <f>"Q"&amp;ROUNDUP(MONTH(Sheet1[[#This Row],[claim_date]])/3,0)</f>
        <v>Q1</v>
      </c>
      <c r="L926" s="2" t="str">
        <f>IF(Sheet1[[#This Row],[claim_amount]]&lt;100000,"Low",IF(Sheet1[[#This Row],[claim_amount]]&lt;200000,"Medium","High"))</f>
        <v>Medium</v>
      </c>
      <c r="M926" s="2" t="str">
        <f>IF(Sheet1[[#This Row],[days_to_process]]&lt;=30,"Fast","Slow")</f>
        <v>Fast</v>
      </c>
    </row>
    <row r="927" spans="1:13" x14ac:dyDescent="0.3">
      <c r="A927" t="s">
        <v>1735</v>
      </c>
      <c r="B927" s="2" t="s">
        <v>1736</v>
      </c>
      <c r="C927" s="1">
        <v>45179</v>
      </c>
      <c r="D927" s="35">
        <v>219703.71</v>
      </c>
      <c r="E927" s="2" t="s">
        <v>10</v>
      </c>
      <c r="F927" s="2" t="s">
        <v>11</v>
      </c>
      <c r="G927" s="2" t="s">
        <v>24</v>
      </c>
      <c r="H927">
        <v>58</v>
      </c>
      <c r="I927" s="2" t="str">
        <f>TEXT(Sheet1[[#This Row],[claim_date]],"mmmm")</f>
        <v>September</v>
      </c>
      <c r="J927" s="2">
        <f>YEAR(Sheet1[[#This Row],[claim_date]])</f>
        <v>2023</v>
      </c>
      <c r="K927" s="2" t="str">
        <f>"Q"&amp;ROUNDUP(MONTH(Sheet1[[#This Row],[claim_date]])/3,0)</f>
        <v>Q3</v>
      </c>
      <c r="L927" s="2" t="str">
        <f>IF(Sheet1[[#This Row],[claim_amount]]&lt;100000,"Low",IF(Sheet1[[#This Row],[claim_amount]]&lt;200000,"Medium","High"))</f>
        <v>High</v>
      </c>
      <c r="M927" s="2" t="str">
        <f>IF(Sheet1[[#This Row],[days_to_process]]&lt;=30,"Fast","Slow")</f>
        <v>Slow</v>
      </c>
    </row>
    <row r="928" spans="1:13" x14ac:dyDescent="0.3">
      <c r="A928" t="s">
        <v>1737</v>
      </c>
      <c r="B928" s="2" t="s">
        <v>963</v>
      </c>
      <c r="C928" s="1">
        <v>45416</v>
      </c>
      <c r="D928" s="35">
        <v>489698.88</v>
      </c>
      <c r="E928" s="2" t="s">
        <v>10</v>
      </c>
      <c r="F928" s="2" t="s">
        <v>11</v>
      </c>
      <c r="G928" s="2" t="s">
        <v>24</v>
      </c>
      <c r="H928">
        <v>56</v>
      </c>
      <c r="I928" s="2" t="str">
        <f>TEXT(Sheet1[[#This Row],[claim_date]],"mmmm")</f>
        <v>May</v>
      </c>
      <c r="J928" s="2">
        <f>YEAR(Sheet1[[#This Row],[claim_date]])</f>
        <v>2024</v>
      </c>
      <c r="K928" s="2" t="str">
        <f>"Q"&amp;ROUNDUP(MONTH(Sheet1[[#This Row],[claim_date]])/3,0)</f>
        <v>Q2</v>
      </c>
      <c r="L928" s="2" t="str">
        <f>IF(Sheet1[[#This Row],[claim_amount]]&lt;100000,"Low",IF(Sheet1[[#This Row],[claim_amount]]&lt;200000,"Medium","High"))</f>
        <v>High</v>
      </c>
      <c r="M928" s="2" t="str">
        <f>IF(Sheet1[[#This Row],[days_to_process]]&lt;=30,"Fast","Slow")</f>
        <v>Slow</v>
      </c>
    </row>
    <row r="929" spans="1:13" x14ac:dyDescent="0.3">
      <c r="A929" t="s">
        <v>1738</v>
      </c>
      <c r="B929" s="2" t="s">
        <v>1739</v>
      </c>
      <c r="C929" s="1">
        <v>45041</v>
      </c>
      <c r="D929" s="35">
        <v>316779.75</v>
      </c>
      <c r="E929" s="2" t="s">
        <v>15</v>
      </c>
      <c r="F929" s="2" t="s">
        <v>20</v>
      </c>
      <c r="G929" s="2" t="s">
        <v>24</v>
      </c>
      <c r="H929">
        <v>26</v>
      </c>
      <c r="I929" s="2" t="str">
        <f>TEXT(Sheet1[[#This Row],[claim_date]],"mmmm")</f>
        <v>April</v>
      </c>
      <c r="J929" s="2">
        <f>YEAR(Sheet1[[#This Row],[claim_date]])</f>
        <v>2023</v>
      </c>
      <c r="K929" s="2" t="str">
        <f>"Q"&amp;ROUNDUP(MONTH(Sheet1[[#This Row],[claim_date]])/3,0)</f>
        <v>Q2</v>
      </c>
      <c r="L929" s="2" t="str">
        <f>IF(Sheet1[[#This Row],[claim_amount]]&lt;100000,"Low",IF(Sheet1[[#This Row],[claim_amount]]&lt;200000,"Medium","High"))</f>
        <v>High</v>
      </c>
      <c r="M929" s="2" t="str">
        <f>IF(Sheet1[[#This Row],[days_to_process]]&lt;=30,"Fast","Slow")</f>
        <v>Fast</v>
      </c>
    </row>
    <row r="930" spans="1:13" x14ac:dyDescent="0.3">
      <c r="A930" t="s">
        <v>1740</v>
      </c>
      <c r="B930" s="2" t="s">
        <v>1741</v>
      </c>
      <c r="C930" s="1">
        <v>45160</v>
      </c>
      <c r="D930" s="35">
        <v>281457.71000000002</v>
      </c>
      <c r="E930" s="2" t="s">
        <v>10</v>
      </c>
      <c r="F930" s="2" t="s">
        <v>20</v>
      </c>
      <c r="G930" s="2" t="s">
        <v>12</v>
      </c>
      <c r="H930">
        <v>31</v>
      </c>
      <c r="I930" s="2" t="str">
        <f>TEXT(Sheet1[[#This Row],[claim_date]],"mmmm")</f>
        <v>August</v>
      </c>
      <c r="J930" s="2">
        <f>YEAR(Sheet1[[#This Row],[claim_date]])</f>
        <v>2023</v>
      </c>
      <c r="K930" s="2" t="str">
        <f>"Q"&amp;ROUNDUP(MONTH(Sheet1[[#This Row],[claim_date]])/3,0)</f>
        <v>Q3</v>
      </c>
      <c r="L930" s="2" t="str">
        <f>IF(Sheet1[[#This Row],[claim_amount]]&lt;100000,"Low",IF(Sheet1[[#This Row],[claim_amount]]&lt;200000,"Medium","High"))</f>
        <v>High</v>
      </c>
      <c r="M930" s="2" t="str">
        <f>IF(Sheet1[[#This Row],[days_to_process]]&lt;=30,"Fast","Slow")</f>
        <v>Slow</v>
      </c>
    </row>
    <row r="931" spans="1:13" x14ac:dyDescent="0.3">
      <c r="A931" t="s">
        <v>1742</v>
      </c>
      <c r="B931" s="2" t="s">
        <v>1743</v>
      </c>
      <c r="C931" s="1">
        <v>45677</v>
      </c>
      <c r="D931" s="35">
        <v>122199.35</v>
      </c>
      <c r="E931" s="2" t="s">
        <v>15</v>
      </c>
      <c r="F931" s="2" t="s">
        <v>23</v>
      </c>
      <c r="G931" s="2" t="s">
        <v>12</v>
      </c>
      <c r="H931">
        <v>2</v>
      </c>
      <c r="I931" s="2" t="str">
        <f>TEXT(Sheet1[[#This Row],[claim_date]],"mmmm")</f>
        <v>January</v>
      </c>
      <c r="J931" s="2">
        <f>YEAR(Sheet1[[#This Row],[claim_date]])</f>
        <v>2025</v>
      </c>
      <c r="K931" s="2" t="str">
        <f>"Q"&amp;ROUNDUP(MONTH(Sheet1[[#This Row],[claim_date]])/3,0)</f>
        <v>Q1</v>
      </c>
      <c r="L931" s="2" t="str">
        <f>IF(Sheet1[[#This Row],[claim_amount]]&lt;100000,"Low",IF(Sheet1[[#This Row],[claim_amount]]&lt;200000,"Medium","High"))</f>
        <v>Medium</v>
      </c>
      <c r="M931" s="2" t="str">
        <f>IF(Sheet1[[#This Row],[days_to_process]]&lt;=30,"Fast","Slow")</f>
        <v>Fast</v>
      </c>
    </row>
    <row r="932" spans="1:13" x14ac:dyDescent="0.3">
      <c r="A932" t="s">
        <v>1744</v>
      </c>
      <c r="B932" s="2" t="s">
        <v>1745</v>
      </c>
      <c r="C932" s="1">
        <v>44672</v>
      </c>
      <c r="D932" s="35">
        <v>310127.23</v>
      </c>
      <c r="E932" s="2" t="s">
        <v>19</v>
      </c>
      <c r="F932" s="2" t="s">
        <v>20</v>
      </c>
      <c r="G932" s="2" t="s">
        <v>12</v>
      </c>
      <c r="H932">
        <v>59</v>
      </c>
      <c r="I932" s="2" t="str">
        <f>TEXT(Sheet1[[#This Row],[claim_date]],"mmmm")</f>
        <v>April</v>
      </c>
      <c r="J932" s="2">
        <f>YEAR(Sheet1[[#This Row],[claim_date]])</f>
        <v>2022</v>
      </c>
      <c r="K932" s="2" t="str">
        <f>"Q"&amp;ROUNDUP(MONTH(Sheet1[[#This Row],[claim_date]])/3,0)</f>
        <v>Q2</v>
      </c>
      <c r="L932" s="2" t="str">
        <f>IF(Sheet1[[#This Row],[claim_amount]]&lt;100000,"Low",IF(Sheet1[[#This Row],[claim_amount]]&lt;200000,"Medium","High"))</f>
        <v>High</v>
      </c>
      <c r="M932" s="2" t="str">
        <f>IF(Sheet1[[#This Row],[days_to_process]]&lt;=30,"Fast","Slow")</f>
        <v>Slow</v>
      </c>
    </row>
    <row r="933" spans="1:13" x14ac:dyDescent="0.3">
      <c r="A933" t="s">
        <v>1746</v>
      </c>
      <c r="B933" s="2" t="s">
        <v>1747</v>
      </c>
      <c r="C933" s="1">
        <v>44836</v>
      </c>
      <c r="D933" s="35">
        <v>81678.789999999994</v>
      </c>
      <c r="E933" s="2" t="s">
        <v>10</v>
      </c>
      <c r="F933" s="2" t="s">
        <v>23</v>
      </c>
      <c r="G933" s="2" t="s">
        <v>12</v>
      </c>
      <c r="H933">
        <v>30</v>
      </c>
      <c r="I933" s="2" t="str">
        <f>TEXT(Sheet1[[#This Row],[claim_date]],"mmmm")</f>
        <v>October</v>
      </c>
      <c r="J933" s="2">
        <f>YEAR(Sheet1[[#This Row],[claim_date]])</f>
        <v>2022</v>
      </c>
      <c r="K933" s="2" t="str">
        <f>"Q"&amp;ROUNDUP(MONTH(Sheet1[[#This Row],[claim_date]])/3,0)</f>
        <v>Q4</v>
      </c>
      <c r="L933" s="2" t="str">
        <f>IF(Sheet1[[#This Row],[claim_amount]]&lt;100000,"Low",IF(Sheet1[[#This Row],[claim_amount]]&lt;200000,"Medium","High"))</f>
        <v>Low</v>
      </c>
      <c r="M933" s="2" t="str">
        <f>IF(Sheet1[[#This Row],[days_to_process]]&lt;=30,"Fast","Slow")</f>
        <v>Fast</v>
      </c>
    </row>
    <row r="934" spans="1:13" x14ac:dyDescent="0.3">
      <c r="A934" t="s">
        <v>1748</v>
      </c>
      <c r="B934" s="2" t="s">
        <v>1749</v>
      </c>
      <c r="C934" s="1">
        <v>45091</v>
      </c>
      <c r="D934" s="35">
        <v>324333.51</v>
      </c>
      <c r="E934" s="2" t="s">
        <v>10</v>
      </c>
      <c r="F934" s="2" t="s">
        <v>34</v>
      </c>
      <c r="G934" s="2" t="s">
        <v>24</v>
      </c>
      <c r="H934">
        <v>47</v>
      </c>
      <c r="I934" s="2" t="str">
        <f>TEXT(Sheet1[[#This Row],[claim_date]],"mmmm")</f>
        <v>June</v>
      </c>
      <c r="J934" s="2">
        <f>YEAR(Sheet1[[#This Row],[claim_date]])</f>
        <v>2023</v>
      </c>
      <c r="K934" s="2" t="str">
        <f>"Q"&amp;ROUNDUP(MONTH(Sheet1[[#This Row],[claim_date]])/3,0)</f>
        <v>Q2</v>
      </c>
      <c r="L934" s="2" t="str">
        <f>IF(Sheet1[[#This Row],[claim_amount]]&lt;100000,"Low",IF(Sheet1[[#This Row],[claim_amount]]&lt;200000,"Medium","High"))</f>
        <v>High</v>
      </c>
      <c r="M934" s="2" t="str">
        <f>IF(Sheet1[[#This Row],[days_to_process]]&lt;=30,"Fast","Slow")</f>
        <v>Slow</v>
      </c>
    </row>
    <row r="935" spans="1:13" x14ac:dyDescent="0.3">
      <c r="A935" t="s">
        <v>1750</v>
      </c>
      <c r="B935" s="2" t="s">
        <v>1751</v>
      </c>
      <c r="C935" s="1">
        <v>45426</v>
      </c>
      <c r="D935" s="35">
        <v>230398.73</v>
      </c>
      <c r="E935" s="2" t="s">
        <v>10</v>
      </c>
      <c r="F935" s="2" t="s">
        <v>16</v>
      </c>
      <c r="G935" s="2" t="s">
        <v>12</v>
      </c>
      <c r="H935">
        <v>24</v>
      </c>
      <c r="I935" s="2" t="str">
        <f>TEXT(Sheet1[[#This Row],[claim_date]],"mmmm")</f>
        <v>May</v>
      </c>
      <c r="J935" s="2">
        <f>YEAR(Sheet1[[#This Row],[claim_date]])</f>
        <v>2024</v>
      </c>
      <c r="K935" s="2" t="str">
        <f>"Q"&amp;ROUNDUP(MONTH(Sheet1[[#This Row],[claim_date]])/3,0)</f>
        <v>Q2</v>
      </c>
      <c r="L935" s="2" t="str">
        <f>IF(Sheet1[[#This Row],[claim_amount]]&lt;100000,"Low",IF(Sheet1[[#This Row],[claim_amount]]&lt;200000,"Medium","High"))</f>
        <v>High</v>
      </c>
      <c r="M935" s="2" t="str">
        <f>IF(Sheet1[[#This Row],[days_to_process]]&lt;=30,"Fast","Slow")</f>
        <v>Fast</v>
      </c>
    </row>
    <row r="936" spans="1:13" x14ac:dyDescent="0.3">
      <c r="A936" t="s">
        <v>1752</v>
      </c>
      <c r="B936" s="2" t="s">
        <v>1753</v>
      </c>
      <c r="C936" s="1">
        <v>45319</v>
      </c>
      <c r="D936" s="35">
        <v>25511.98</v>
      </c>
      <c r="E936" s="2" t="s">
        <v>15</v>
      </c>
      <c r="F936" s="2" t="s">
        <v>11</v>
      </c>
      <c r="G936" s="2" t="s">
        <v>24</v>
      </c>
      <c r="H936">
        <v>4</v>
      </c>
      <c r="I936" s="2" t="str">
        <f>TEXT(Sheet1[[#This Row],[claim_date]],"mmmm")</f>
        <v>January</v>
      </c>
      <c r="J936" s="2">
        <f>YEAR(Sheet1[[#This Row],[claim_date]])</f>
        <v>2024</v>
      </c>
      <c r="K936" s="2" t="str">
        <f>"Q"&amp;ROUNDUP(MONTH(Sheet1[[#This Row],[claim_date]])/3,0)</f>
        <v>Q1</v>
      </c>
      <c r="L936" s="2" t="str">
        <f>IF(Sheet1[[#This Row],[claim_amount]]&lt;100000,"Low",IF(Sheet1[[#This Row],[claim_amount]]&lt;200000,"Medium","High"))</f>
        <v>Low</v>
      </c>
      <c r="M936" s="2" t="str">
        <f>IF(Sheet1[[#This Row],[days_to_process]]&lt;=30,"Fast","Slow")</f>
        <v>Fast</v>
      </c>
    </row>
    <row r="937" spans="1:13" x14ac:dyDescent="0.3">
      <c r="A937" t="s">
        <v>1754</v>
      </c>
      <c r="B937" s="2" t="s">
        <v>796</v>
      </c>
      <c r="C937" s="1">
        <v>45050</v>
      </c>
      <c r="D937" s="35">
        <v>24262.07</v>
      </c>
      <c r="E937" s="2" t="s">
        <v>15</v>
      </c>
      <c r="F937" s="2" t="s">
        <v>23</v>
      </c>
      <c r="G937" s="2" t="s">
        <v>12</v>
      </c>
      <c r="H937">
        <v>30</v>
      </c>
      <c r="I937" s="2" t="str">
        <f>TEXT(Sheet1[[#This Row],[claim_date]],"mmmm")</f>
        <v>May</v>
      </c>
      <c r="J937" s="2">
        <f>YEAR(Sheet1[[#This Row],[claim_date]])</f>
        <v>2023</v>
      </c>
      <c r="K937" s="2" t="str">
        <f>"Q"&amp;ROUNDUP(MONTH(Sheet1[[#This Row],[claim_date]])/3,0)</f>
        <v>Q2</v>
      </c>
      <c r="L937" s="2" t="str">
        <f>IF(Sheet1[[#This Row],[claim_amount]]&lt;100000,"Low",IF(Sheet1[[#This Row],[claim_amount]]&lt;200000,"Medium","High"))</f>
        <v>Low</v>
      </c>
      <c r="M937" s="2" t="str">
        <f>IF(Sheet1[[#This Row],[days_to_process]]&lt;=30,"Fast","Slow")</f>
        <v>Fast</v>
      </c>
    </row>
    <row r="938" spans="1:13" x14ac:dyDescent="0.3">
      <c r="A938" t="s">
        <v>1755</v>
      </c>
      <c r="B938" s="2" t="s">
        <v>449</v>
      </c>
      <c r="C938" s="1">
        <v>45453</v>
      </c>
      <c r="D938" s="35">
        <v>438552.96</v>
      </c>
      <c r="E938" s="2" t="s">
        <v>15</v>
      </c>
      <c r="F938" s="2" t="s">
        <v>23</v>
      </c>
      <c r="G938" s="2" t="s">
        <v>12</v>
      </c>
      <c r="H938">
        <v>49</v>
      </c>
      <c r="I938" s="2" t="str">
        <f>TEXT(Sheet1[[#This Row],[claim_date]],"mmmm")</f>
        <v>June</v>
      </c>
      <c r="J938" s="2">
        <f>YEAR(Sheet1[[#This Row],[claim_date]])</f>
        <v>2024</v>
      </c>
      <c r="K938" s="2" t="str">
        <f>"Q"&amp;ROUNDUP(MONTH(Sheet1[[#This Row],[claim_date]])/3,0)</f>
        <v>Q2</v>
      </c>
      <c r="L938" s="2" t="str">
        <f>IF(Sheet1[[#This Row],[claim_amount]]&lt;100000,"Low",IF(Sheet1[[#This Row],[claim_amount]]&lt;200000,"Medium","High"))</f>
        <v>High</v>
      </c>
      <c r="M938" s="2" t="str">
        <f>IF(Sheet1[[#This Row],[days_to_process]]&lt;=30,"Fast","Slow")</f>
        <v>Slow</v>
      </c>
    </row>
    <row r="939" spans="1:13" x14ac:dyDescent="0.3">
      <c r="A939" t="s">
        <v>1756</v>
      </c>
      <c r="B939" s="2" t="s">
        <v>1757</v>
      </c>
      <c r="C939" s="1">
        <v>45529</v>
      </c>
      <c r="D939" s="35">
        <v>403571.91</v>
      </c>
      <c r="E939" s="2" t="s">
        <v>10</v>
      </c>
      <c r="F939" s="2" t="s">
        <v>16</v>
      </c>
      <c r="G939" s="2" t="s">
        <v>12</v>
      </c>
      <c r="H939">
        <v>30</v>
      </c>
      <c r="I939" s="2" t="str">
        <f>TEXT(Sheet1[[#This Row],[claim_date]],"mmmm")</f>
        <v>August</v>
      </c>
      <c r="J939" s="2">
        <f>YEAR(Sheet1[[#This Row],[claim_date]])</f>
        <v>2024</v>
      </c>
      <c r="K939" s="2" t="str">
        <f>"Q"&amp;ROUNDUP(MONTH(Sheet1[[#This Row],[claim_date]])/3,0)</f>
        <v>Q3</v>
      </c>
      <c r="L939" s="2" t="str">
        <f>IF(Sheet1[[#This Row],[claim_amount]]&lt;100000,"Low",IF(Sheet1[[#This Row],[claim_amount]]&lt;200000,"Medium","High"))</f>
        <v>High</v>
      </c>
      <c r="M939" s="2" t="str">
        <f>IF(Sheet1[[#This Row],[days_to_process]]&lt;=30,"Fast","Slow")</f>
        <v>Fast</v>
      </c>
    </row>
    <row r="940" spans="1:13" x14ac:dyDescent="0.3">
      <c r="A940" t="s">
        <v>1758</v>
      </c>
      <c r="B940" s="2" t="s">
        <v>1157</v>
      </c>
      <c r="C940" s="1">
        <v>45209</v>
      </c>
      <c r="D940" s="35">
        <v>222606.71</v>
      </c>
      <c r="E940" s="2" t="s">
        <v>19</v>
      </c>
      <c r="F940" s="2" t="s">
        <v>16</v>
      </c>
      <c r="G940" s="2" t="s">
        <v>12</v>
      </c>
      <c r="H940">
        <v>10</v>
      </c>
      <c r="I940" s="2" t="str">
        <f>TEXT(Sheet1[[#This Row],[claim_date]],"mmmm")</f>
        <v>October</v>
      </c>
      <c r="J940" s="2">
        <f>YEAR(Sheet1[[#This Row],[claim_date]])</f>
        <v>2023</v>
      </c>
      <c r="K940" s="2" t="str">
        <f>"Q"&amp;ROUNDUP(MONTH(Sheet1[[#This Row],[claim_date]])/3,0)</f>
        <v>Q4</v>
      </c>
      <c r="L940" s="2" t="str">
        <f>IF(Sheet1[[#This Row],[claim_amount]]&lt;100000,"Low",IF(Sheet1[[#This Row],[claim_amount]]&lt;200000,"Medium","High"))</f>
        <v>High</v>
      </c>
      <c r="M940" s="2" t="str">
        <f>IF(Sheet1[[#This Row],[days_to_process]]&lt;=30,"Fast","Slow")</f>
        <v>Fast</v>
      </c>
    </row>
    <row r="941" spans="1:13" x14ac:dyDescent="0.3">
      <c r="A941" t="s">
        <v>1759</v>
      </c>
      <c r="B941" s="2" t="s">
        <v>1534</v>
      </c>
      <c r="C941" s="1">
        <v>45489</v>
      </c>
      <c r="D941" s="35">
        <v>51886.1</v>
      </c>
      <c r="E941" s="2" t="s">
        <v>10</v>
      </c>
      <c r="F941" s="2" t="s">
        <v>11</v>
      </c>
      <c r="G941" s="2" t="s">
        <v>24</v>
      </c>
      <c r="H941">
        <v>26</v>
      </c>
      <c r="I941" s="2" t="str">
        <f>TEXT(Sheet1[[#This Row],[claim_date]],"mmmm")</f>
        <v>July</v>
      </c>
      <c r="J941" s="2">
        <f>YEAR(Sheet1[[#This Row],[claim_date]])</f>
        <v>2024</v>
      </c>
      <c r="K941" s="2" t="str">
        <f>"Q"&amp;ROUNDUP(MONTH(Sheet1[[#This Row],[claim_date]])/3,0)</f>
        <v>Q3</v>
      </c>
      <c r="L941" s="2" t="str">
        <f>IF(Sheet1[[#This Row],[claim_amount]]&lt;100000,"Low",IF(Sheet1[[#This Row],[claim_amount]]&lt;200000,"Medium","High"))</f>
        <v>Low</v>
      </c>
      <c r="M941" s="2" t="str">
        <f>IF(Sheet1[[#This Row],[days_to_process]]&lt;=30,"Fast","Slow")</f>
        <v>Fast</v>
      </c>
    </row>
    <row r="942" spans="1:13" x14ac:dyDescent="0.3">
      <c r="A942" t="s">
        <v>1760</v>
      </c>
      <c r="B942" s="2" t="s">
        <v>906</v>
      </c>
      <c r="C942" s="1">
        <v>45517</v>
      </c>
      <c r="D942" s="35">
        <v>444858.46</v>
      </c>
      <c r="E942" s="2" t="s">
        <v>15</v>
      </c>
      <c r="F942" s="2" t="s">
        <v>20</v>
      </c>
      <c r="G942" s="2" t="s">
        <v>24</v>
      </c>
      <c r="H942">
        <v>4</v>
      </c>
      <c r="I942" s="2" t="str">
        <f>TEXT(Sheet1[[#This Row],[claim_date]],"mmmm")</f>
        <v>August</v>
      </c>
      <c r="J942" s="2">
        <f>YEAR(Sheet1[[#This Row],[claim_date]])</f>
        <v>2024</v>
      </c>
      <c r="K942" s="2" t="str">
        <f>"Q"&amp;ROUNDUP(MONTH(Sheet1[[#This Row],[claim_date]])/3,0)</f>
        <v>Q3</v>
      </c>
      <c r="L942" s="2" t="str">
        <f>IF(Sheet1[[#This Row],[claim_amount]]&lt;100000,"Low",IF(Sheet1[[#This Row],[claim_amount]]&lt;200000,"Medium","High"))</f>
        <v>High</v>
      </c>
      <c r="M942" s="2" t="str">
        <f>IF(Sheet1[[#This Row],[days_to_process]]&lt;=30,"Fast","Slow")</f>
        <v>Fast</v>
      </c>
    </row>
    <row r="943" spans="1:13" x14ac:dyDescent="0.3">
      <c r="A943" t="s">
        <v>1761</v>
      </c>
      <c r="B943" s="2" t="s">
        <v>1762</v>
      </c>
      <c r="C943" s="1">
        <v>45447</v>
      </c>
      <c r="D943" s="35">
        <v>227970.96</v>
      </c>
      <c r="E943" s="2" t="s">
        <v>15</v>
      </c>
      <c r="F943" s="2" t="s">
        <v>16</v>
      </c>
      <c r="G943" s="2" t="s">
        <v>24</v>
      </c>
      <c r="H943">
        <v>42</v>
      </c>
      <c r="I943" s="2" t="str">
        <f>TEXT(Sheet1[[#This Row],[claim_date]],"mmmm")</f>
        <v>June</v>
      </c>
      <c r="J943" s="2">
        <f>YEAR(Sheet1[[#This Row],[claim_date]])</f>
        <v>2024</v>
      </c>
      <c r="K943" s="2" t="str">
        <f>"Q"&amp;ROUNDUP(MONTH(Sheet1[[#This Row],[claim_date]])/3,0)</f>
        <v>Q2</v>
      </c>
      <c r="L943" s="2" t="str">
        <f>IF(Sheet1[[#This Row],[claim_amount]]&lt;100000,"Low",IF(Sheet1[[#This Row],[claim_amount]]&lt;200000,"Medium","High"))</f>
        <v>High</v>
      </c>
      <c r="M943" s="2" t="str">
        <f>IF(Sheet1[[#This Row],[days_to_process]]&lt;=30,"Fast","Slow")</f>
        <v>Slow</v>
      </c>
    </row>
    <row r="944" spans="1:13" x14ac:dyDescent="0.3">
      <c r="A944" t="s">
        <v>1763</v>
      </c>
      <c r="B944" s="2" t="s">
        <v>1764</v>
      </c>
      <c r="C944" s="1">
        <v>45575</v>
      </c>
      <c r="D944" s="35">
        <v>363971.77</v>
      </c>
      <c r="E944" s="2" t="s">
        <v>10</v>
      </c>
      <c r="F944" s="2" t="s">
        <v>23</v>
      </c>
      <c r="G944" s="2" t="s">
        <v>24</v>
      </c>
      <c r="H944">
        <v>43</v>
      </c>
      <c r="I944" s="2" t="str">
        <f>TEXT(Sheet1[[#This Row],[claim_date]],"mmmm")</f>
        <v>October</v>
      </c>
      <c r="J944" s="2">
        <f>YEAR(Sheet1[[#This Row],[claim_date]])</f>
        <v>2024</v>
      </c>
      <c r="K944" s="2" t="str">
        <f>"Q"&amp;ROUNDUP(MONTH(Sheet1[[#This Row],[claim_date]])/3,0)</f>
        <v>Q4</v>
      </c>
      <c r="L944" s="2" t="str">
        <f>IF(Sheet1[[#This Row],[claim_amount]]&lt;100000,"Low",IF(Sheet1[[#This Row],[claim_amount]]&lt;200000,"Medium","High"))</f>
        <v>High</v>
      </c>
      <c r="M944" s="2" t="str">
        <f>IF(Sheet1[[#This Row],[days_to_process]]&lt;=30,"Fast","Slow")</f>
        <v>Slow</v>
      </c>
    </row>
    <row r="945" spans="1:13" x14ac:dyDescent="0.3">
      <c r="A945" t="s">
        <v>1765</v>
      </c>
      <c r="B945" s="2" t="s">
        <v>1595</v>
      </c>
      <c r="C945" s="1">
        <v>45523</v>
      </c>
      <c r="D945" s="35">
        <v>392192.18</v>
      </c>
      <c r="E945" s="2" t="s">
        <v>19</v>
      </c>
      <c r="F945" s="2" t="s">
        <v>23</v>
      </c>
      <c r="G945" s="2" t="s">
        <v>24</v>
      </c>
      <c r="H945">
        <v>45</v>
      </c>
      <c r="I945" s="2" t="str">
        <f>TEXT(Sheet1[[#This Row],[claim_date]],"mmmm")</f>
        <v>August</v>
      </c>
      <c r="J945" s="2">
        <f>YEAR(Sheet1[[#This Row],[claim_date]])</f>
        <v>2024</v>
      </c>
      <c r="K945" s="2" t="str">
        <f>"Q"&amp;ROUNDUP(MONTH(Sheet1[[#This Row],[claim_date]])/3,0)</f>
        <v>Q3</v>
      </c>
      <c r="L945" s="2" t="str">
        <f>IF(Sheet1[[#This Row],[claim_amount]]&lt;100000,"Low",IF(Sheet1[[#This Row],[claim_amount]]&lt;200000,"Medium","High"))</f>
        <v>High</v>
      </c>
      <c r="M945" s="2" t="str">
        <f>IF(Sheet1[[#This Row],[days_to_process]]&lt;=30,"Fast","Slow")</f>
        <v>Slow</v>
      </c>
    </row>
    <row r="946" spans="1:13" x14ac:dyDescent="0.3">
      <c r="A946" t="s">
        <v>1766</v>
      </c>
      <c r="B946" s="2" t="s">
        <v>1767</v>
      </c>
      <c r="C946" s="1">
        <v>44671</v>
      </c>
      <c r="D946" s="35">
        <v>297341.03999999998</v>
      </c>
      <c r="E946" s="2" t="s">
        <v>10</v>
      </c>
      <c r="F946" s="2" t="s">
        <v>23</v>
      </c>
      <c r="G946" s="2" t="s">
        <v>12</v>
      </c>
      <c r="H946">
        <v>22</v>
      </c>
      <c r="I946" s="2" t="str">
        <f>TEXT(Sheet1[[#This Row],[claim_date]],"mmmm")</f>
        <v>April</v>
      </c>
      <c r="J946" s="2">
        <f>YEAR(Sheet1[[#This Row],[claim_date]])</f>
        <v>2022</v>
      </c>
      <c r="K946" s="2" t="str">
        <f>"Q"&amp;ROUNDUP(MONTH(Sheet1[[#This Row],[claim_date]])/3,0)</f>
        <v>Q2</v>
      </c>
      <c r="L946" s="2" t="str">
        <f>IF(Sheet1[[#This Row],[claim_amount]]&lt;100000,"Low",IF(Sheet1[[#This Row],[claim_amount]]&lt;200000,"Medium","High"))</f>
        <v>High</v>
      </c>
      <c r="M946" s="2" t="str">
        <f>IF(Sheet1[[#This Row],[days_to_process]]&lt;=30,"Fast","Slow")</f>
        <v>Fast</v>
      </c>
    </row>
    <row r="947" spans="1:13" x14ac:dyDescent="0.3">
      <c r="A947" t="s">
        <v>1768</v>
      </c>
      <c r="B947" s="2" t="s">
        <v>872</v>
      </c>
      <c r="C947" s="1">
        <v>45485</v>
      </c>
      <c r="D947" s="35">
        <v>466075.58</v>
      </c>
      <c r="E947" s="2" t="s">
        <v>15</v>
      </c>
      <c r="F947" s="2" t="s">
        <v>20</v>
      </c>
      <c r="G947" s="2" t="s">
        <v>24</v>
      </c>
      <c r="H947">
        <v>35</v>
      </c>
      <c r="I947" s="2" t="str">
        <f>TEXT(Sheet1[[#This Row],[claim_date]],"mmmm")</f>
        <v>July</v>
      </c>
      <c r="J947" s="2">
        <f>YEAR(Sheet1[[#This Row],[claim_date]])</f>
        <v>2024</v>
      </c>
      <c r="K947" s="2" t="str">
        <f>"Q"&amp;ROUNDUP(MONTH(Sheet1[[#This Row],[claim_date]])/3,0)</f>
        <v>Q3</v>
      </c>
      <c r="L947" s="2" t="str">
        <f>IF(Sheet1[[#This Row],[claim_amount]]&lt;100000,"Low",IF(Sheet1[[#This Row],[claim_amount]]&lt;200000,"Medium","High"))</f>
        <v>High</v>
      </c>
      <c r="M947" s="2" t="str">
        <f>IF(Sheet1[[#This Row],[days_to_process]]&lt;=30,"Fast","Slow")</f>
        <v>Slow</v>
      </c>
    </row>
    <row r="948" spans="1:13" x14ac:dyDescent="0.3">
      <c r="A948" t="s">
        <v>1769</v>
      </c>
      <c r="B948" s="2" t="s">
        <v>1420</v>
      </c>
      <c r="C948" s="1">
        <v>45308</v>
      </c>
      <c r="D948" s="35">
        <v>30454.61</v>
      </c>
      <c r="E948" s="2" t="s">
        <v>15</v>
      </c>
      <c r="F948" s="2" t="s">
        <v>16</v>
      </c>
      <c r="G948" s="2" t="s">
        <v>12</v>
      </c>
      <c r="H948">
        <v>56</v>
      </c>
      <c r="I948" s="2" t="str">
        <f>TEXT(Sheet1[[#This Row],[claim_date]],"mmmm")</f>
        <v>January</v>
      </c>
      <c r="J948" s="2">
        <f>YEAR(Sheet1[[#This Row],[claim_date]])</f>
        <v>2024</v>
      </c>
      <c r="K948" s="2" t="str">
        <f>"Q"&amp;ROUNDUP(MONTH(Sheet1[[#This Row],[claim_date]])/3,0)</f>
        <v>Q1</v>
      </c>
      <c r="L948" s="2" t="str">
        <f>IF(Sheet1[[#This Row],[claim_amount]]&lt;100000,"Low",IF(Sheet1[[#This Row],[claim_amount]]&lt;200000,"Medium","High"))</f>
        <v>Low</v>
      </c>
      <c r="M948" s="2" t="str">
        <f>IF(Sheet1[[#This Row],[days_to_process]]&lt;=30,"Fast","Slow")</f>
        <v>Slow</v>
      </c>
    </row>
    <row r="949" spans="1:13" x14ac:dyDescent="0.3">
      <c r="A949" t="s">
        <v>1770</v>
      </c>
      <c r="B949" s="2" t="s">
        <v>1771</v>
      </c>
      <c r="C949" s="1">
        <v>44427</v>
      </c>
      <c r="D949" s="35">
        <v>256231.87</v>
      </c>
      <c r="E949" s="2" t="s">
        <v>15</v>
      </c>
      <c r="F949" s="2" t="s">
        <v>16</v>
      </c>
      <c r="G949" s="2" t="s">
        <v>24</v>
      </c>
      <c r="H949">
        <v>9</v>
      </c>
      <c r="I949" s="2" t="str">
        <f>TEXT(Sheet1[[#This Row],[claim_date]],"mmmm")</f>
        <v>August</v>
      </c>
      <c r="J949" s="2">
        <f>YEAR(Sheet1[[#This Row],[claim_date]])</f>
        <v>2021</v>
      </c>
      <c r="K949" s="2" t="str">
        <f>"Q"&amp;ROUNDUP(MONTH(Sheet1[[#This Row],[claim_date]])/3,0)</f>
        <v>Q3</v>
      </c>
      <c r="L949" s="2" t="str">
        <f>IF(Sheet1[[#This Row],[claim_amount]]&lt;100000,"Low",IF(Sheet1[[#This Row],[claim_amount]]&lt;200000,"Medium","High"))</f>
        <v>High</v>
      </c>
      <c r="M949" s="2" t="str">
        <f>IF(Sheet1[[#This Row],[days_to_process]]&lt;=30,"Fast","Slow")</f>
        <v>Fast</v>
      </c>
    </row>
    <row r="950" spans="1:13" x14ac:dyDescent="0.3">
      <c r="A950" t="s">
        <v>1772</v>
      </c>
      <c r="B950" s="2" t="s">
        <v>1773</v>
      </c>
      <c r="C950" s="1">
        <v>45081</v>
      </c>
      <c r="D950" s="35">
        <v>363104.83</v>
      </c>
      <c r="E950" s="2" t="s">
        <v>10</v>
      </c>
      <c r="F950" s="2" t="s">
        <v>34</v>
      </c>
      <c r="G950" s="2" t="s">
        <v>12</v>
      </c>
      <c r="H950">
        <v>36</v>
      </c>
      <c r="I950" s="2" t="str">
        <f>TEXT(Sheet1[[#This Row],[claim_date]],"mmmm")</f>
        <v>June</v>
      </c>
      <c r="J950" s="2">
        <f>YEAR(Sheet1[[#This Row],[claim_date]])</f>
        <v>2023</v>
      </c>
      <c r="K950" s="2" t="str">
        <f>"Q"&amp;ROUNDUP(MONTH(Sheet1[[#This Row],[claim_date]])/3,0)</f>
        <v>Q2</v>
      </c>
      <c r="L950" s="2" t="str">
        <f>IF(Sheet1[[#This Row],[claim_amount]]&lt;100000,"Low",IF(Sheet1[[#This Row],[claim_amount]]&lt;200000,"Medium","High"))</f>
        <v>High</v>
      </c>
      <c r="M950" s="2" t="str">
        <f>IF(Sheet1[[#This Row],[days_to_process]]&lt;=30,"Fast","Slow")</f>
        <v>Slow</v>
      </c>
    </row>
    <row r="951" spans="1:13" x14ac:dyDescent="0.3">
      <c r="A951" t="s">
        <v>1774</v>
      </c>
      <c r="B951" s="2" t="s">
        <v>196</v>
      </c>
      <c r="C951" s="1">
        <v>45636</v>
      </c>
      <c r="D951" s="35">
        <v>184621.55</v>
      </c>
      <c r="E951" s="2" t="s">
        <v>15</v>
      </c>
      <c r="F951" s="2" t="s">
        <v>34</v>
      </c>
      <c r="G951" s="2" t="s">
        <v>12</v>
      </c>
      <c r="H951">
        <v>15</v>
      </c>
      <c r="I951" s="2" t="str">
        <f>TEXT(Sheet1[[#This Row],[claim_date]],"mmmm")</f>
        <v>December</v>
      </c>
      <c r="J951" s="2">
        <f>YEAR(Sheet1[[#This Row],[claim_date]])</f>
        <v>2024</v>
      </c>
      <c r="K951" s="2" t="str">
        <f>"Q"&amp;ROUNDUP(MONTH(Sheet1[[#This Row],[claim_date]])/3,0)</f>
        <v>Q4</v>
      </c>
      <c r="L951" s="2" t="str">
        <f>IF(Sheet1[[#This Row],[claim_amount]]&lt;100000,"Low",IF(Sheet1[[#This Row],[claim_amount]]&lt;200000,"Medium","High"))</f>
        <v>Medium</v>
      </c>
      <c r="M951" s="2" t="str">
        <f>IF(Sheet1[[#This Row],[days_to_process]]&lt;=30,"Fast","Slow")</f>
        <v>Fast</v>
      </c>
    </row>
    <row r="952" spans="1:13" x14ac:dyDescent="0.3">
      <c r="A952" t="s">
        <v>1775</v>
      </c>
      <c r="B952" s="2" t="s">
        <v>1776</v>
      </c>
      <c r="C952" s="1">
        <v>44971</v>
      </c>
      <c r="D952" s="35">
        <v>99410.72</v>
      </c>
      <c r="E952" s="2" t="s">
        <v>19</v>
      </c>
      <c r="F952" s="2" t="s">
        <v>16</v>
      </c>
      <c r="G952" s="2" t="s">
        <v>24</v>
      </c>
      <c r="H952">
        <v>4</v>
      </c>
      <c r="I952" s="2" t="str">
        <f>TEXT(Sheet1[[#This Row],[claim_date]],"mmmm")</f>
        <v>February</v>
      </c>
      <c r="J952" s="2">
        <f>YEAR(Sheet1[[#This Row],[claim_date]])</f>
        <v>2023</v>
      </c>
      <c r="K952" s="2" t="str">
        <f>"Q"&amp;ROUNDUP(MONTH(Sheet1[[#This Row],[claim_date]])/3,0)</f>
        <v>Q1</v>
      </c>
      <c r="L952" s="2" t="str">
        <f>IF(Sheet1[[#This Row],[claim_amount]]&lt;100000,"Low",IF(Sheet1[[#This Row],[claim_amount]]&lt;200000,"Medium","High"))</f>
        <v>Low</v>
      </c>
      <c r="M952" s="2" t="str">
        <f>IF(Sheet1[[#This Row],[days_to_process]]&lt;=30,"Fast","Slow")</f>
        <v>Fast</v>
      </c>
    </row>
    <row r="953" spans="1:13" x14ac:dyDescent="0.3">
      <c r="A953" t="s">
        <v>1777</v>
      </c>
      <c r="B953" s="2" t="s">
        <v>1778</v>
      </c>
      <c r="C953" s="1">
        <v>44772</v>
      </c>
      <c r="D953" s="35">
        <v>164023.38</v>
      </c>
      <c r="E953" s="2" t="s">
        <v>10</v>
      </c>
      <c r="F953" s="2" t="s">
        <v>16</v>
      </c>
      <c r="G953" s="2" t="s">
        <v>12</v>
      </c>
      <c r="H953">
        <v>18</v>
      </c>
      <c r="I953" s="2" t="str">
        <f>TEXT(Sheet1[[#This Row],[claim_date]],"mmmm")</f>
        <v>July</v>
      </c>
      <c r="J953" s="2">
        <f>YEAR(Sheet1[[#This Row],[claim_date]])</f>
        <v>2022</v>
      </c>
      <c r="K953" s="2" t="str">
        <f>"Q"&amp;ROUNDUP(MONTH(Sheet1[[#This Row],[claim_date]])/3,0)</f>
        <v>Q3</v>
      </c>
      <c r="L953" s="2" t="str">
        <f>IF(Sheet1[[#This Row],[claim_amount]]&lt;100000,"Low",IF(Sheet1[[#This Row],[claim_amount]]&lt;200000,"Medium","High"))</f>
        <v>Medium</v>
      </c>
      <c r="M953" s="2" t="str">
        <f>IF(Sheet1[[#This Row],[days_to_process]]&lt;=30,"Fast","Slow")</f>
        <v>Fast</v>
      </c>
    </row>
    <row r="954" spans="1:13" x14ac:dyDescent="0.3">
      <c r="A954" t="s">
        <v>1779</v>
      </c>
      <c r="B954" s="2" t="s">
        <v>1780</v>
      </c>
      <c r="C954" s="1">
        <v>45080</v>
      </c>
      <c r="D954" s="35">
        <v>65350.77</v>
      </c>
      <c r="E954" s="2" t="s">
        <v>15</v>
      </c>
      <c r="F954" s="2" t="s">
        <v>23</v>
      </c>
      <c r="G954" s="2" t="s">
        <v>12</v>
      </c>
      <c r="H954">
        <v>30</v>
      </c>
      <c r="I954" s="2" t="str">
        <f>TEXT(Sheet1[[#This Row],[claim_date]],"mmmm")</f>
        <v>June</v>
      </c>
      <c r="J954" s="2">
        <f>YEAR(Sheet1[[#This Row],[claim_date]])</f>
        <v>2023</v>
      </c>
      <c r="K954" s="2" t="str">
        <f>"Q"&amp;ROUNDUP(MONTH(Sheet1[[#This Row],[claim_date]])/3,0)</f>
        <v>Q2</v>
      </c>
      <c r="L954" s="2" t="str">
        <f>IF(Sheet1[[#This Row],[claim_amount]]&lt;100000,"Low",IF(Sheet1[[#This Row],[claim_amount]]&lt;200000,"Medium","High"))</f>
        <v>Low</v>
      </c>
      <c r="M954" s="2" t="str">
        <f>IF(Sheet1[[#This Row],[days_to_process]]&lt;=30,"Fast","Slow")</f>
        <v>Fast</v>
      </c>
    </row>
    <row r="955" spans="1:13" x14ac:dyDescent="0.3">
      <c r="A955" t="s">
        <v>1781</v>
      </c>
      <c r="B955" s="2" t="s">
        <v>1069</v>
      </c>
      <c r="C955" s="1">
        <v>45566</v>
      </c>
      <c r="D955" s="35">
        <v>131376.03</v>
      </c>
      <c r="E955" s="2" t="s">
        <v>10</v>
      </c>
      <c r="F955" s="2" t="s">
        <v>11</v>
      </c>
      <c r="G955" s="2" t="s">
        <v>24</v>
      </c>
      <c r="H955">
        <v>55</v>
      </c>
      <c r="I955" s="2" t="str">
        <f>TEXT(Sheet1[[#This Row],[claim_date]],"mmmm")</f>
        <v>October</v>
      </c>
      <c r="J955" s="2">
        <f>YEAR(Sheet1[[#This Row],[claim_date]])</f>
        <v>2024</v>
      </c>
      <c r="K955" s="2" t="str">
        <f>"Q"&amp;ROUNDUP(MONTH(Sheet1[[#This Row],[claim_date]])/3,0)</f>
        <v>Q4</v>
      </c>
      <c r="L955" s="2" t="str">
        <f>IF(Sheet1[[#This Row],[claim_amount]]&lt;100000,"Low",IF(Sheet1[[#This Row],[claim_amount]]&lt;200000,"Medium","High"))</f>
        <v>Medium</v>
      </c>
      <c r="M955" s="2" t="str">
        <f>IF(Sheet1[[#This Row],[days_to_process]]&lt;=30,"Fast","Slow")</f>
        <v>Slow</v>
      </c>
    </row>
    <row r="956" spans="1:13" x14ac:dyDescent="0.3">
      <c r="A956" t="s">
        <v>1782</v>
      </c>
      <c r="B956" s="2" t="s">
        <v>1783</v>
      </c>
      <c r="C956" s="1">
        <v>45804</v>
      </c>
      <c r="D956" s="35">
        <v>107879.58</v>
      </c>
      <c r="E956" s="2" t="s">
        <v>10</v>
      </c>
      <c r="F956" s="2" t="s">
        <v>34</v>
      </c>
      <c r="G956" s="2" t="s">
        <v>24</v>
      </c>
      <c r="H956">
        <v>2</v>
      </c>
      <c r="I956" s="2" t="str">
        <f>TEXT(Sheet1[[#This Row],[claim_date]],"mmmm")</f>
        <v>May</v>
      </c>
      <c r="J956" s="2">
        <f>YEAR(Sheet1[[#This Row],[claim_date]])</f>
        <v>2025</v>
      </c>
      <c r="K956" s="2" t="str">
        <f>"Q"&amp;ROUNDUP(MONTH(Sheet1[[#This Row],[claim_date]])/3,0)</f>
        <v>Q2</v>
      </c>
      <c r="L956" s="2" t="str">
        <f>IF(Sheet1[[#This Row],[claim_amount]]&lt;100000,"Low",IF(Sheet1[[#This Row],[claim_amount]]&lt;200000,"Medium","High"))</f>
        <v>Medium</v>
      </c>
      <c r="M956" s="2" t="str">
        <f>IF(Sheet1[[#This Row],[days_to_process]]&lt;=30,"Fast","Slow")</f>
        <v>Fast</v>
      </c>
    </row>
    <row r="957" spans="1:13" x14ac:dyDescent="0.3">
      <c r="A957" t="s">
        <v>1784</v>
      </c>
      <c r="B957" s="2" t="s">
        <v>1785</v>
      </c>
      <c r="C957" s="1">
        <v>45147</v>
      </c>
      <c r="D957" s="35">
        <v>297394.61</v>
      </c>
      <c r="E957" s="2" t="s">
        <v>15</v>
      </c>
      <c r="F957" s="2" t="s">
        <v>11</v>
      </c>
      <c r="G957" s="2" t="s">
        <v>12</v>
      </c>
      <c r="H957">
        <v>23</v>
      </c>
      <c r="I957" s="2" t="str">
        <f>TEXT(Sheet1[[#This Row],[claim_date]],"mmmm")</f>
        <v>August</v>
      </c>
      <c r="J957" s="2">
        <f>YEAR(Sheet1[[#This Row],[claim_date]])</f>
        <v>2023</v>
      </c>
      <c r="K957" s="2" t="str">
        <f>"Q"&amp;ROUNDUP(MONTH(Sheet1[[#This Row],[claim_date]])/3,0)</f>
        <v>Q3</v>
      </c>
      <c r="L957" s="2" t="str">
        <f>IF(Sheet1[[#This Row],[claim_amount]]&lt;100000,"Low",IF(Sheet1[[#This Row],[claim_amount]]&lt;200000,"Medium","High"))</f>
        <v>High</v>
      </c>
      <c r="M957" s="2" t="str">
        <f>IF(Sheet1[[#This Row],[days_to_process]]&lt;=30,"Fast","Slow")</f>
        <v>Fast</v>
      </c>
    </row>
    <row r="958" spans="1:13" x14ac:dyDescent="0.3">
      <c r="A958" t="s">
        <v>1786</v>
      </c>
      <c r="B958" s="2" t="s">
        <v>1532</v>
      </c>
      <c r="C958" s="1">
        <v>44676</v>
      </c>
      <c r="D958" s="35">
        <v>55835.12</v>
      </c>
      <c r="E958" s="2" t="s">
        <v>10</v>
      </c>
      <c r="F958" s="2" t="s">
        <v>11</v>
      </c>
      <c r="G958" s="2" t="s">
        <v>12</v>
      </c>
      <c r="H958">
        <v>41</v>
      </c>
      <c r="I958" s="2" t="str">
        <f>TEXT(Sheet1[[#This Row],[claim_date]],"mmmm")</f>
        <v>April</v>
      </c>
      <c r="J958" s="2">
        <f>YEAR(Sheet1[[#This Row],[claim_date]])</f>
        <v>2022</v>
      </c>
      <c r="K958" s="2" t="str">
        <f>"Q"&amp;ROUNDUP(MONTH(Sheet1[[#This Row],[claim_date]])/3,0)</f>
        <v>Q2</v>
      </c>
      <c r="L958" s="2" t="str">
        <f>IF(Sheet1[[#This Row],[claim_amount]]&lt;100000,"Low",IF(Sheet1[[#This Row],[claim_amount]]&lt;200000,"Medium","High"))</f>
        <v>Low</v>
      </c>
      <c r="M958" s="2" t="str">
        <f>IF(Sheet1[[#This Row],[days_to_process]]&lt;=30,"Fast","Slow")</f>
        <v>Slow</v>
      </c>
    </row>
    <row r="959" spans="1:13" x14ac:dyDescent="0.3">
      <c r="A959" t="s">
        <v>1787</v>
      </c>
      <c r="B959" s="2" t="s">
        <v>1788</v>
      </c>
      <c r="C959" s="1">
        <v>45052</v>
      </c>
      <c r="D959" s="35">
        <v>431221.21</v>
      </c>
      <c r="E959" s="2" t="s">
        <v>10</v>
      </c>
      <c r="F959" s="2" t="s">
        <v>16</v>
      </c>
      <c r="G959" s="2" t="s">
        <v>12</v>
      </c>
      <c r="H959">
        <v>10</v>
      </c>
      <c r="I959" s="2" t="str">
        <f>TEXT(Sheet1[[#This Row],[claim_date]],"mmmm")</f>
        <v>May</v>
      </c>
      <c r="J959" s="2">
        <f>YEAR(Sheet1[[#This Row],[claim_date]])</f>
        <v>2023</v>
      </c>
      <c r="K959" s="2" t="str">
        <f>"Q"&amp;ROUNDUP(MONTH(Sheet1[[#This Row],[claim_date]])/3,0)</f>
        <v>Q2</v>
      </c>
      <c r="L959" s="2" t="str">
        <f>IF(Sheet1[[#This Row],[claim_amount]]&lt;100000,"Low",IF(Sheet1[[#This Row],[claim_amount]]&lt;200000,"Medium","High"))</f>
        <v>High</v>
      </c>
      <c r="M959" s="2" t="str">
        <f>IF(Sheet1[[#This Row],[days_to_process]]&lt;=30,"Fast","Slow")</f>
        <v>Fast</v>
      </c>
    </row>
    <row r="960" spans="1:13" x14ac:dyDescent="0.3">
      <c r="A960" t="s">
        <v>1789</v>
      </c>
      <c r="B960" s="2" t="s">
        <v>1790</v>
      </c>
      <c r="C960" s="1">
        <v>45290</v>
      </c>
      <c r="D960" s="35">
        <v>217464.11</v>
      </c>
      <c r="E960" s="2" t="s">
        <v>10</v>
      </c>
      <c r="F960" s="2" t="s">
        <v>20</v>
      </c>
      <c r="G960" s="2" t="s">
        <v>24</v>
      </c>
      <c r="H960">
        <v>18</v>
      </c>
      <c r="I960" s="2" t="str">
        <f>TEXT(Sheet1[[#This Row],[claim_date]],"mmmm")</f>
        <v>December</v>
      </c>
      <c r="J960" s="2">
        <f>YEAR(Sheet1[[#This Row],[claim_date]])</f>
        <v>2023</v>
      </c>
      <c r="K960" s="2" t="str">
        <f>"Q"&amp;ROUNDUP(MONTH(Sheet1[[#This Row],[claim_date]])/3,0)</f>
        <v>Q4</v>
      </c>
      <c r="L960" s="2" t="str">
        <f>IF(Sheet1[[#This Row],[claim_amount]]&lt;100000,"Low",IF(Sheet1[[#This Row],[claim_amount]]&lt;200000,"Medium","High"))</f>
        <v>High</v>
      </c>
      <c r="M960" s="2" t="str">
        <f>IF(Sheet1[[#This Row],[days_to_process]]&lt;=30,"Fast","Slow")</f>
        <v>Fast</v>
      </c>
    </row>
    <row r="961" spans="1:13" x14ac:dyDescent="0.3">
      <c r="A961" t="s">
        <v>1791</v>
      </c>
      <c r="B961" s="2" t="s">
        <v>1587</v>
      </c>
      <c r="C961" s="1">
        <v>45672</v>
      </c>
      <c r="D961" s="35">
        <v>212266.47</v>
      </c>
      <c r="E961" s="2" t="s">
        <v>19</v>
      </c>
      <c r="F961" s="2" t="s">
        <v>23</v>
      </c>
      <c r="G961" s="2" t="s">
        <v>24</v>
      </c>
      <c r="H961">
        <v>35</v>
      </c>
      <c r="I961" s="2" t="str">
        <f>TEXT(Sheet1[[#This Row],[claim_date]],"mmmm")</f>
        <v>January</v>
      </c>
      <c r="J961" s="2">
        <f>YEAR(Sheet1[[#This Row],[claim_date]])</f>
        <v>2025</v>
      </c>
      <c r="K961" s="2" t="str">
        <f>"Q"&amp;ROUNDUP(MONTH(Sheet1[[#This Row],[claim_date]])/3,0)</f>
        <v>Q1</v>
      </c>
      <c r="L961" s="2" t="str">
        <f>IF(Sheet1[[#This Row],[claim_amount]]&lt;100000,"Low",IF(Sheet1[[#This Row],[claim_amount]]&lt;200000,"Medium","High"))</f>
        <v>High</v>
      </c>
      <c r="M961" s="2" t="str">
        <f>IF(Sheet1[[#This Row],[days_to_process]]&lt;=30,"Fast","Slow")</f>
        <v>Slow</v>
      </c>
    </row>
    <row r="962" spans="1:13" x14ac:dyDescent="0.3">
      <c r="A962" t="s">
        <v>1792</v>
      </c>
      <c r="B962" s="2" t="s">
        <v>1328</v>
      </c>
      <c r="C962" s="1">
        <v>45703</v>
      </c>
      <c r="D962" s="35">
        <v>242528.86</v>
      </c>
      <c r="E962" s="2" t="s">
        <v>15</v>
      </c>
      <c r="F962" s="2" t="s">
        <v>34</v>
      </c>
      <c r="G962" s="2" t="s">
        <v>12</v>
      </c>
      <c r="H962">
        <v>28</v>
      </c>
      <c r="I962" s="2" t="str">
        <f>TEXT(Sheet1[[#This Row],[claim_date]],"mmmm")</f>
        <v>February</v>
      </c>
      <c r="J962" s="2">
        <f>YEAR(Sheet1[[#This Row],[claim_date]])</f>
        <v>2025</v>
      </c>
      <c r="K962" s="2" t="str">
        <f>"Q"&amp;ROUNDUP(MONTH(Sheet1[[#This Row],[claim_date]])/3,0)</f>
        <v>Q1</v>
      </c>
      <c r="L962" s="2" t="str">
        <f>IF(Sheet1[[#This Row],[claim_amount]]&lt;100000,"Low",IF(Sheet1[[#This Row],[claim_amount]]&lt;200000,"Medium","High"))</f>
        <v>High</v>
      </c>
      <c r="M962" s="2" t="str">
        <f>IF(Sheet1[[#This Row],[days_to_process]]&lt;=30,"Fast","Slow")</f>
        <v>Fast</v>
      </c>
    </row>
    <row r="963" spans="1:13" x14ac:dyDescent="0.3">
      <c r="A963" t="s">
        <v>1793</v>
      </c>
      <c r="B963" s="2" t="s">
        <v>1794</v>
      </c>
      <c r="C963" s="1">
        <v>45403</v>
      </c>
      <c r="D963" s="35">
        <v>388062.71999999997</v>
      </c>
      <c r="E963" s="2" t="s">
        <v>15</v>
      </c>
      <c r="F963" s="2" t="s">
        <v>11</v>
      </c>
      <c r="G963" s="2" t="s">
        <v>12</v>
      </c>
      <c r="H963">
        <v>55</v>
      </c>
      <c r="I963" s="2" t="str">
        <f>TEXT(Sheet1[[#This Row],[claim_date]],"mmmm")</f>
        <v>April</v>
      </c>
      <c r="J963" s="2">
        <f>YEAR(Sheet1[[#This Row],[claim_date]])</f>
        <v>2024</v>
      </c>
      <c r="K963" s="2" t="str">
        <f>"Q"&amp;ROUNDUP(MONTH(Sheet1[[#This Row],[claim_date]])/3,0)</f>
        <v>Q2</v>
      </c>
      <c r="L963" s="2" t="str">
        <f>IF(Sheet1[[#This Row],[claim_amount]]&lt;100000,"Low",IF(Sheet1[[#This Row],[claim_amount]]&lt;200000,"Medium","High"))</f>
        <v>High</v>
      </c>
      <c r="M963" s="2" t="str">
        <f>IF(Sheet1[[#This Row],[days_to_process]]&lt;=30,"Fast","Slow")</f>
        <v>Slow</v>
      </c>
    </row>
    <row r="964" spans="1:13" x14ac:dyDescent="0.3">
      <c r="A964" t="s">
        <v>1795</v>
      </c>
      <c r="B964" s="2" t="s">
        <v>272</v>
      </c>
      <c r="C964" s="1">
        <v>45686</v>
      </c>
      <c r="D964" s="35">
        <v>313938.03999999998</v>
      </c>
      <c r="E964" s="2" t="s">
        <v>19</v>
      </c>
      <c r="F964" s="2" t="s">
        <v>34</v>
      </c>
      <c r="G964" s="2" t="s">
        <v>12</v>
      </c>
      <c r="H964">
        <v>40</v>
      </c>
      <c r="I964" s="2" t="str">
        <f>TEXT(Sheet1[[#This Row],[claim_date]],"mmmm")</f>
        <v>January</v>
      </c>
      <c r="J964" s="2">
        <f>YEAR(Sheet1[[#This Row],[claim_date]])</f>
        <v>2025</v>
      </c>
      <c r="K964" s="2" t="str">
        <f>"Q"&amp;ROUNDUP(MONTH(Sheet1[[#This Row],[claim_date]])/3,0)</f>
        <v>Q1</v>
      </c>
      <c r="L964" s="2" t="str">
        <f>IF(Sheet1[[#This Row],[claim_amount]]&lt;100000,"Low",IF(Sheet1[[#This Row],[claim_amount]]&lt;200000,"Medium","High"))</f>
        <v>High</v>
      </c>
      <c r="M964" s="2" t="str">
        <f>IF(Sheet1[[#This Row],[days_to_process]]&lt;=30,"Fast","Slow")</f>
        <v>Slow</v>
      </c>
    </row>
    <row r="965" spans="1:13" x14ac:dyDescent="0.3">
      <c r="A965" t="s">
        <v>1796</v>
      </c>
      <c r="B965" s="2" t="s">
        <v>1797</v>
      </c>
      <c r="C965" s="1">
        <v>44891</v>
      </c>
      <c r="D965" s="35">
        <v>107608.48</v>
      </c>
      <c r="E965" s="2" t="s">
        <v>19</v>
      </c>
      <c r="F965" s="2" t="s">
        <v>20</v>
      </c>
      <c r="G965" s="2" t="s">
        <v>24</v>
      </c>
      <c r="H965">
        <v>41</v>
      </c>
      <c r="I965" s="2" t="str">
        <f>TEXT(Sheet1[[#This Row],[claim_date]],"mmmm")</f>
        <v>November</v>
      </c>
      <c r="J965" s="2">
        <f>YEAR(Sheet1[[#This Row],[claim_date]])</f>
        <v>2022</v>
      </c>
      <c r="K965" s="2" t="str">
        <f>"Q"&amp;ROUNDUP(MONTH(Sheet1[[#This Row],[claim_date]])/3,0)</f>
        <v>Q4</v>
      </c>
      <c r="L965" s="2" t="str">
        <f>IF(Sheet1[[#This Row],[claim_amount]]&lt;100000,"Low",IF(Sheet1[[#This Row],[claim_amount]]&lt;200000,"Medium","High"))</f>
        <v>Medium</v>
      </c>
      <c r="M965" s="2" t="str">
        <f>IF(Sheet1[[#This Row],[days_to_process]]&lt;=30,"Fast","Slow")</f>
        <v>Slow</v>
      </c>
    </row>
    <row r="966" spans="1:13" x14ac:dyDescent="0.3">
      <c r="A966" t="s">
        <v>1798</v>
      </c>
      <c r="B966" s="2" t="s">
        <v>1799</v>
      </c>
      <c r="C966" s="1">
        <v>45623</v>
      </c>
      <c r="D966" s="35">
        <v>402575.37</v>
      </c>
      <c r="E966" s="2" t="s">
        <v>10</v>
      </c>
      <c r="F966" s="2" t="s">
        <v>23</v>
      </c>
      <c r="G966" s="2" t="s">
        <v>24</v>
      </c>
      <c r="H966">
        <v>54</v>
      </c>
      <c r="I966" s="2" t="str">
        <f>TEXT(Sheet1[[#This Row],[claim_date]],"mmmm")</f>
        <v>November</v>
      </c>
      <c r="J966" s="2">
        <f>YEAR(Sheet1[[#This Row],[claim_date]])</f>
        <v>2024</v>
      </c>
      <c r="K966" s="2" t="str">
        <f>"Q"&amp;ROUNDUP(MONTH(Sheet1[[#This Row],[claim_date]])/3,0)</f>
        <v>Q4</v>
      </c>
      <c r="L966" s="2" t="str">
        <f>IF(Sheet1[[#This Row],[claim_amount]]&lt;100000,"Low",IF(Sheet1[[#This Row],[claim_amount]]&lt;200000,"Medium","High"))</f>
        <v>High</v>
      </c>
      <c r="M966" s="2" t="str">
        <f>IF(Sheet1[[#This Row],[days_to_process]]&lt;=30,"Fast","Slow")</f>
        <v>Slow</v>
      </c>
    </row>
    <row r="967" spans="1:13" x14ac:dyDescent="0.3">
      <c r="A967" t="s">
        <v>1800</v>
      </c>
      <c r="B967" s="2" t="s">
        <v>1801</v>
      </c>
      <c r="C967" s="1">
        <v>44548</v>
      </c>
      <c r="D967" s="35">
        <v>65524.7</v>
      </c>
      <c r="E967" s="2" t="s">
        <v>19</v>
      </c>
      <c r="F967" s="2" t="s">
        <v>20</v>
      </c>
      <c r="G967" s="2" t="s">
        <v>24</v>
      </c>
      <c r="H967">
        <v>53</v>
      </c>
      <c r="I967" s="2" t="str">
        <f>TEXT(Sheet1[[#This Row],[claim_date]],"mmmm")</f>
        <v>December</v>
      </c>
      <c r="J967" s="2">
        <f>YEAR(Sheet1[[#This Row],[claim_date]])</f>
        <v>2021</v>
      </c>
      <c r="K967" s="2" t="str">
        <f>"Q"&amp;ROUNDUP(MONTH(Sheet1[[#This Row],[claim_date]])/3,0)</f>
        <v>Q4</v>
      </c>
      <c r="L967" s="2" t="str">
        <f>IF(Sheet1[[#This Row],[claim_amount]]&lt;100000,"Low",IF(Sheet1[[#This Row],[claim_amount]]&lt;200000,"Medium","High"))</f>
        <v>Low</v>
      </c>
      <c r="M967" s="2" t="str">
        <f>IF(Sheet1[[#This Row],[days_to_process]]&lt;=30,"Fast","Slow")</f>
        <v>Slow</v>
      </c>
    </row>
    <row r="968" spans="1:13" x14ac:dyDescent="0.3">
      <c r="A968" t="s">
        <v>1802</v>
      </c>
      <c r="B968" s="2" t="s">
        <v>1803</v>
      </c>
      <c r="C968" s="1">
        <v>45449</v>
      </c>
      <c r="D968" s="35">
        <v>412472.95</v>
      </c>
      <c r="E968" s="2" t="s">
        <v>15</v>
      </c>
      <c r="F968" s="2" t="s">
        <v>20</v>
      </c>
      <c r="G968" s="2" t="s">
        <v>12</v>
      </c>
      <c r="H968">
        <v>43</v>
      </c>
      <c r="I968" s="2" t="str">
        <f>TEXT(Sheet1[[#This Row],[claim_date]],"mmmm")</f>
        <v>June</v>
      </c>
      <c r="J968" s="2">
        <f>YEAR(Sheet1[[#This Row],[claim_date]])</f>
        <v>2024</v>
      </c>
      <c r="K968" s="2" t="str">
        <f>"Q"&amp;ROUNDUP(MONTH(Sheet1[[#This Row],[claim_date]])/3,0)</f>
        <v>Q2</v>
      </c>
      <c r="L968" s="2" t="str">
        <f>IF(Sheet1[[#This Row],[claim_amount]]&lt;100000,"Low",IF(Sheet1[[#This Row],[claim_amount]]&lt;200000,"Medium","High"))</f>
        <v>High</v>
      </c>
      <c r="M968" s="2" t="str">
        <f>IF(Sheet1[[#This Row],[days_to_process]]&lt;=30,"Fast","Slow")</f>
        <v>Slow</v>
      </c>
    </row>
    <row r="969" spans="1:13" x14ac:dyDescent="0.3">
      <c r="A969" t="s">
        <v>1804</v>
      </c>
      <c r="B969" s="2" t="s">
        <v>342</v>
      </c>
      <c r="C969" s="1">
        <v>45010</v>
      </c>
      <c r="D969" s="35">
        <v>449406.42</v>
      </c>
      <c r="E969" s="2" t="s">
        <v>19</v>
      </c>
      <c r="F969" s="2" t="s">
        <v>16</v>
      </c>
      <c r="G969" s="2" t="s">
        <v>24</v>
      </c>
      <c r="H969">
        <v>5</v>
      </c>
      <c r="I969" s="2" t="str">
        <f>TEXT(Sheet1[[#This Row],[claim_date]],"mmmm")</f>
        <v>March</v>
      </c>
      <c r="J969" s="2">
        <f>YEAR(Sheet1[[#This Row],[claim_date]])</f>
        <v>2023</v>
      </c>
      <c r="K969" s="2" t="str">
        <f>"Q"&amp;ROUNDUP(MONTH(Sheet1[[#This Row],[claim_date]])/3,0)</f>
        <v>Q1</v>
      </c>
      <c r="L969" s="2" t="str">
        <f>IF(Sheet1[[#This Row],[claim_amount]]&lt;100000,"Low",IF(Sheet1[[#This Row],[claim_amount]]&lt;200000,"Medium","High"))</f>
        <v>High</v>
      </c>
      <c r="M969" s="2" t="str">
        <f>IF(Sheet1[[#This Row],[days_to_process]]&lt;=30,"Fast","Slow")</f>
        <v>Fast</v>
      </c>
    </row>
    <row r="970" spans="1:13" x14ac:dyDescent="0.3">
      <c r="A970" t="s">
        <v>1805</v>
      </c>
      <c r="B970" s="2" t="s">
        <v>1806</v>
      </c>
      <c r="C970" s="1">
        <v>45086</v>
      </c>
      <c r="D970" s="35">
        <v>346420.98</v>
      </c>
      <c r="E970" s="2" t="s">
        <v>10</v>
      </c>
      <c r="F970" s="2" t="s">
        <v>34</v>
      </c>
      <c r="G970" s="2" t="s">
        <v>24</v>
      </c>
      <c r="H970">
        <v>37</v>
      </c>
      <c r="I970" s="2" t="str">
        <f>TEXT(Sheet1[[#This Row],[claim_date]],"mmmm")</f>
        <v>June</v>
      </c>
      <c r="J970" s="2">
        <f>YEAR(Sheet1[[#This Row],[claim_date]])</f>
        <v>2023</v>
      </c>
      <c r="K970" s="2" t="str">
        <f>"Q"&amp;ROUNDUP(MONTH(Sheet1[[#This Row],[claim_date]])/3,0)</f>
        <v>Q2</v>
      </c>
      <c r="L970" s="2" t="str">
        <f>IF(Sheet1[[#This Row],[claim_amount]]&lt;100000,"Low",IF(Sheet1[[#This Row],[claim_amount]]&lt;200000,"Medium","High"))</f>
        <v>High</v>
      </c>
      <c r="M970" s="2" t="str">
        <f>IF(Sheet1[[#This Row],[days_to_process]]&lt;=30,"Fast","Slow")</f>
        <v>Slow</v>
      </c>
    </row>
    <row r="971" spans="1:13" x14ac:dyDescent="0.3">
      <c r="A971" t="s">
        <v>1807</v>
      </c>
      <c r="B971" s="2" t="s">
        <v>1808</v>
      </c>
      <c r="C971" s="1">
        <v>45164</v>
      </c>
      <c r="D971" s="35">
        <v>466486.03</v>
      </c>
      <c r="E971" s="2" t="s">
        <v>10</v>
      </c>
      <c r="F971" s="2" t="s">
        <v>16</v>
      </c>
      <c r="G971" s="2" t="s">
        <v>12</v>
      </c>
      <c r="H971">
        <v>32</v>
      </c>
      <c r="I971" s="2" t="str">
        <f>TEXT(Sheet1[[#This Row],[claim_date]],"mmmm")</f>
        <v>August</v>
      </c>
      <c r="J971" s="2">
        <f>YEAR(Sheet1[[#This Row],[claim_date]])</f>
        <v>2023</v>
      </c>
      <c r="K971" s="2" t="str">
        <f>"Q"&amp;ROUNDUP(MONTH(Sheet1[[#This Row],[claim_date]])/3,0)</f>
        <v>Q3</v>
      </c>
      <c r="L971" s="2" t="str">
        <f>IF(Sheet1[[#This Row],[claim_amount]]&lt;100000,"Low",IF(Sheet1[[#This Row],[claim_amount]]&lt;200000,"Medium","High"))</f>
        <v>High</v>
      </c>
      <c r="M971" s="2" t="str">
        <f>IF(Sheet1[[#This Row],[days_to_process]]&lt;=30,"Fast","Slow")</f>
        <v>Slow</v>
      </c>
    </row>
    <row r="972" spans="1:13" x14ac:dyDescent="0.3">
      <c r="A972" t="s">
        <v>1809</v>
      </c>
      <c r="B972" s="2" t="s">
        <v>1810</v>
      </c>
      <c r="C972" s="1">
        <v>44877</v>
      </c>
      <c r="D972" s="35">
        <v>335943.48</v>
      </c>
      <c r="E972" s="2" t="s">
        <v>19</v>
      </c>
      <c r="F972" s="2" t="s">
        <v>34</v>
      </c>
      <c r="G972" s="2" t="s">
        <v>12</v>
      </c>
      <c r="H972">
        <v>58</v>
      </c>
      <c r="I972" s="2" t="str">
        <f>TEXT(Sheet1[[#This Row],[claim_date]],"mmmm")</f>
        <v>November</v>
      </c>
      <c r="J972" s="2">
        <f>YEAR(Sheet1[[#This Row],[claim_date]])</f>
        <v>2022</v>
      </c>
      <c r="K972" s="2" t="str">
        <f>"Q"&amp;ROUNDUP(MONTH(Sheet1[[#This Row],[claim_date]])/3,0)</f>
        <v>Q4</v>
      </c>
      <c r="L972" s="2" t="str">
        <f>IF(Sheet1[[#This Row],[claim_amount]]&lt;100000,"Low",IF(Sheet1[[#This Row],[claim_amount]]&lt;200000,"Medium","High"))</f>
        <v>High</v>
      </c>
      <c r="M972" s="2" t="str">
        <f>IF(Sheet1[[#This Row],[days_to_process]]&lt;=30,"Fast","Slow")</f>
        <v>Slow</v>
      </c>
    </row>
    <row r="973" spans="1:13" x14ac:dyDescent="0.3">
      <c r="A973" t="s">
        <v>1811</v>
      </c>
      <c r="B973" s="2" t="s">
        <v>1812</v>
      </c>
      <c r="C973" s="1">
        <v>45504</v>
      </c>
      <c r="D973" s="35">
        <v>117533.23</v>
      </c>
      <c r="E973" s="2" t="s">
        <v>10</v>
      </c>
      <c r="F973" s="2" t="s">
        <v>11</v>
      </c>
      <c r="G973" s="2" t="s">
        <v>24</v>
      </c>
      <c r="H973">
        <v>8</v>
      </c>
      <c r="I973" s="2" t="str">
        <f>TEXT(Sheet1[[#This Row],[claim_date]],"mmmm")</f>
        <v>July</v>
      </c>
      <c r="J973" s="2">
        <f>YEAR(Sheet1[[#This Row],[claim_date]])</f>
        <v>2024</v>
      </c>
      <c r="K973" s="2" t="str">
        <f>"Q"&amp;ROUNDUP(MONTH(Sheet1[[#This Row],[claim_date]])/3,0)</f>
        <v>Q3</v>
      </c>
      <c r="L973" s="2" t="str">
        <f>IF(Sheet1[[#This Row],[claim_amount]]&lt;100000,"Low",IF(Sheet1[[#This Row],[claim_amount]]&lt;200000,"Medium","High"))</f>
        <v>Medium</v>
      </c>
      <c r="M973" s="2" t="str">
        <f>IF(Sheet1[[#This Row],[days_to_process]]&lt;=30,"Fast","Slow")</f>
        <v>Fast</v>
      </c>
    </row>
    <row r="974" spans="1:13" x14ac:dyDescent="0.3">
      <c r="A974" t="s">
        <v>1813</v>
      </c>
      <c r="B974" s="2" t="s">
        <v>1814</v>
      </c>
      <c r="C974" s="1">
        <v>45281</v>
      </c>
      <c r="D974" s="35">
        <v>238958.37</v>
      </c>
      <c r="E974" s="2" t="s">
        <v>19</v>
      </c>
      <c r="F974" s="2" t="s">
        <v>11</v>
      </c>
      <c r="G974" s="2" t="s">
        <v>12</v>
      </c>
      <c r="H974">
        <v>4</v>
      </c>
      <c r="I974" s="2" t="str">
        <f>TEXT(Sheet1[[#This Row],[claim_date]],"mmmm")</f>
        <v>December</v>
      </c>
      <c r="J974" s="2">
        <f>YEAR(Sheet1[[#This Row],[claim_date]])</f>
        <v>2023</v>
      </c>
      <c r="K974" s="2" t="str">
        <f>"Q"&amp;ROUNDUP(MONTH(Sheet1[[#This Row],[claim_date]])/3,0)</f>
        <v>Q4</v>
      </c>
      <c r="L974" s="2" t="str">
        <f>IF(Sheet1[[#This Row],[claim_amount]]&lt;100000,"Low",IF(Sheet1[[#This Row],[claim_amount]]&lt;200000,"Medium","High"))</f>
        <v>High</v>
      </c>
      <c r="M974" s="2" t="str">
        <f>IF(Sheet1[[#This Row],[days_to_process]]&lt;=30,"Fast","Slow")</f>
        <v>Fast</v>
      </c>
    </row>
    <row r="975" spans="1:13" x14ac:dyDescent="0.3">
      <c r="A975" t="s">
        <v>1815</v>
      </c>
      <c r="B975" s="2" t="s">
        <v>1816</v>
      </c>
      <c r="C975" s="1">
        <v>44450</v>
      </c>
      <c r="D975" s="35">
        <v>70974.990000000005</v>
      </c>
      <c r="E975" s="2" t="s">
        <v>15</v>
      </c>
      <c r="F975" s="2" t="s">
        <v>34</v>
      </c>
      <c r="G975" s="2" t="s">
        <v>24</v>
      </c>
      <c r="H975">
        <v>45</v>
      </c>
      <c r="I975" s="2" t="str">
        <f>TEXT(Sheet1[[#This Row],[claim_date]],"mmmm")</f>
        <v>September</v>
      </c>
      <c r="J975" s="2">
        <f>YEAR(Sheet1[[#This Row],[claim_date]])</f>
        <v>2021</v>
      </c>
      <c r="K975" s="2" t="str">
        <f>"Q"&amp;ROUNDUP(MONTH(Sheet1[[#This Row],[claim_date]])/3,0)</f>
        <v>Q3</v>
      </c>
      <c r="L975" s="2" t="str">
        <f>IF(Sheet1[[#This Row],[claim_amount]]&lt;100000,"Low",IF(Sheet1[[#This Row],[claim_amount]]&lt;200000,"Medium","High"))</f>
        <v>Low</v>
      </c>
      <c r="M975" s="2" t="str">
        <f>IF(Sheet1[[#This Row],[days_to_process]]&lt;=30,"Fast","Slow")</f>
        <v>Slow</v>
      </c>
    </row>
    <row r="976" spans="1:13" x14ac:dyDescent="0.3">
      <c r="A976" t="s">
        <v>1817</v>
      </c>
      <c r="B976" s="2" t="s">
        <v>1818</v>
      </c>
      <c r="C976" s="1">
        <v>44413</v>
      </c>
      <c r="D976" s="35">
        <v>491879.08</v>
      </c>
      <c r="E976" s="2" t="s">
        <v>10</v>
      </c>
      <c r="F976" s="2" t="s">
        <v>11</v>
      </c>
      <c r="G976" s="2" t="s">
        <v>12</v>
      </c>
      <c r="H976">
        <v>26</v>
      </c>
      <c r="I976" s="2" t="str">
        <f>TEXT(Sheet1[[#This Row],[claim_date]],"mmmm")</f>
        <v>August</v>
      </c>
      <c r="J976" s="2">
        <f>YEAR(Sheet1[[#This Row],[claim_date]])</f>
        <v>2021</v>
      </c>
      <c r="K976" s="2" t="str">
        <f>"Q"&amp;ROUNDUP(MONTH(Sheet1[[#This Row],[claim_date]])/3,0)</f>
        <v>Q3</v>
      </c>
      <c r="L976" s="2" t="str">
        <f>IF(Sheet1[[#This Row],[claim_amount]]&lt;100000,"Low",IF(Sheet1[[#This Row],[claim_amount]]&lt;200000,"Medium","High"))</f>
        <v>High</v>
      </c>
      <c r="M976" s="2" t="str">
        <f>IF(Sheet1[[#This Row],[days_to_process]]&lt;=30,"Fast","Slow")</f>
        <v>Fast</v>
      </c>
    </row>
    <row r="977" spans="1:13" x14ac:dyDescent="0.3">
      <c r="A977" t="s">
        <v>1819</v>
      </c>
      <c r="B977" s="2" t="s">
        <v>1820</v>
      </c>
      <c r="C977" s="1">
        <v>45010</v>
      </c>
      <c r="D977" s="35">
        <v>419832.32000000001</v>
      </c>
      <c r="E977" s="2" t="s">
        <v>15</v>
      </c>
      <c r="F977" s="2" t="s">
        <v>23</v>
      </c>
      <c r="G977" s="2" t="s">
        <v>12</v>
      </c>
      <c r="H977">
        <v>52</v>
      </c>
      <c r="I977" s="2" t="str">
        <f>TEXT(Sheet1[[#This Row],[claim_date]],"mmmm")</f>
        <v>March</v>
      </c>
      <c r="J977" s="2">
        <f>YEAR(Sheet1[[#This Row],[claim_date]])</f>
        <v>2023</v>
      </c>
      <c r="K977" s="2" t="str">
        <f>"Q"&amp;ROUNDUP(MONTH(Sheet1[[#This Row],[claim_date]])/3,0)</f>
        <v>Q1</v>
      </c>
      <c r="L977" s="2" t="str">
        <f>IF(Sheet1[[#This Row],[claim_amount]]&lt;100000,"Low",IF(Sheet1[[#This Row],[claim_amount]]&lt;200000,"Medium","High"))</f>
        <v>High</v>
      </c>
      <c r="M977" s="2" t="str">
        <f>IF(Sheet1[[#This Row],[days_to_process]]&lt;=30,"Fast","Slow")</f>
        <v>Slow</v>
      </c>
    </row>
    <row r="978" spans="1:13" x14ac:dyDescent="0.3">
      <c r="A978" t="s">
        <v>1821</v>
      </c>
      <c r="B978" s="2" t="s">
        <v>1822</v>
      </c>
      <c r="C978" s="1">
        <v>45305</v>
      </c>
      <c r="D978" s="35">
        <v>290503.36</v>
      </c>
      <c r="E978" s="2" t="s">
        <v>19</v>
      </c>
      <c r="F978" s="2" t="s">
        <v>34</v>
      </c>
      <c r="G978" s="2" t="s">
        <v>24</v>
      </c>
      <c r="H978">
        <v>34</v>
      </c>
      <c r="I978" s="2" t="str">
        <f>TEXT(Sheet1[[#This Row],[claim_date]],"mmmm")</f>
        <v>January</v>
      </c>
      <c r="J978" s="2">
        <f>YEAR(Sheet1[[#This Row],[claim_date]])</f>
        <v>2024</v>
      </c>
      <c r="K978" s="2" t="str">
        <f>"Q"&amp;ROUNDUP(MONTH(Sheet1[[#This Row],[claim_date]])/3,0)</f>
        <v>Q1</v>
      </c>
      <c r="L978" s="2" t="str">
        <f>IF(Sheet1[[#This Row],[claim_amount]]&lt;100000,"Low",IF(Sheet1[[#This Row],[claim_amount]]&lt;200000,"Medium","High"))</f>
        <v>High</v>
      </c>
      <c r="M978" s="2" t="str">
        <f>IF(Sheet1[[#This Row],[days_to_process]]&lt;=30,"Fast","Slow")</f>
        <v>Slow</v>
      </c>
    </row>
    <row r="979" spans="1:13" x14ac:dyDescent="0.3">
      <c r="A979" t="s">
        <v>1823</v>
      </c>
      <c r="B979" s="2" t="s">
        <v>1824</v>
      </c>
      <c r="C979" s="1">
        <v>45394</v>
      </c>
      <c r="D979" s="35">
        <v>255423.59</v>
      </c>
      <c r="E979" s="2" t="s">
        <v>10</v>
      </c>
      <c r="F979" s="2" t="s">
        <v>16</v>
      </c>
      <c r="G979" s="2" t="s">
        <v>12</v>
      </c>
      <c r="H979">
        <v>54</v>
      </c>
      <c r="I979" s="2" t="str">
        <f>TEXT(Sheet1[[#This Row],[claim_date]],"mmmm")</f>
        <v>April</v>
      </c>
      <c r="J979" s="2">
        <f>YEAR(Sheet1[[#This Row],[claim_date]])</f>
        <v>2024</v>
      </c>
      <c r="K979" s="2" t="str">
        <f>"Q"&amp;ROUNDUP(MONTH(Sheet1[[#This Row],[claim_date]])/3,0)</f>
        <v>Q2</v>
      </c>
      <c r="L979" s="2" t="str">
        <f>IF(Sheet1[[#This Row],[claim_amount]]&lt;100000,"Low",IF(Sheet1[[#This Row],[claim_amount]]&lt;200000,"Medium","High"))</f>
        <v>High</v>
      </c>
      <c r="M979" s="2" t="str">
        <f>IF(Sheet1[[#This Row],[days_to_process]]&lt;=30,"Fast","Slow")</f>
        <v>Slow</v>
      </c>
    </row>
    <row r="980" spans="1:13" x14ac:dyDescent="0.3">
      <c r="A980" t="s">
        <v>1825</v>
      </c>
      <c r="B980" s="2" t="s">
        <v>1826</v>
      </c>
      <c r="C980" s="1">
        <v>45489</v>
      </c>
      <c r="D980" s="35">
        <v>285421.67</v>
      </c>
      <c r="E980" s="2" t="s">
        <v>19</v>
      </c>
      <c r="F980" s="2" t="s">
        <v>20</v>
      </c>
      <c r="G980" s="2" t="s">
        <v>12</v>
      </c>
      <c r="H980">
        <v>33</v>
      </c>
      <c r="I980" s="2" t="str">
        <f>TEXT(Sheet1[[#This Row],[claim_date]],"mmmm")</f>
        <v>July</v>
      </c>
      <c r="J980" s="2">
        <f>YEAR(Sheet1[[#This Row],[claim_date]])</f>
        <v>2024</v>
      </c>
      <c r="K980" s="2" t="str">
        <f>"Q"&amp;ROUNDUP(MONTH(Sheet1[[#This Row],[claim_date]])/3,0)</f>
        <v>Q3</v>
      </c>
      <c r="L980" s="2" t="str">
        <f>IF(Sheet1[[#This Row],[claim_amount]]&lt;100000,"Low",IF(Sheet1[[#This Row],[claim_amount]]&lt;200000,"Medium","High"))</f>
        <v>High</v>
      </c>
      <c r="M980" s="2" t="str">
        <f>IF(Sheet1[[#This Row],[days_to_process]]&lt;=30,"Fast","Slow")</f>
        <v>Slow</v>
      </c>
    </row>
    <row r="981" spans="1:13" x14ac:dyDescent="0.3">
      <c r="A981" t="s">
        <v>1827</v>
      </c>
      <c r="B981" s="2" t="s">
        <v>1828</v>
      </c>
      <c r="C981" s="1">
        <v>45456</v>
      </c>
      <c r="D981" s="35">
        <v>459108.8</v>
      </c>
      <c r="E981" s="2" t="s">
        <v>10</v>
      </c>
      <c r="F981" s="2" t="s">
        <v>23</v>
      </c>
      <c r="G981" s="2" t="s">
        <v>24</v>
      </c>
      <c r="H981">
        <v>15</v>
      </c>
      <c r="I981" s="2" t="str">
        <f>TEXT(Sheet1[[#This Row],[claim_date]],"mmmm")</f>
        <v>June</v>
      </c>
      <c r="J981" s="2">
        <f>YEAR(Sheet1[[#This Row],[claim_date]])</f>
        <v>2024</v>
      </c>
      <c r="K981" s="2" t="str">
        <f>"Q"&amp;ROUNDUP(MONTH(Sheet1[[#This Row],[claim_date]])/3,0)</f>
        <v>Q2</v>
      </c>
      <c r="L981" s="2" t="str">
        <f>IF(Sheet1[[#This Row],[claim_amount]]&lt;100000,"Low",IF(Sheet1[[#This Row],[claim_amount]]&lt;200000,"Medium","High"))</f>
        <v>High</v>
      </c>
      <c r="M981" s="2" t="str">
        <f>IF(Sheet1[[#This Row],[days_to_process]]&lt;=30,"Fast","Slow")</f>
        <v>Fast</v>
      </c>
    </row>
    <row r="982" spans="1:13" x14ac:dyDescent="0.3">
      <c r="A982" t="s">
        <v>1829</v>
      </c>
      <c r="B982" s="2" t="s">
        <v>107</v>
      </c>
      <c r="C982" s="1">
        <v>44598</v>
      </c>
      <c r="D982" s="35">
        <v>410501.31</v>
      </c>
      <c r="E982" s="2" t="s">
        <v>19</v>
      </c>
      <c r="F982" s="2" t="s">
        <v>34</v>
      </c>
      <c r="G982" s="2" t="s">
        <v>24</v>
      </c>
      <c r="H982">
        <v>56</v>
      </c>
      <c r="I982" s="2" t="str">
        <f>TEXT(Sheet1[[#This Row],[claim_date]],"mmmm")</f>
        <v>February</v>
      </c>
      <c r="J982" s="2">
        <f>YEAR(Sheet1[[#This Row],[claim_date]])</f>
        <v>2022</v>
      </c>
      <c r="K982" s="2" t="str">
        <f>"Q"&amp;ROUNDUP(MONTH(Sheet1[[#This Row],[claim_date]])/3,0)</f>
        <v>Q1</v>
      </c>
      <c r="L982" s="2" t="str">
        <f>IF(Sheet1[[#This Row],[claim_amount]]&lt;100000,"Low",IF(Sheet1[[#This Row],[claim_amount]]&lt;200000,"Medium","High"))</f>
        <v>High</v>
      </c>
      <c r="M982" s="2" t="str">
        <f>IF(Sheet1[[#This Row],[days_to_process]]&lt;=30,"Fast","Slow")</f>
        <v>Slow</v>
      </c>
    </row>
    <row r="983" spans="1:13" x14ac:dyDescent="0.3">
      <c r="A983" t="s">
        <v>1830</v>
      </c>
      <c r="B983" s="2" t="s">
        <v>1831</v>
      </c>
      <c r="C983" s="1">
        <v>45368</v>
      </c>
      <c r="D983" s="35">
        <v>216546.04</v>
      </c>
      <c r="E983" s="2" t="s">
        <v>19</v>
      </c>
      <c r="F983" s="2" t="s">
        <v>20</v>
      </c>
      <c r="G983" s="2" t="s">
        <v>24</v>
      </c>
      <c r="H983">
        <v>31</v>
      </c>
      <c r="I983" s="2" t="str">
        <f>TEXT(Sheet1[[#This Row],[claim_date]],"mmmm")</f>
        <v>March</v>
      </c>
      <c r="J983" s="2">
        <f>YEAR(Sheet1[[#This Row],[claim_date]])</f>
        <v>2024</v>
      </c>
      <c r="K983" s="2" t="str">
        <f>"Q"&amp;ROUNDUP(MONTH(Sheet1[[#This Row],[claim_date]])/3,0)</f>
        <v>Q1</v>
      </c>
      <c r="L983" s="2" t="str">
        <f>IF(Sheet1[[#This Row],[claim_amount]]&lt;100000,"Low",IF(Sheet1[[#This Row],[claim_amount]]&lt;200000,"Medium","High"))</f>
        <v>High</v>
      </c>
      <c r="M983" s="2" t="str">
        <f>IF(Sheet1[[#This Row],[days_to_process]]&lt;=30,"Fast","Slow")</f>
        <v>Slow</v>
      </c>
    </row>
    <row r="984" spans="1:13" x14ac:dyDescent="0.3">
      <c r="A984" t="s">
        <v>1832</v>
      </c>
      <c r="B984" s="2" t="s">
        <v>1833</v>
      </c>
      <c r="C984" s="1">
        <v>45261</v>
      </c>
      <c r="D984" s="35">
        <v>425110.46</v>
      </c>
      <c r="E984" s="2" t="s">
        <v>10</v>
      </c>
      <c r="F984" s="2" t="s">
        <v>34</v>
      </c>
      <c r="G984" s="2" t="s">
        <v>24</v>
      </c>
      <c r="H984">
        <v>47</v>
      </c>
      <c r="I984" s="2" t="str">
        <f>TEXT(Sheet1[[#This Row],[claim_date]],"mmmm")</f>
        <v>December</v>
      </c>
      <c r="J984" s="2">
        <f>YEAR(Sheet1[[#This Row],[claim_date]])</f>
        <v>2023</v>
      </c>
      <c r="K984" s="2" t="str">
        <f>"Q"&amp;ROUNDUP(MONTH(Sheet1[[#This Row],[claim_date]])/3,0)</f>
        <v>Q4</v>
      </c>
      <c r="L984" s="2" t="str">
        <f>IF(Sheet1[[#This Row],[claim_amount]]&lt;100000,"Low",IF(Sheet1[[#This Row],[claim_amount]]&lt;200000,"Medium","High"))</f>
        <v>High</v>
      </c>
      <c r="M984" s="2" t="str">
        <f>IF(Sheet1[[#This Row],[days_to_process]]&lt;=30,"Fast","Slow")</f>
        <v>Slow</v>
      </c>
    </row>
    <row r="985" spans="1:13" x14ac:dyDescent="0.3">
      <c r="A985" t="s">
        <v>1834</v>
      </c>
      <c r="B985" s="2" t="s">
        <v>1835</v>
      </c>
      <c r="C985" s="1">
        <v>45649</v>
      </c>
      <c r="D985" s="35">
        <v>58713.84</v>
      </c>
      <c r="E985" s="2" t="s">
        <v>19</v>
      </c>
      <c r="F985" s="2" t="s">
        <v>16</v>
      </c>
      <c r="G985" s="2" t="s">
        <v>12</v>
      </c>
      <c r="H985">
        <v>47</v>
      </c>
      <c r="I985" s="2" t="str">
        <f>TEXT(Sheet1[[#This Row],[claim_date]],"mmmm")</f>
        <v>December</v>
      </c>
      <c r="J985" s="2">
        <f>YEAR(Sheet1[[#This Row],[claim_date]])</f>
        <v>2024</v>
      </c>
      <c r="K985" s="2" t="str">
        <f>"Q"&amp;ROUNDUP(MONTH(Sheet1[[#This Row],[claim_date]])/3,0)</f>
        <v>Q4</v>
      </c>
      <c r="L985" s="2" t="str">
        <f>IF(Sheet1[[#This Row],[claim_amount]]&lt;100000,"Low",IF(Sheet1[[#This Row],[claim_amount]]&lt;200000,"Medium","High"))</f>
        <v>Low</v>
      </c>
      <c r="M985" s="2" t="str">
        <f>IF(Sheet1[[#This Row],[days_to_process]]&lt;=30,"Fast","Slow")</f>
        <v>Slow</v>
      </c>
    </row>
    <row r="986" spans="1:13" x14ac:dyDescent="0.3">
      <c r="A986" t="s">
        <v>1836</v>
      </c>
      <c r="B986" s="2" t="s">
        <v>1837</v>
      </c>
      <c r="C986" s="1">
        <v>45279</v>
      </c>
      <c r="D986" s="35">
        <v>287200.98</v>
      </c>
      <c r="E986" s="2" t="s">
        <v>19</v>
      </c>
      <c r="F986" s="2" t="s">
        <v>20</v>
      </c>
      <c r="G986" s="2" t="s">
        <v>24</v>
      </c>
      <c r="H986">
        <v>52</v>
      </c>
      <c r="I986" s="2" t="str">
        <f>TEXT(Sheet1[[#This Row],[claim_date]],"mmmm")</f>
        <v>December</v>
      </c>
      <c r="J986" s="2">
        <f>YEAR(Sheet1[[#This Row],[claim_date]])</f>
        <v>2023</v>
      </c>
      <c r="K986" s="2" t="str">
        <f>"Q"&amp;ROUNDUP(MONTH(Sheet1[[#This Row],[claim_date]])/3,0)</f>
        <v>Q4</v>
      </c>
      <c r="L986" s="2" t="str">
        <f>IF(Sheet1[[#This Row],[claim_amount]]&lt;100000,"Low",IF(Sheet1[[#This Row],[claim_amount]]&lt;200000,"Medium","High"))</f>
        <v>High</v>
      </c>
      <c r="M986" s="2" t="str">
        <f>IF(Sheet1[[#This Row],[days_to_process]]&lt;=30,"Fast","Slow")</f>
        <v>Slow</v>
      </c>
    </row>
    <row r="987" spans="1:13" x14ac:dyDescent="0.3">
      <c r="A987" t="s">
        <v>1838</v>
      </c>
      <c r="B987" s="2" t="s">
        <v>1839</v>
      </c>
      <c r="C987" s="1">
        <v>45112</v>
      </c>
      <c r="D987" s="35">
        <v>196597.97</v>
      </c>
      <c r="E987" s="2" t="s">
        <v>10</v>
      </c>
      <c r="F987" s="2" t="s">
        <v>11</v>
      </c>
      <c r="G987" s="2" t="s">
        <v>12</v>
      </c>
      <c r="H987">
        <v>21</v>
      </c>
      <c r="I987" s="2" t="str">
        <f>TEXT(Sheet1[[#This Row],[claim_date]],"mmmm")</f>
        <v>July</v>
      </c>
      <c r="J987" s="2">
        <f>YEAR(Sheet1[[#This Row],[claim_date]])</f>
        <v>2023</v>
      </c>
      <c r="K987" s="2" t="str">
        <f>"Q"&amp;ROUNDUP(MONTH(Sheet1[[#This Row],[claim_date]])/3,0)</f>
        <v>Q3</v>
      </c>
      <c r="L987" s="2" t="str">
        <f>IF(Sheet1[[#This Row],[claim_amount]]&lt;100000,"Low",IF(Sheet1[[#This Row],[claim_amount]]&lt;200000,"Medium","High"))</f>
        <v>Medium</v>
      </c>
      <c r="M987" s="2" t="str">
        <f>IF(Sheet1[[#This Row],[days_to_process]]&lt;=30,"Fast","Slow")</f>
        <v>Fast</v>
      </c>
    </row>
    <row r="988" spans="1:13" x14ac:dyDescent="0.3">
      <c r="A988" t="s">
        <v>1840</v>
      </c>
      <c r="B988" s="2" t="s">
        <v>1790</v>
      </c>
      <c r="C988" s="1">
        <v>45286</v>
      </c>
      <c r="D988" s="35">
        <v>134354.74</v>
      </c>
      <c r="E988" s="2" t="s">
        <v>10</v>
      </c>
      <c r="F988" s="2" t="s">
        <v>23</v>
      </c>
      <c r="G988" s="2" t="s">
        <v>24</v>
      </c>
      <c r="H988">
        <v>52</v>
      </c>
      <c r="I988" s="2" t="str">
        <f>TEXT(Sheet1[[#This Row],[claim_date]],"mmmm")</f>
        <v>December</v>
      </c>
      <c r="J988" s="2">
        <f>YEAR(Sheet1[[#This Row],[claim_date]])</f>
        <v>2023</v>
      </c>
      <c r="K988" s="2" t="str">
        <f>"Q"&amp;ROUNDUP(MONTH(Sheet1[[#This Row],[claim_date]])/3,0)</f>
        <v>Q4</v>
      </c>
      <c r="L988" s="2" t="str">
        <f>IF(Sheet1[[#This Row],[claim_amount]]&lt;100000,"Low",IF(Sheet1[[#This Row],[claim_amount]]&lt;200000,"Medium","High"))</f>
        <v>Medium</v>
      </c>
      <c r="M988" s="2" t="str">
        <f>IF(Sheet1[[#This Row],[days_to_process]]&lt;=30,"Fast","Slow")</f>
        <v>Slow</v>
      </c>
    </row>
    <row r="989" spans="1:13" x14ac:dyDescent="0.3">
      <c r="A989" t="s">
        <v>1841</v>
      </c>
      <c r="B989" s="2" t="s">
        <v>1842</v>
      </c>
      <c r="C989" s="1">
        <v>44361</v>
      </c>
      <c r="D989" s="35">
        <v>90327.41</v>
      </c>
      <c r="E989" s="2" t="s">
        <v>10</v>
      </c>
      <c r="F989" s="2" t="s">
        <v>11</v>
      </c>
      <c r="G989" s="2" t="s">
        <v>24</v>
      </c>
      <c r="H989">
        <v>37</v>
      </c>
      <c r="I989" s="2" t="str">
        <f>TEXT(Sheet1[[#This Row],[claim_date]],"mmmm")</f>
        <v>June</v>
      </c>
      <c r="J989" s="2">
        <f>YEAR(Sheet1[[#This Row],[claim_date]])</f>
        <v>2021</v>
      </c>
      <c r="K989" s="2" t="str">
        <f>"Q"&amp;ROUNDUP(MONTH(Sheet1[[#This Row],[claim_date]])/3,0)</f>
        <v>Q2</v>
      </c>
      <c r="L989" s="2" t="str">
        <f>IF(Sheet1[[#This Row],[claim_amount]]&lt;100000,"Low",IF(Sheet1[[#This Row],[claim_amount]]&lt;200000,"Medium","High"))</f>
        <v>Low</v>
      </c>
      <c r="M989" s="2" t="str">
        <f>IF(Sheet1[[#This Row],[days_to_process]]&lt;=30,"Fast","Slow")</f>
        <v>Slow</v>
      </c>
    </row>
    <row r="990" spans="1:13" x14ac:dyDescent="0.3">
      <c r="A990" t="s">
        <v>1843</v>
      </c>
      <c r="B990" s="2" t="s">
        <v>1844</v>
      </c>
      <c r="C990" s="1">
        <v>45702</v>
      </c>
      <c r="D990" s="35">
        <v>253900.39</v>
      </c>
      <c r="E990" s="2" t="s">
        <v>10</v>
      </c>
      <c r="F990" s="2" t="s">
        <v>16</v>
      </c>
      <c r="G990" s="2" t="s">
        <v>24</v>
      </c>
      <c r="H990">
        <v>37</v>
      </c>
      <c r="I990" s="2" t="str">
        <f>TEXT(Sheet1[[#This Row],[claim_date]],"mmmm")</f>
        <v>February</v>
      </c>
      <c r="J990" s="2">
        <f>YEAR(Sheet1[[#This Row],[claim_date]])</f>
        <v>2025</v>
      </c>
      <c r="K990" s="2" t="str">
        <f>"Q"&amp;ROUNDUP(MONTH(Sheet1[[#This Row],[claim_date]])/3,0)</f>
        <v>Q1</v>
      </c>
      <c r="L990" s="2" t="str">
        <f>IF(Sheet1[[#This Row],[claim_amount]]&lt;100000,"Low",IF(Sheet1[[#This Row],[claim_amount]]&lt;200000,"Medium","High"))</f>
        <v>High</v>
      </c>
      <c r="M990" s="2" t="str">
        <f>IF(Sheet1[[#This Row],[days_to_process]]&lt;=30,"Fast","Slow")</f>
        <v>Slow</v>
      </c>
    </row>
    <row r="991" spans="1:13" x14ac:dyDescent="0.3">
      <c r="A991" t="s">
        <v>1845</v>
      </c>
      <c r="B991" s="2" t="s">
        <v>72</v>
      </c>
      <c r="C991" s="1">
        <v>45141</v>
      </c>
      <c r="D991" s="35">
        <v>287543.21000000002</v>
      </c>
      <c r="E991" s="2" t="s">
        <v>19</v>
      </c>
      <c r="F991" s="2" t="s">
        <v>20</v>
      </c>
      <c r="G991" s="2" t="s">
        <v>12</v>
      </c>
      <c r="H991">
        <v>38</v>
      </c>
      <c r="I991" s="2" t="str">
        <f>TEXT(Sheet1[[#This Row],[claim_date]],"mmmm")</f>
        <v>August</v>
      </c>
      <c r="J991" s="2">
        <f>YEAR(Sheet1[[#This Row],[claim_date]])</f>
        <v>2023</v>
      </c>
      <c r="K991" s="2" t="str">
        <f>"Q"&amp;ROUNDUP(MONTH(Sheet1[[#This Row],[claim_date]])/3,0)</f>
        <v>Q3</v>
      </c>
      <c r="L991" s="2" t="str">
        <f>IF(Sheet1[[#This Row],[claim_amount]]&lt;100000,"Low",IF(Sheet1[[#This Row],[claim_amount]]&lt;200000,"Medium","High"))</f>
        <v>High</v>
      </c>
      <c r="M991" s="2" t="str">
        <f>IF(Sheet1[[#This Row],[days_to_process]]&lt;=30,"Fast","Slow")</f>
        <v>Slow</v>
      </c>
    </row>
    <row r="992" spans="1:13" x14ac:dyDescent="0.3">
      <c r="A992" t="s">
        <v>1846</v>
      </c>
      <c r="B992" s="2" t="s">
        <v>1847</v>
      </c>
      <c r="C992" s="1">
        <v>44411</v>
      </c>
      <c r="D992" s="35">
        <v>65062.46</v>
      </c>
      <c r="E992" s="2" t="s">
        <v>15</v>
      </c>
      <c r="F992" s="2" t="s">
        <v>20</v>
      </c>
      <c r="G992" s="2" t="s">
        <v>24</v>
      </c>
      <c r="H992">
        <v>31</v>
      </c>
      <c r="I992" s="2" t="str">
        <f>TEXT(Sheet1[[#This Row],[claim_date]],"mmmm")</f>
        <v>August</v>
      </c>
      <c r="J992" s="2">
        <f>YEAR(Sheet1[[#This Row],[claim_date]])</f>
        <v>2021</v>
      </c>
      <c r="K992" s="2" t="str">
        <f>"Q"&amp;ROUNDUP(MONTH(Sheet1[[#This Row],[claim_date]])/3,0)</f>
        <v>Q3</v>
      </c>
      <c r="L992" s="2" t="str">
        <f>IF(Sheet1[[#This Row],[claim_amount]]&lt;100000,"Low",IF(Sheet1[[#This Row],[claim_amount]]&lt;200000,"Medium","High"))</f>
        <v>Low</v>
      </c>
      <c r="M992" s="2" t="str">
        <f>IF(Sheet1[[#This Row],[days_to_process]]&lt;=30,"Fast","Slow")</f>
        <v>Slow</v>
      </c>
    </row>
    <row r="993" spans="1:13" x14ac:dyDescent="0.3">
      <c r="A993" t="s">
        <v>1848</v>
      </c>
      <c r="B993" s="2" t="s">
        <v>1849</v>
      </c>
      <c r="C993" s="1">
        <v>44902</v>
      </c>
      <c r="D993" s="35">
        <v>413060.74</v>
      </c>
      <c r="E993" s="2" t="s">
        <v>19</v>
      </c>
      <c r="F993" s="2" t="s">
        <v>11</v>
      </c>
      <c r="G993" s="2" t="s">
        <v>12</v>
      </c>
      <c r="H993">
        <v>43</v>
      </c>
      <c r="I993" s="2" t="str">
        <f>TEXT(Sheet1[[#This Row],[claim_date]],"mmmm")</f>
        <v>December</v>
      </c>
      <c r="J993" s="2">
        <f>YEAR(Sheet1[[#This Row],[claim_date]])</f>
        <v>2022</v>
      </c>
      <c r="K993" s="2" t="str">
        <f>"Q"&amp;ROUNDUP(MONTH(Sheet1[[#This Row],[claim_date]])/3,0)</f>
        <v>Q4</v>
      </c>
      <c r="L993" s="2" t="str">
        <f>IF(Sheet1[[#This Row],[claim_amount]]&lt;100000,"Low",IF(Sheet1[[#This Row],[claim_amount]]&lt;200000,"Medium","High"))</f>
        <v>High</v>
      </c>
      <c r="M993" s="2" t="str">
        <f>IF(Sheet1[[#This Row],[days_to_process]]&lt;=30,"Fast","Slow")</f>
        <v>Slow</v>
      </c>
    </row>
    <row r="994" spans="1:13" x14ac:dyDescent="0.3">
      <c r="A994" t="s">
        <v>1850</v>
      </c>
      <c r="B994" s="2" t="s">
        <v>1851</v>
      </c>
      <c r="C994" s="1">
        <v>45298</v>
      </c>
      <c r="D994" s="35">
        <v>222312.18</v>
      </c>
      <c r="E994" s="2" t="s">
        <v>15</v>
      </c>
      <c r="F994" s="2" t="s">
        <v>34</v>
      </c>
      <c r="G994" s="2" t="s">
        <v>24</v>
      </c>
      <c r="H994">
        <v>29</v>
      </c>
      <c r="I994" s="2" t="str">
        <f>TEXT(Sheet1[[#This Row],[claim_date]],"mmmm")</f>
        <v>January</v>
      </c>
      <c r="J994" s="2">
        <f>YEAR(Sheet1[[#This Row],[claim_date]])</f>
        <v>2024</v>
      </c>
      <c r="K994" s="2" t="str">
        <f>"Q"&amp;ROUNDUP(MONTH(Sheet1[[#This Row],[claim_date]])/3,0)</f>
        <v>Q1</v>
      </c>
      <c r="L994" s="2" t="str">
        <f>IF(Sheet1[[#This Row],[claim_amount]]&lt;100000,"Low",IF(Sheet1[[#This Row],[claim_amount]]&lt;200000,"Medium","High"))</f>
        <v>High</v>
      </c>
      <c r="M994" s="2" t="str">
        <f>IF(Sheet1[[#This Row],[days_to_process]]&lt;=30,"Fast","Slow")</f>
        <v>Fast</v>
      </c>
    </row>
    <row r="995" spans="1:13" x14ac:dyDescent="0.3">
      <c r="A995" t="s">
        <v>1852</v>
      </c>
      <c r="B995" s="2" t="s">
        <v>1853</v>
      </c>
      <c r="C995" s="1">
        <v>44753</v>
      </c>
      <c r="D995" s="35">
        <v>280526.63</v>
      </c>
      <c r="E995" s="2" t="s">
        <v>19</v>
      </c>
      <c r="F995" s="2" t="s">
        <v>23</v>
      </c>
      <c r="G995" s="2" t="s">
        <v>24</v>
      </c>
      <c r="H995">
        <v>18</v>
      </c>
      <c r="I995" s="2" t="str">
        <f>TEXT(Sheet1[[#This Row],[claim_date]],"mmmm")</f>
        <v>July</v>
      </c>
      <c r="J995" s="2">
        <f>YEAR(Sheet1[[#This Row],[claim_date]])</f>
        <v>2022</v>
      </c>
      <c r="K995" s="2" t="str">
        <f>"Q"&amp;ROUNDUP(MONTH(Sheet1[[#This Row],[claim_date]])/3,0)</f>
        <v>Q3</v>
      </c>
      <c r="L995" s="2" t="str">
        <f>IF(Sheet1[[#This Row],[claim_amount]]&lt;100000,"Low",IF(Sheet1[[#This Row],[claim_amount]]&lt;200000,"Medium","High"))</f>
        <v>High</v>
      </c>
      <c r="M995" s="2" t="str">
        <f>IF(Sheet1[[#This Row],[days_to_process]]&lt;=30,"Fast","Slow")</f>
        <v>Fast</v>
      </c>
    </row>
    <row r="996" spans="1:13" x14ac:dyDescent="0.3">
      <c r="A996" t="s">
        <v>1854</v>
      </c>
      <c r="B996" s="2" t="s">
        <v>1855</v>
      </c>
      <c r="C996" s="1">
        <v>45567</v>
      </c>
      <c r="D996" s="35">
        <v>367102.94</v>
      </c>
      <c r="E996" s="2" t="s">
        <v>10</v>
      </c>
      <c r="F996" s="2" t="s">
        <v>11</v>
      </c>
      <c r="G996" s="2" t="s">
        <v>12</v>
      </c>
      <c r="H996">
        <v>44</v>
      </c>
      <c r="I996" s="2" t="str">
        <f>TEXT(Sheet1[[#This Row],[claim_date]],"mmmm")</f>
        <v>October</v>
      </c>
      <c r="J996" s="2">
        <f>YEAR(Sheet1[[#This Row],[claim_date]])</f>
        <v>2024</v>
      </c>
      <c r="K996" s="2" t="str">
        <f>"Q"&amp;ROUNDUP(MONTH(Sheet1[[#This Row],[claim_date]])/3,0)</f>
        <v>Q4</v>
      </c>
      <c r="L996" s="2" t="str">
        <f>IF(Sheet1[[#This Row],[claim_amount]]&lt;100000,"Low",IF(Sheet1[[#This Row],[claim_amount]]&lt;200000,"Medium","High"))</f>
        <v>High</v>
      </c>
      <c r="M996" s="2" t="str">
        <f>IF(Sheet1[[#This Row],[days_to_process]]&lt;=30,"Fast","Slow")</f>
        <v>Slow</v>
      </c>
    </row>
    <row r="997" spans="1:13" x14ac:dyDescent="0.3">
      <c r="A997" t="s">
        <v>1856</v>
      </c>
      <c r="B997" s="2" t="s">
        <v>1120</v>
      </c>
      <c r="C997" s="1">
        <v>45423</v>
      </c>
      <c r="D997" s="35">
        <v>249198.79</v>
      </c>
      <c r="E997" s="2" t="s">
        <v>15</v>
      </c>
      <c r="F997" s="2" t="s">
        <v>20</v>
      </c>
      <c r="G997" s="2" t="s">
        <v>24</v>
      </c>
      <c r="H997">
        <v>31</v>
      </c>
      <c r="I997" s="2" t="str">
        <f>TEXT(Sheet1[[#This Row],[claim_date]],"mmmm")</f>
        <v>May</v>
      </c>
      <c r="J997" s="2">
        <f>YEAR(Sheet1[[#This Row],[claim_date]])</f>
        <v>2024</v>
      </c>
      <c r="K997" s="2" t="str">
        <f>"Q"&amp;ROUNDUP(MONTH(Sheet1[[#This Row],[claim_date]])/3,0)</f>
        <v>Q2</v>
      </c>
      <c r="L997" s="2" t="str">
        <f>IF(Sheet1[[#This Row],[claim_amount]]&lt;100000,"Low",IF(Sheet1[[#This Row],[claim_amount]]&lt;200000,"Medium","High"))</f>
        <v>High</v>
      </c>
      <c r="M997" s="2" t="str">
        <f>IF(Sheet1[[#This Row],[days_to_process]]&lt;=30,"Fast","Slow")</f>
        <v>Slow</v>
      </c>
    </row>
    <row r="998" spans="1:13" x14ac:dyDescent="0.3">
      <c r="A998" t="s">
        <v>1857</v>
      </c>
      <c r="B998" s="2" t="s">
        <v>1858</v>
      </c>
      <c r="C998" s="1">
        <v>45655</v>
      </c>
      <c r="D998" s="35">
        <v>18770.68</v>
      </c>
      <c r="E998" s="2" t="s">
        <v>19</v>
      </c>
      <c r="F998" s="2" t="s">
        <v>34</v>
      </c>
      <c r="G998" s="2" t="s">
        <v>12</v>
      </c>
      <c r="H998">
        <v>29</v>
      </c>
      <c r="I998" s="2" t="str">
        <f>TEXT(Sheet1[[#This Row],[claim_date]],"mmmm")</f>
        <v>December</v>
      </c>
      <c r="J998" s="2">
        <f>YEAR(Sheet1[[#This Row],[claim_date]])</f>
        <v>2024</v>
      </c>
      <c r="K998" s="2" t="str">
        <f>"Q"&amp;ROUNDUP(MONTH(Sheet1[[#This Row],[claim_date]])/3,0)</f>
        <v>Q4</v>
      </c>
      <c r="L998" s="2" t="str">
        <f>IF(Sheet1[[#This Row],[claim_amount]]&lt;100000,"Low",IF(Sheet1[[#This Row],[claim_amount]]&lt;200000,"Medium","High"))</f>
        <v>Low</v>
      </c>
      <c r="M998" s="2" t="str">
        <f>IF(Sheet1[[#This Row],[days_to_process]]&lt;=30,"Fast","Slow")</f>
        <v>Fast</v>
      </c>
    </row>
    <row r="999" spans="1:13" x14ac:dyDescent="0.3">
      <c r="A999" t="s">
        <v>1859</v>
      </c>
      <c r="B999" s="2" t="s">
        <v>1860</v>
      </c>
      <c r="C999" s="1">
        <v>45251</v>
      </c>
      <c r="D999" s="35">
        <v>243201.03</v>
      </c>
      <c r="E999" s="2" t="s">
        <v>15</v>
      </c>
      <c r="F999" s="2" t="s">
        <v>23</v>
      </c>
      <c r="G999" s="2" t="s">
        <v>24</v>
      </c>
      <c r="H999">
        <v>43</v>
      </c>
      <c r="I999" s="2" t="str">
        <f>TEXT(Sheet1[[#This Row],[claim_date]],"mmmm")</f>
        <v>November</v>
      </c>
      <c r="J999" s="2">
        <f>YEAR(Sheet1[[#This Row],[claim_date]])</f>
        <v>2023</v>
      </c>
      <c r="K999" s="2" t="str">
        <f>"Q"&amp;ROUNDUP(MONTH(Sheet1[[#This Row],[claim_date]])/3,0)</f>
        <v>Q4</v>
      </c>
      <c r="L999" s="2" t="str">
        <f>IF(Sheet1[[#This Row],[claim_amount]]&lt;100000,"Low",IF(Sheet1[[#This Row],[claim_amount]]&lt;200000,"Medium","High"))</f>
        <v>High</v>
      </c>
      <c r="M999" s="2" t="str">
        <f>IF(Sheet1[[#This Row],[days_to_process]]&lt;=30,"Fast","Slow")</f>
        <v>Slow</v>
      </c>
    </row>
    <row r="1000" spans="1:13" x14ac:dyDescent="0.3">
      <c r="A1000" t="s">
        <v>1861</v>
      </c>
      <c r="B1000" s="2" t="s">
        <v>1862</v>
      </c>
      <c r="C1000" s="1">
        <v>45216</v>
      </c>
      <c r="D1000" s="35">
        <v>314319.48</v>
      </c>
      <c r="E1000" s="2" t="s">
        <v>15</v>
      </c>
      <c r="F1000" s="2" t="s">
        <v>16</v>
      </c>
      <c r="G1000" s="2" t="s">
        <v>12</v>
      </c>
      <c r="H1000">
        <v>12</v>
      </c>
      <c r="I1000" s="2" t="str">
        <f>TEXT(Sheet1[[#This Row],[claim_date]],"mmmm")</f>
        <v>October</v>
      </c>
      <c r="J1000" s="2">
        <f>YEAR(Sheet1[[#This Row],[claim_date]])</f>
        <v>2023</v>
      </c>
      <c r="K1000" s="2" t="str">
        <f>"Q"&amp;ROUNDUP(MONTH(Sheet1[[#This Row],[claim_date]])/3,0)</f>
        <v>Q4</v>
      </c>
      <c r="L1000" s="2" t="str">
        <f>IF(Sheet1[[#This Row],[claim_amount]]&lt;100000,"Low",IF(Sheet1[[#This Row],[claim_amount]]&lt;200000,"Medium","High"))</f>
        <v>High</v>
      </c>
      <c r="M1000" s="2" t="str">
        <f>IF(Sheet1[[#This Row],[days_to_process]]&lt;=30,"Fast","Slow")</f>
        <v>Fast</v>
      </c>
    </row>
    <row r="1001" spans="1:13" x14ac:dyDescent="0.3">
      <c r="A1001" t="s">
        <v>1863</v>
      </c>
      <c r="B1001" s="2" t="s">
        <v>1864</v>
      </c>
      <c r="C1001" s="1">
        <v>45313</v>
      </c>
      <c r="D1001" s="35">
        <v>499431.2</v>
      </c>
      <c r="E1001" s="2" t="s">
        <v>10</v>
      </c>
      <c r="F1001" s="2" t="s">
        <v>34</v>
      </c>
      <c r="G1001" s="2" t="s">
        <v>12</v>
      </c>
      <c r="H1001">
        <v>51</v>
      </c>
      <c r="I1001" s="2" t="str">
        <f>TEXT(Sheet1[[#This Row],[claim_date]],"mmmm")</f>
        <v>January</v>
      </c>
      <c r="J1001" s="2">
        <f>YEAR(Sheet1[[#This Row],[claim_date]])</f>
        <v>2024</v>
      </c>
      <c r="K1001" s="2" t="str">
        <f>"Q"&amp;ROUNDUP(MONTH(Sheet1[[#This Row],[claim_date]])/3,0)</f>
        <v>Q1</v>
      </c>
      <c r="L1001" s="2" t="str">
        <f>IF(Sheet1[[#This Row],[claim_amount]]&lt;100000,"Low",IF(Sheet1[[#This Row],[claim_amount]]&lt;200000,"Medium","High"))</f>
        <v>High</v>
      </c>
      <c r="M1001" s="2" t="str">
        <f>IF(Sheet1[[#This Row],[days_to_process]]&lt;=30,"Fast","Slow")</f>
        <v>Slow</v>
      </c>
    </row>
    <row r="1002" spans="1:13" x14ac:dyDescent="0.3">
      <c r="A1002" t="s">
        <v>1865</v>
      </c>
      <c r="B1002" s="2" t="s">
        <v>1866</v>
      </c>
      <c r="C1002" s="1">
        <v>45327</v>
      </c>
      <c r="D1002" s="35">
        <v>85627.43</v>
      </c>
      <c r="E1002" s="2" t="s">
        <v>15</v>
      </c>
      <c r="F1002" s="2" t="s">
        <v>23</v>
      </c>
      <c r="G1002" s="2" t="s">
        <v>12</v>
      </c>
      <c r="H1002">
        <v>54</v>
      </c>
      <c r="I1002" s="2" t="str">
        <f>TEXT(Sheet1[[#This Row],[claim_date]],"mmmm")</f>
        <v>February</v>
      </c>
      <c r="J1002" s="2">
        <f>YEAR(Sheet1[[#This Row],[claim_date]])</f>
        <v>2024</v>
      </c>
      <c r="K1002" s="2" t="str">
        <f>"Q"&amp;ROUNDUP(MONTH(Sheet1[[#This Row],[claim_date]])/3,0)</f>
        <v>Q1</v>
      </c>
      <c r="L1002" s="2" t="str">
        <f>IF(Sheet1[[#This Row],[claim_amount]]&lt;100000,"Low",IF(Sheet1[[#This Row],[claim_amount]]&lt;200000,"Medium","High"))</f>
        <v>Low</v>
      </c>
      <c r="M1002" s="2" t="str">
        <f>IF(Sheet1[[#This Row],[days_to_process]]&lt;=30,"Fast","Slow")</f>
        <v>Slow</v>
      </c>
    </row>
    <row r="1003" spans="1:13" x14ac:dyDescent="0.3">
      <c r="A1003" t="s">
        <v>1867</v>
      </c>
      <c r="B1003" s="2" t="s">
        <v>1371</v>
      </c>
      <c r="C1003" s="1">
        <v>44825</v>
      </c>
      <c r="D1003" s="35">
        <v>452065.56</v>
      </c>
      <c r="E1003" s="2" t="s">
        <v>19</v>
      </c>
      <c r="F1003" s="2" t="s">
        <v>34</v>
      </c>
      <c r="G1003" s="2" t="s">
        <v>24</v>
      </c>
      <c r="H1003">
        <v>46</v>
      </c>
      <c r="I1003" s="2" t="str">
        <f>TEXT(Sheet1[[#This Row],[claim_date]],"mmmm")</f>
        <v>September</v>
      </c>
      <c r="J1003" s="2">
        <f>YEAR(Sheet1[[#This Row],[claim_date]])</f>
        <v>2022</v>
      </c>
      <c r="K1003" s="2" t="str">
        <f>"Q"&amp;ROUNDUP(MONTH(Sheet1[[#This Row],[claim_date]])/3,0)</f>
        <v>Q3</v>
      </c>
      <c r="L1003" s="2" t="str">
        <f>IF(Sheet1[[#This Row],[claim_amount]]&lt;100000,"Low",IF(Sheet1[[#This Row],[claim_amount]]&lt;200000,"Medium","High"))</f>
        <v>High</v>
      </c>
      <c r="M1003" s="2" t="str">
        <f>IF(Sheet1[[#This Row],[days_to_process]]&lt;=30,"Fast","Slow")</f>
        <v>Slow</v>
      </c>
    </row>
    <row r="1004" spans="1:13" x14ac:dyDescent="0.3">
      <c r="A1004" t="s">
        <v>1868</v>
      </c>
      <c r="B1004" s="2" t="s">
        <v>1869</v>
      </c>
      <c r="C1004" s="1">
        <v>45405</v>
      </c>
      <c r="D1004" s="35">
        <v>355211.11</v>
      </c>
      <c r="E1004" s="2" t="s">
        <v>19</v>
      </c>
      <c r="F1004" s="2" t="s">
        <v>20</v>
      </c>
      <c r="G1004" s="2" t="s">
        <v>24</v>
      </c>
      <c r="H1004">
        <v>28</v>
      </c>
      <c r="I1004" s="2" t="str">
        <f>TEXT(Sheet1[[#This Row],[claim_date]],"mmmm")</f>
        <v>April</v>
      </c>
      <c r="J1004" s="2">
        <f>YEAR(Sheet1[[#This Row],[claim_date]])</f>
        <v>2024</v>
      </c>
      <c r="K1004" s="2" t="str">
        <f>"Q"&amp;ROUNDUP(MONTH(Sheet1[[#This Row],[claim_date]])/3,0)</f>
        <v>Q2</v>
      </c>
      <c r="L1004" s="2" t="str">
        <f>IF(Sheet1[[#This Row],[claim_amount]]&lt;100000,"Low",IF(Sheet1[[#This Row],[claim_amount]]&lt;200000,"Medium","High"))</f>
        <v>High</v>
      </c>
      <c r="M1004" s="2" t="str">
        <f>IF(Sheet1[[#This Row],[days_to_process]]&lt;=30,"Fast","Slow")</f>
        <v>Fast</v>
      </c>
    </row>
    <row r="1005" spans="1:13" x14ac:dyDescent="0.3">
      <c r="A1005" t="s">
        <v>1870</v>
      </c>
      <c r="B1005" s="2" t="s">
        <v>1871</v>
      </c>
      <c r="C1005" s="1">
        <v>45495</v>
      </c>
      <c r="D1005" s="35">
        <v>319360.13</v>
      </c>
      <c r="E1005" s="2" t="s">
        <v>19</v>
      </c>
      <c r="F1005" s="2" t="s">
        <v>34</v>
      </c>
      <c r="G1005" s="2" t="s">
        <v>12</v>
      </c>
      <c r="H1005">
        <v>24</v>
      </c>
      <c r="I1005" s="2" t="str">
        <f>TEXT(Sheet1[[#This Row],[claim_date]],"mmmm")</f>
        <v>July</v>
      </c>
      <c r="J1005" s="2">
        <f>YEAR(Sheet1[[#This Row],[claim_date]])</f>
        <v>2024</v>
      </c>
      <c r="K1005" s="2" t="str">
        <f>"Q"&amp;ROUNDUP(MONTH(Sheet1[[#This Row],[claim_date]])/3,0)</f>
        <v>Q3</v>
      </c>
      <c r="L1005" s="2" t="str">
        <f>IF(Sheet1[[#This Row],[claim_amount]]&lt;100000,"Low",IF(Sheet1[[#This Row],[claim_amount]]&lt;200000,"Medium","High"))</f>
        <v>High</v>
      </c>
      <c r="M1005" s="2" t="str">
        <f>IF(Sheet1[[#This Row],[days_to_process]]&lt;=30,"Fast","Slow")</f>
        <v>Fast</v>
      </c>
    </row>
    <row r="1006" spans="1:13" x14ac:dyDescent="0.3">
      <c r="A1006" t="s">
        <v>1872</v>
      </c>
      <c r="B1006" s="2" t="s">
        <v>1873</v>
      </c>
      <c r="C1006" s="1">
        <v>45575</v>
      </c>
      <c r="D1006" s="35">
        <v>113247</v>
      </c>
      <c r="E1006" s="2" t="s">
        <v>10</v>
      </c>
      <c r="F1006" s="2" t="s">
        <v>34</v>
      </c>
      <c r="G1006" s="2" t="s">
        <v>24</v>
      </c>
      <c r="H1006">
        <v>39</v>
      </c>
      <c r="I1006" s="2" t="str">
        <f>TEXT(Sheet1[[#This Row],[claim_date]],"mmmm")</f>
        <v>October</v>
      </c>
      <c r="J1006" s="2">
        <f>YEAR(Sheet1[[#This Row],[claim_date]])</f>
        <v>2024</v>
      </c>
      <c r="K1006" s="2" t="str">
        <f>"Q"&amp;ROUNDUP(MONTH(Sheet1[[#This Row],[claim_date]])/3,0)</f>
        <v>Q4</v>
      </c>
      <c r="L1006" s="2" t="str">
        <f>IF(Sheet1[[#This Row],[claim_amount]]&lt;100000,"Low",IF(Sheet1[[#This Row],[claim_amount]]&lt;200000,"Medium","High"))</f>
        <v>Medium</v>
      </c>
      <c r="M1006" s="2" t="str">
        <f>IF(Sheet1[[#This Row],[days_to_process]]&lt;=30,"Fast","Slow")</f>
        <v>Slow</v>
      </c>
    </row>
    <row r="1007" spans="1:13" x14ac:dyDescent="0.3">
      <c r="A1007" t="s">
        <v>1874</v>
      </c>
      <c r="B1007" s="2" t="s">
        <v>1875</v>
      </c>
      <c r="C1007" s="1">
        <v>45406</v>
      </c>
      <c r="D1007" s="35">
        <v>359416.18</v>
      </c>
      <c r="E1007" s="2" t="s">
        <v>19</v>
      </c>
      <c r="F1007" s="2" t="s">
        <v>23</v>
      </c>
      <c r="G1007" s="2" t="s">
        <v>24</v>
      </c>
      <c r="H1007">
        <v>3</v>
      </c>
      <c r="I1007" s="2" t="str">
        <f>TEXT(Sheet1[[#This Row],[claim_date]],"mmmm")</f>
        <v>April</v>
      </c>
      <c r="J1007" s="2">
        <f>YEAR(Sheet1[[#This Row],[claim_date]])</f>
        <v>2024</v>
      </c>
      <c r="K1007" s="2" t="str">
        <f>"Q"&amp;ROUNDUP(MONTH(Sheet1[[#This Row],[claim_date]])/3,0)</f>
        <v>Q2</v>
      </c>
      <c r="L1007" s="2" t="str">
        <f>IF(Sheet1[[#This Row],[claim_amount]]&lt;100000,"Low",IF(Sheet1[[#This Row],[claim_amount]]&lt;200000,"Medium","High"))</f>
        <v>High</v>
      </c>
      <c r="M1007" s="2" t="str">
        <f>IF(Sheet1[[#This Row],[days_to_process]]&lt;=30,"Fast","Slow")</f>
        <v>Fast</v>
      </c>
    </row>
    <row r="1008" spans="1:13" x14ac:dyDescent="0.3">
      <c r="A1008" t="s">
        <v>1876</v>
      </c>
      <c r="B1008" s="2" t="s">
        <v>1877</v>
      </c>
      <c r="C1008" s="1">
        <v>45043</v>
      </c>
      <c r="D1008" s="35">
        <v>59812.75</v>
      </c>
      <c r="E1008" s="2" t="s">
        <v>15</v>
      </c>
      <c r="F1008" s="2" t="s">
        <v>34</v>
      </c>
      <c r="G1008" s="2" t="s">
        <v>12</v>
      </c>
      <c r="H1008">
        <v>54</v>
      </c>
      <c r="I1008" s="2" t="str">
        <f>TEXT(Sheet1[[#This Row],[claim_date]],"mmmm")</f>
        <v>April</v>
      </c>
      <c r="J1008" s="2">
        <f>YEAR(Sheet1[[#This Row],[claim_date]])</f>
        <v>2023</v>
      </c>
      <c r="K1008" s="2" t="str">
        <f>"Q"&amp;ROUNDUP(MONTH(Sheet1[[#This Row],[claim_date]])/3,0)</f>
        <v>Q2</v>
      </c>
      <c r="L1008" s="2" t="str">
        <f>IF(Sheet1[[#This Row],[claim_amount]]&lt;100000,"Low",IF(Sheet1[[#This Row],[claim_amount]]&lt;200000,"Medium","High"))</f>
        <v>Low</v>
      </c>
      <c r="M1008" s="2" t="str">
        <f>IF(Sheet1[[#This Row],[days_to_process]]&lt;=30,"Fast","Slow")</f>
        <v>Slow</v>
      </c>
    </row>
    <row r="1009" spans="1:13" x14ac:dyDescent="0.3">
      <c r="A1009" t="s">
        <v>1878</v>
      </c>
      <c r="B1009" s="2" t="s">
        <v>1879</v>
      </c>
      <c r="C1009" s="1">
        <v>44517</v>
      </c>
      <c r="D1009" s="35">
        <v>320077.02</v>
      </c>
      <c r="E1009" s="2" t="s">
        <v>10</v>
      </c>
      <c r="F1009" s="2" t="s">
        <v>11</v>
      </c>
      <c r="G1009" s="2" t="s">
        <v>12</v>
      </c>
      <c r="H1009">
        <v>38</v>
      </c>
      <c r="I1009" s="2" t="str">
        <f>TEXT(Sheet1[[#This Row],[claim_date]],"mmmm")</f>
        <v>November</v>
      </c>
      <c r="J1009" s="2">
        <f>YEAR(Sheet1[[#This Row],[claim_date]])</f>
        <v>2021</v>
      </c>
      <c r="K1009" s="2" t="str">
        <f>"Q"&amp;ROUNDUP(MONTH(Sheet1[[#This Row],[claim_date]])/3,0)</f>
        <v>Q4</v>
      </c>
      <c r="L1009" s="2" t="str">
        <f>IF(Sheet1[[#This Row],[claim_amount]]&lt;100000,"Low",IF(Sheet1[[#This Row],[claim_amount]]&lt;200000,"Medium","High"))</f>
        <v>High</v>
      </c>
      <c r="M1009" s="2" t="str">
        <f>IF(Sheet1[[#This Row],[days_to_process]]&lt;=30,"Fast","Slow")</f>
        <v>Slow</v>
      </c>
    </row>
    <row r="1010" spans="1:13" x14ac:dyDescent="0.3">
      <c r="A1010" t="s">
        <v>1880</v>
      </c>
      <c r="B1010" s="2" t="s">
        <v>225</v>
      </c>
      <c r="C1010" s="1">
        <v>45538</v>
      </c>
      <c r="D1010" s="35">
        <v>135307.76999999999</v>
      </c>
      <c r="E1010" s="2" t="s">
        <v>19</v>
      </c>
      <c r="F1010" s="2" t="s">
        <v>11</v>
      </c>
      <c r="G1010" s="2" t="s">
        <v>12</v>
      </c>
      <c r="H1010">
        <v>33</v>
      </c>
      <c r="I1010" s="2" t="str">
        <f>TEXT(Sheet1[[#This Row],[claim_date]],"mmmm")</f>
        <v>September</v>
      </c>
      <c r="J1010" s="2">
        <f>YEAR(Sheet1[[#This Row],[claim_date]])</f>
        <v>2024</v>
      </c>
      <c r="K1010" s="2" t="str">
        <f>"Q"&amp;ROUNDUP(MONTH(Sheet1[[#This Row],[claim_date]])/3,0)</f>
        <v>Q3</v>
      </c>
      <c r="L1010" s="2" t="str">
        <f>IF(Sheet1[[#This Row],[claim_amount]]&lt;100000,"Low",IF(Sheet1[[#This Row],[claim_amount]]&lt;200000,"Medium","High"))</f>
        <v>Medium</v>
      </c>
      <c r="M1010" s="2" t="str">
        <f>IF(Sheet1[[#This Row],[days_to_process]]&lt;=30,"Fast","Slow")</f>
        <v>Slow</v>
      </c>
    </row>
    <row r="1011" spans="1:13" x14ac:dyDescent="0.3">
      <c r="A1011" t="s">
        <v>1881</v>
      </c>
      <c r="B1011" s="2" t="s">
        <v>1882</v>
      </c>
      <c r="C1011" s="1">
        <v>45000</v>
      </c>
      <c r="D1011" s="35">
        <v>455100.04</v>
      </c>
      <c r="E1011" s="2" t="s">
        <v>19</v>
      </c>
      <c r="F1011" s="2" t="s">
        <v>20</v>
      </c>
      <c r="G1011" s="2" t="s">
        <v>24</v>
      </c>
      <c r="H1011">
        <v>51</v>
      </c>
      <c r="I1011" s="2" t="str">
        <f>TEXT(Sheet1[[#This Row],[claim_date]],"mmmm")</f>
        <v>March</v>
      </c>
      <c r="J1011" s="2">
        <f>YEAR(Sheet1[[#This Row],[claim_date]])</f>
        <v>2023</v>
      </c>
      <c r="K1011" s="2" t="str">
        <f>"Q"&amp;ROUNDUP(MONTH(Sheet1[[#This Row],[claim_date]])/3,0)</f>
        <v>Q1</v>
      </c>
      <c r="L1011" s="2" t="str">
        <f>IF(Sheet1[[#This Row],[claim_amount]]&lt;100000,"Low",IF(Sheet1[[#This Row],[claim_amount]]&lt;200000,"Medium","High"))</f>
        <v>High</v>
      </c>
      <c r="M1011" s="2" t="str">
        <f>IF(Sheet1[[#This Row],[days_to_process]]&lt;=30,"Fast","Slow")</f>
        <v>Slow</v>
      </c>
    </row>
    <row r="1012" spans="1:13" x14ac:dyDescent="0.3">
      <c r="A1012" t="s">
        <v>1883</v>
      </c>
      <c r="B1012" s="2" t="s">
        <v>742</v>
      </c>
      <c r="C1012" s="1">
        <v>45104</v>
      </c>
      <c r="D1012" s="35">
        <v>100887.3</v>
      </c>
      <c r="E1012" s="2" t="s">
        <v>10</v>
      </c>
      <c r="F1012" s="2" t="s">
        <v>23</v>
      </c>
      <c r="G1012" s="2" t="s">
        <v>12</v>
      </c>
      <c r="H1012">
        <v>36</v>
      </c>
      <c r="I1012" s="2" t="str">
        <f>TEXT(Sheet1[[#This Row],[claim_date]],"mmmm")</f>
        <v>June</v>
      </c>
      <c r="J1012" s="2">
        <f>YEAR(Sheet1[[#This Row],[claim_date]])</f>
        <v>2023</v>
      </c>
      <c r="K1012" s="2" t="str">
        <f>"Q"&amp;ROUNDUP(MONTH(Sheet1[[#This Row],[claim_date]])/3,0)</f>
        <v>Q2</v>
      </c>
      <c r="L1012" s="2" t="str">
        <f>IF(Sheet1[[#This Row],[claim_amount]]&lt;100000,"Low",IF(Sheet1[[#This Row],[claim_amount]]&lt;200000,"Medium","High"))</f>
        <v>Medium</v>
      </c>
      <c r="M1012" s="2" t="str">
        <f>IF(Sheet1[[#This Row],[days_to_process]]&lt;=30,"Fast","Slow")</f>
        <v>Slow</v>
      </c>
    </row>
    <row r="1013" spans="1:13" x14ac:dyDescent="0.3">
      <c r="A1013" t="s">
        <v>1884</v>
      </c>
      <c r="B1013" s="2" t="s">
        <v>1885</v>
      </c>
      <c r="C1013" s="1">
        <v>45553</v>
      </c>
      <c r="D1013" s="35">
        <v>406931.53</v>
      </c>
      <c r="E1013" s="2" t="s">
        <v>15</v>
      </c>
      <c r="F1013" s="2" t="s">
        <v>23</v>
      </c>
      <c r="G1013" s="2" t="s">
        <v>12</v>
      </c>
      <c r="H1013">
        <v>5</v>
      </c>
      <c r="I1013" s="2" t="str">
        <f>TEXT(Sheet1[[#This Row],[claim_date]],"mmmm")</f>
        <v>September</v>
      </c>
      <c r="J1013" s="2">
        <f>YEAR(Sheet1[[#This Row],[claim_date]])</f>
        <v>2024</v>
      </c>
      <c r="K1013" s="2" t="str">
        <f>"Q"&amp;ROUNDUP(MONTH(Sheet1[[#This Row],[claim_date]])/3,0)</f>
        <v>Q3</v>
      </c>
      <c r="L1013" s="2" t="str">
        <f>IF(Sheet1[[#This Row],[claim_amount]]&lt;100000,"Low",IF(Sheet1[[#This Row],[claim_amount]]&lt;200000,"Medium","High"))</f>
        <v>High</v>
      </c>
      <c r="M1013" s="2" t="str">
        <f>IF(Sheet1[[#This Row],[days_to_process]]&lt;=30,"Fast","Slow")</f>
        <v>Fast</v>
      </c>
    </row>
    <row r="1014" spans="1:13" x14ac:dyDescent="0.3">
      <c r="A1014" t="s">
        <v>1886</v>
      </c>
      <c r="B1014" s="2" t="s">
        <v>1887</v>
      </c>
      <c r="C1014" s="1">
        <v>45625</v>
      </c>
      <c r="D1014" s="35">
        <v>339660.63</v>
      </c>
      <c r="E1014" s="2" t="s">
        <v>19</v>
      </c>
      <c r="F1014" s="2" t="s">
        <v>11</v>
      </c>
      <c r="G1014" s="2" t="s">
        <v>12</v>
      </c>
      <c r="H1014">
        <v>34</v>
      </c>
      <c r="I1014" s="2" t="str">
        <f>TEXT(Sheet1[[#This Row],[claim_date]],"mmmm")</f>
        <v>November</v>
      </c>
      <c r="J1014" s="2">
        <f>YEAR(Sheet1[[#This Row],[claim_date]])</f>
        <v>2024</v>
      </c>
      <c r="K1014" s="2" t="str">
        <f>"Q"&amp;ROUNDUP(MONTH(Sheet1[[#This Row],[claim_date]])/3,0)</f>
        <v>Q4</v>
      </c>
      <c r="L1014" s="2" t="str">
        <f>IF(Sheet1[[#This Row],[claim_amount]]&lt;100000,"Low",IF(Sheet1[[#This Row],[claim_amount]]&lt;200000,"Medium","High"))</f>
        <v>High</v>
      </c>
      <c r="M1014" s="2" t="str">
        <f>IF(Sheet1[[#This Row],[days_to_process]]&lt;=30,"Fast","Slow")</f>
        <v>Slow</v>
      </c>
    </row>
    <row r="1015" spans="1:13" x14ac:dyDescent="0.3">
      <c r="A1015" t="s">
        <v>1888</v>
      </c>
      <c r="B1015" s="2" t="s">
        <v>1889</v>
      </c>
      <c r="C1015" s="1">
        <v>44216</v>
      </c>
      <c r="D1015" s="35">
        <v>443063.27</v>
      </c>
      <c r="E1015" s="2" t="s">
        <v>19</v>
      </c>
      <c r="F1015" s="2" t="s">
        <v>20</v>
      </c>
      <c r="G1015" s="2" t="s">
        <v>12</v>
      </c>
      <c r="H1015">
        <v>4</v>
      </c>
      <c r="I1015" s="2" t="str">
        <f>TEXT(Sheet1[[#This Row],[claim_date]],"mmmm")</f>
        <v>January</v>
      </c>
      <c r="J1015" s="2">
        <f>YEAR(Sheet1[[#This Row],[claim_date]])</f>
        <v>2021</v>
      </c>
      <c r="K1015" s="2" t="str">
        <f>"Q"&amp;ROUNDUP(MONTH(Sheet1[[#This Row],[claim_date]])/3,0)</f>
        <v>Q1</v>
      </c>
      <c r="L1015" s="2" t="str">
        <f>IF(Sheet1[[#This Row],[claim_amount]]&lt;100000,"Low",IF(Sheet1[[#This Row],[claim_amount]]&lt;200000,"Medium","High"))</f>
        <v>High</v>
      </c>
      <c r="M1015" s="2" t="str">
        <f>IF(Sheet1[[#This Row],[days_to_process]]&lt;=30,"Fast","Slow")</f>
        <v>Fast</v>
      </c>
    </row>
    <row r="1016" spans="1:13" x14ac:dyDescent="0.3">
      <c r="A1016" t="s">
        <v>1890</v>
      </c>
      <c r="B1016" s="2" t="s">
        <v>1891</v>
      </c>
      <c r="C1016" s="1">
        <v>45320</v>
      </c>
      <c r="D1016" s="35">
        <v>362619.01</v>
      </c>
      <c r="E1016" s="2" t="s">
        <v>19</v>
      </c>
      <c r="F1016" s="2" t="s">
        <v>16</v>
      </c>
      <c r="G1016" s="2" t="s">
        <v>12</v>
      </c>
      <c r="H1016">
        <v>49</v>
      </c>
      <c r="I1016" s="2" t="str">
        <f>TEXT(Sheet1[[#This Row],[claim_date]],"mmmm")</f>
        <v>January</v>
      </c>
      <c r="J1016" s="2">
        <f>YEAR(Sheet1[[#This Row],[claim_date]])</f>
        <v>2024</v>
      </c>
      <c r="K1016" s="2" t="str">
        <f>"Q"&amp;ROUNDUP(MONTH(Sheet1[[#This Row],[claim_date]])/3,0)</f>
        <v>Q1</v>
      </c>
      <c r="L1016" s="2" t="str">
        <f>IF(Sheet1[[#This Row],[claim_amount]]&lt;100000,"Low",IF(Sheet1[[#This Row],[claim_amount]]&lt;200000,"Medium","High"))</f>
        <v>High</v>
      </c>
      <c r="M1016" s="2" t="str">
        <f>IF(Sheet1[[#This Row],[days_to_process]]&lt;=30,"Fast","Slow")</f>
        <v>Slow</v>
      </c>
    </row>
    <row r="1017" spans="1:13" x14ac:dyDescent="0.3">
      <c r="A1017" t="s">
        <v>1892</v>
      </c>
      <c r="B1017" s="2" t="s">
        <v>709</v>
      </c>
      <c r="C1017" s="1">
        <v>45519</v>
      </c>
      <c r="D1017" s="35">
        <v>257018.19</v>
      </c>
      <c r="E1017" s="2" t="s">
        <v>15</v>
      </c>
      <c r="F1017" s="2" t="s">
        <v>20</v>
      </c>
      <c r="G1017" s="2" t="s">
        <v>24</v>
      </c>
      <c r="H1017">
        <v>58</v>
      </c>
      <c r="I1017" s="2" t="str">
        <f>TEXT(Sheet1[[#This Row],[claim_date]],"mmmm")</f>
        <v>August</v>
      </c>
      <c r="J1017" s="2">
        <f>YEAR(Sheet1[[#This Row],[claim_date]])</f>
        <v>2024</v>
      </c>
      <c r="K1017" s="2" t="str">
        <f>"Q"&amp;ROUNDUP(MONTH(Sheet1[[#This Row],[claim_date]])/3,0)</f>
        <v>Q3</v>
      </c>
      <c r="L1017" s="2" t="str">
        <f>IF(Sheet1[[#This Row],[claim_amount]]&lt;100000,"Low",IF(Sheet1[[#This Row],[claim_amount]]&lt;200000,"Medium","High"))</f>
        <v>High</v>
      </c>
      <c r="M1017" s="2" t="str">
        <f>IF(Sheet1[[#This Row],[days_to_process]]&lt;=30,"Fast","Slow")</f>
        <v>Slow</v>
      </c>
    </row>
    <row r="1018" spans="1:13" x14ac:dyDescent="0.3">
      <c r="A1018" t="s">
        <v>1893</v>
      </c>
      <c r="B1018" s="2" t="s">
        <v>1894</v>
      </c>
      <c r="C1018" s="1">
        <v>45540</v>
      </c>
      <c r="D1018" s="35">
        <v>313816.11</v>
      </c>
      <c r="E1018" s="2" t="s">
        <v>19</v>
      </c>
      <c r="F1018" s="2" t="s">
        <v>34</v>
      </c>
      <c r="G1018" s="2" t="s">
        <v>24</v>
      </c>
      <c r="H1018">
        <v>47</v>
      </c>
      <c r="I1018" s="2" t="str">
        <f>TEXT(Sheet1[[#This Row],[claim_date]],"mmmm")</f>
        <v>September</v>
      </c>
      <c r="J1018" s="2">
        <f>YEAR(Sheet1[[#This Row],[claim_date]])</f>
        <v>2024</v>
      </c>
      <c r="K1018" s="2" t="str">
        <f>"Q"&amp;ROUNDUP(MONTH(Sheet1[[#This Row],[claim_date]])/3,0)</f>
        <v>Q3</v>
      </c>
      <c r="L1018" s="2" t="str">
        <f>IF(Sheet1[[#This Row],[claim_amount]]&lt;100000,"Low",IF(Sheet1[[#This Row],[claim_amount]]&lt;200000,"Medium","High"))</f>
        <v>High</v>
      </c>
      <c r="M1018" s="2" t="str">
        <f>IF(Sheet1[[#This Row],[days_to_process]]&lt;=30,"Fast","Slow")</f>
        <v>Slow</v>
      </c>
    </row>
    <row r="1019" spans="1:13" x14ac:dyDescent="0.3">
      <c r="A1019" t="s">
        <v>1895</v>
      </c>
      <c r="B1019" s="2" t="s">
        <v>1896</v>
      </c>
      <c r="C1019" s="1">
        <v>45282</v>
      </c>
      <c r="D1019" s="35">
        <v>311063.87</v>
      </c>
      <c r="E1019" s="2" t="s">
        <v>15</v>
      </c>
      <c r="F1019" s="2" t="s">
        <v>34</v>
      </c>
      <c r="G1019" s="2" t="s">
        <v>24</v>
      </c>
      <c r="H1019">
        <v>21</v>
      </c>
      <c r="I1019" s="2" t="str">
        <f>TEXT(Sheet1[[#This Row],[claim_date]],"mmmm")</f>
        <v>December</v>
      </c>
      <c r="J1019" s="2">
        <f>YEAR(Sheet1[[#This Row],[claim_date]])</f>
        <v>2023</v>
      </c>
      <c r="K1019" s="2" t="str">
        <f>"Q"&amp;ROUNDUP(MONTH(Sheet1[[#This Row],[claim_date]])/3,0)</f>
        <v>Q4</v>
      </c>
      <c r="L1019" s="2" t="str">
        <f>IF(Sheet1[[#This Row],[claim_amount]]&lt;100000,"Low",IF(Sheet1[[#This Row],[claim_amount]]&lt;200000,"Medium","High"))</f>
        <v>High</v>
      </c>
      <c r="M1019" s="2" t="str">
        <f>IF(Sheet1[[#This Row],[days_to_process]]&lt;=30,"Fast","Slow")</f>
        <v>Fast</v>
      </c>
    </row>
    <row r="1020" spans="1:13" x14ac:dyDescent="0.3">
      <c r="A1020" t="s">
        <v>1897</v>
      </c>
      <c r="B1020" s="2" t="s">
        <v>404</v>
      </c>
      <c r="C1020" s="1">
        <v>45575</v>
      </c>
      <c r="D1020" s="35">
        <v>457306.56</v>
      </c>
      <c r="E1020" s="2" t="s">
        <v>15</v>
      </c>
      <c r="F1020" s="2" t="s">
        <v>16</v>
      </c>
      <c r="G1020" s="2" t="s">
        <v>12</v>
      </c>
      <c r="H1020">
        <v>3</v>
      </c>
      <c r="I1020" s="2" t="str">
        <f>TEXT(Sheet1[[#This Row],[claim_date]],"mmmm")</f>
        <v>October</v>
      </c>
      <c r="J1020" s="2">
        <f>YEAR(Sheet1[[#This Row],[claim_date]])</f>
        <v>2024</v>
      </c>
      <c r="K1020" s="2" t="str">
        <f>"Q"&amp;ROUNDUP(MONTH(Sheet1[[#This Row],[claim_date]])/3,0)</f>
        <v>Q4</v>
      </c>
      <c r="L1020" s="2" t="str">
        <f>IF(Sheet1[[#This Row],[claim_amount]]&lt;100000,"Low",IF(Sheet1[[#This Row],[claim_amount]]&lt;200000,"Medium","High"))</f>
        <v>High</v>
      </c>
      <c r="M1020" s="2" t="str">
        <f>IF(Sheet1[[#This Row],[days_to_process]]&lt;=30,"Fast","Slow")</f>
        <v>Fast</v>
      </c>
    </row>
    <row r="1021" spans="1:13" x14ac:dyDescent="0.3">
      <c r="A1021" t="s">
        <v>1898</v>
      </c>
      <c r="B1021" s="2" t="s">
        <v>1899</v>
      </c>
      <c r="C1021" s="1">
        <v>44782</v>
      </c>
      <c r="D1021" s="35">
        <v>67369.98</v>
      </c>
      <c r="E1021" s="2" t="s">
        <v>10</v>
      </c>
      <c r="F1021" s="2" t="s">
        <v>16</v>
      </c>
      <c r="G1021" s="2" t="s">
        <v>24</v>
      </c>
      <c r="H1021">
        <v>45</v>
      </c>
      <c r="I1021" s="2" t="str">
        <f>TEXT(Sheet1[[#This Row],[claim_date]],"mmmm")</f>
        <v>August</v>
      </c>
      <c r="J1021" s="2">
        <f>YEAR(Sheet1[[#This Row],[claim_date]])</f>
        <v>2022</v>
      </c>
      <c r="K1021" s="2" t="str">
        <f>"Q"&amp;ROUNDUP(MONTH(Sheet1[[#This Row],[claim_date]])/3,0)</f>
        <v>Q3</v>
      </c>
      <c r="L1021" s="2" t="str">
        <f>IF(Sheet1[[#This Row],[claim_amount]]&lt;100000,"Low",IF(Sheet1[[#This Row],[claim_amount]]&lt;200000,"Medium","High"))</f>
        <v>Low</v>
      </c>
      <c r="M1021" s="2" t="str">
        <f>IF(Sheet1[[#This Row],[days_to_process]]&lt;=30,"Fast","Slow")</f>
        <v>Slow</v>
      </c>
    </row>
    <row r="1022" spans="1:13" x14ac:dyDescent="0.3">
      <c r="A1022" t="s">
        <v>1900</v>
      </c>
      <c r="B1022" s="2" t="s">
        <v>1089</v>
      </c>
      <c r="C1022" s="1">
        <v>45241</v>
      </c>
      <c r="D1022" s="35">
        <v>103018.91</v>
      </c>
      <c r="E1022" s="2" t="s">
        <v>15</v>
      </c>
      <c r="F1022" s="2" t="s">
        <v>16</v>
      </c>
      <c r="G1022" s="2" t="s">
        <v>12</v>
      </c>
      <c r="H1022">
        <v>41</v>
      </c>
      <c r="I1022" s="2" t="str">
        <f>TEXT(Sheet1[[#This Row],[claim_date]],"mmmm")</f>
        <v>November</v>
      </c>
      <c r="J1022" s="2">
        <f>YEAR(Sheet1[[#This Row],[claim_date]])</f>
        <v>2023</v>
      </c>
      <c r="K1022" s="2" t="str">
        <f>"Q"&amp;ROUNDUP(MONTH(Sheet1[[#This Row],[claim_date]])/3,0)</f>
        <v>Q4</v>
      </c>
      <c r="L1022" s="2" t="str">
        <f>IF(Sheet1[[#This Row],[claim_amount]]&lt;100000,"Low",IF(Sheet1[[#This Row],[claim_amount]]&lt;200000,"Medium","High"))</f>
        <v>Medium</v>
      </c>
      <c r="M1022" s="2" t="str">
        <f>IF(Sheet1[[#This Row],[days_to_process]]&lt;=30,"Fast","Slow")</f>
        <v>Slow</v>
      </c>
    </row>
    <row r="1023" spans="1:13" x14ac:dyDescent="0.3">
      <c r="A1023" t="s">
        <v>1901</v>
      </c>
      <c r="B1023" s="2" t="s">
        <v>1902</v>
      </c>
      <c r="C1023" s="1">
        <v>45430</v>
      </c>
      <c r="D1023" s="35">
        <v>411891.54</v>
      </c>
      <c r="E1023" s="2" t="s">
        <v>19</v>
      </c>
      <c r="F1023" s="2" t="s">
        <v>20</v>
      </c>
      <c r="G1023" s="2" t="s">
        <v>12</v>
      </c>
      <c r="H1023">
        <v>21</v>
      </c>
      <c r="I1023" s="2" t="str">
        <f>TEXT(Sheet1[[#This Row],[claim_date]],"mmmm")</f>
        <v>May</v>
      </c>
      <c r="J1023" s="2">
        <f>YEAR(Sheet1[[#This Row],[claim_date]])</f>
        <v>2024</v>
      </c>
      <c r="K1023" s="2" t="str">
        <f>"Q"&amp;ROUNDUP(MONTH(Sheet1[[#This Row],[claim_date]])/3,0)</f>
        <v>Q2</v>
      </c>
      <c r="L1023" s="2" t="str">
        <f>IF(Sheet1[[#This Row],[claim_amount]]&lt;100000,"Low",IF(Sheet1[[#This Row],[claim_amount]]&lt;200000,"Medium","High"))</f>
        <v>High</v>
      </c>
      <c r="M1023" s="2" t="str">
        <f>IF(Sheet1[[#This Row],[days_to_process]]&lt;=30,"Fast","Slow")</f>
        <v>Fast</v>
      </c>
    </row>
    <row r="1024" spans="1:13" x14ac:dyDescent="0.3">
      <c r="A1024" t="s">
        <v>1903</v>
      </c>
      <c r="B1024" s="2" t="s">
        <v>1904</v>
      </c>
      <c r="C1024" s="1">
        <v>45444</v>
      </c>
      <c r="D1024" s="35">
        <v>486777.2</v>
      </c>
      <c r="E1024" s="2" t="s">
        <v>15</v>
      </c>
      <c r="F1024" s="2" t="s">
        <v>23</v>
      </c>
      <c r="G1024" s="2" t="s">
        <v>12</v>
      </c>
      <c r="H1024">
        <v>41</v>
      </c>
      <c r="I1024" s="2" t="str">
        <f>TEXT(Sheet1[[#This Row],[claim_date]],"mmmm")</f>
        <v>June</v>
      </c>
      <c r="J1024" s="2">
        <f>YEAR(Sheet1[[#This Row],[claim_date]])</f>
        <v>2024</v>
      </c>
      <c r="K1024" s="2" t="str">
        <f>"Q"&amp;ROUNDUP(MONTH(Sheet1[[#This Row],[claim_date]])/3,0)</f>
        <v>Q2</v>
      </c>
      <c r="L1024" s="2" t="str">
        <f>IF(Sheet1[[#This Row],[claim_amount]]&lt;100000,"Low",IF(Sheet1[[#This Row],[claim_amount]]&lt;200000,"Medium","High"))</f>
        <v>High</v>
      </c>
      <c r="M1024" s="2" t="str">
        <f>IF(Sheet1[[#This Row],[days_to_process]]&lt;=30,"Fast","Slow")</f>
        <v>Slow</v>
      </c>
    </row>
    <row r="1025" spans="1:13" x14ac:dyDescent="0.3">
      <c r="A1025" t="s">
        <v>1905</v>
      </c>
      <c r="B1025" s="2" t="s">
        <v>1455</v>
      </c>
      <c r="C1025" s="1">
        <v>45013</v>
      </c>
      <c r="D1025" s="35">
        <v>450460.14</v>
      </c>
      <c r="E1025" s="2" t="s">
        <v>10</v>
      </c>
      <c r="F1025" s="2" t="s">
        <v>16</v>
      </c>
      <c r="G1025" s="2" t="s">
        <v>24</v>
      </c>
      <c r="H1025">
        <v>46</v>
      </c>
      <c r="I1025" s="2" t="str">
        <f>TEXT(Sheet1[[#This Row],[claim_date]],"mmmm")</f>
        <v>March</v>
      </c>
      <c r="J1025" s="2">
        <f>YEAR(Sheet1[[#This Row],[claim_date]])</f>
        <v>2023</v>
      </c>
      <c r="K1025" s="2" t="str">
        <f>"Q"&amp;ROUNDUP(MONTH(Sheet1[[#This Row],[claim_date]])/3,0)</f>
        <v>Q1</v>
      </c>
      <c r="L1025" s="2" t="str">
        <f>IF(Sheet1[[#This Row],[claim_amount]]&lt;100000,"Low",IF(Sheet1[[#This Row],[claim_amount]]&lt;200000,"Medium","High"))</f>
        <v>High</v>
      </c>
      <c r="M1025" s="2" t="str">
        <f>IF(Sheet1[[#This Row],[days_to_process]]&lt;=30,"Fast","Slow")</f>
        <v>Slow</v>
      </c>
    </row>
    <row r="1026" spans="1:13" x14ac:dyDescent="0.3">
      <c r="A1026" t="s">
        <v>1906</v>
      </c>
      <c r="B1026" s="2" t="s">
        <v>1907</v>
      </c>
      <c r="C1026" s="1">
        <v>44983</v>
      </c>
      <c r="D1026" s="35">
        <v>49829.01</v>
      </c>
      <c r="E1026" s="2" t="s">
        <v>10</v>
      </c>
      <c r="F1026" s="2" t="s">
        <v>11</v>
      </c>
      <c r="G1026" s="2" t="s">
        <v>24</v>
      </c>
      <c r="H1026">
        <v>42</v>
      </c>
      <c r="I1026" s="2" t="str">
        <f>TEXT(Sheet1[[#This Row],[claim_date]],"mmmm")</f>
        <v>February</v>
      </c>
      <c r="J1026" s="2">
        <f>YEAR(Sheet1[[#This Row],[claim_date]])</f>
        <v>2023</v>
      </c>
      <c r="K1026" s="2" t="str">
        <f>"Q"&amp;ROUNDUP(MONTH(Sheet1[[#This Row],[claim_date]])/3,0)</f>
        <v>Q1</v>
      </c>
      <c r="L1026" s="2" t="str">
        <f>IF(Sheet1[[#This Row],[claim_amount]]&lt;100000,"Low",IF(Sheet1[[#This Row],[claim_amount]]&lt;200000,"Medium","High"))</f>
        <v>Low</v>
      </c>
      <c r="M1026" s="2" t="str">
        <f>IF(Sheet1[[#This Row],[days_to_process]]&lt;=30,"Fast","Slow")</f>
        <v>Slow</v>
      </c>
    </row>
    <row r="1027" spans="1:13" x14ac:dyDescent="0.3">
      <c r="A1027" t="s">
        <v>1908</v>
      </c>
      <c r="B1027" s="2" t="s">
        <v>1909</v>
      </c>
      <c r="C1027" s="1">
        <v>44154</v>
      </c>
      <c r="D1027" s="35">
        <v>409877.94</v>
      </c>
      <c r="E1027" s="2" t="s">
        <v>10</v>
      </c>
      <c r="F1027" s="2" t="s">
        <v>16</v>
      </c>
      <c r="G1027" s="2" t="s">
        <v>24</v>
      </c>
      <c r="H1027">
        <v>23</v>
      </c>
      <c r="I1027" s="2" t="str">
        <f>TEXT(Sheet1[[#This Row],[claim_date]],"mmmm")</f>
        <v>November</v>
      </c>
      <c r="J1027" s="2">
        <f>YEAR(Sheet1[[#This Row],[claim_date]])</f>
        <v>2020</v>
      </c>
      <c r="K1027" s="2" t="str">
        <f>"Q"&amp;ROUNDUP(MONTH(Sheet1[[#This Row],[claim_date]])/3,0)</f>
        <v>Q4</v>
      </c>
      <c r="L1027" s="2" t="str">
        <f>IF(Sheet1[[#This Row],[claim_amount]]&lt;100000,"Low",IF(Sheet1[[#This Row],[claim_amount]]&lt;200000,"Medium","High"))</f>
        <v>High</v>
      </c>
      <c r="M1027" s="2" t="str">
        <f>IF(Sheet1[[#This Row],[days_to_process]]&lt;=30,"Fast","Slow")</f>
        <v>Fast</v>
      </c>
    </row>
    <row r="1028" spans="1:13" x14ac:dyDescent="0.3">
      <c r="A1028" t="s">
        <v>1910</v>
      </c>
      <c r="B1028" s="2" t="s">
        <v>342</v>
      </c>
      <c r="C1028" s="1">
        <v>44980</v>
      </c>
      <c r="D1028" s="35">
        <v>400708.61</v>
      </c>
      <c r="E1028" s="2" t="s">
        <v>15</v>
      </c>
      <c r="F1028" s="2" t="s">
        <v>11</v>
      </c>
      <c r="G1028" s="2" t="s">
        <v>12</v>
      </c>
      <c r="H1028">
        <v>33</v>
      </c>
      <c r="I1028" s="2" t="str">
        <f>TEXT(Sheet1[[#This Row],[claim_date]],"mmmm")</f>
        <v>February</v>
      </c>
      <c r="J1028" s="2">
        <f>YEAR(Sheet1[[#This Row],[claim_date]])</f>
        <v>2023</v>
      </c>
      <c r="K1028" s="2" t="str">
        <f>"Q"&amp;ROUNDUP(MONTH(Sheet1[[#This Row],[claim_date]])/3,0)</f>
        <v>Q1</v>
      </c>
      <c r="L1028" s="2" t="str">
        <f>IF(Sheet1[[#This Row],[claim_amount]]&lt;100000,"Low",IF(Sheet1[[#This Row],[claim_amount]]&lt;200000,"Medium","High"))</f>
        <v>High</v>
      </c>
      <c r="M1028" s="2" t="str">
        <f>IF(Sheet1[[#This Row],[days_to_process]]&lt;=30,"Fast","Slow")</f>
        <v>Slow</v>
      </c>
    </row>
    <row r="1029" spans="1:13" x14ac:dyDescent="0.3">
      <c r="A1029" t="s">
        <v>1911</v>
      </c>
      <c r="B1029" s="2" t="s">
        <v>1912</v>
      </c>
      <c r="C1029" s="1">
        <v>44738</v>
      </c>
      <c r="D1029" s="35">
        <v>442111.49</v>
      </c>
      <c r="E1029" s="2" t="s">
        <v>15</v>
      </c>
      <c r="F1029" s="2" t="s">
        <v>20</v>
      </c>
      <c r="G1029" s="2" t="s">
        <v>12</v>
      </c>
      <c r="H1029">
        <v>57</v>
      </c>
      <c r="I1029" s="2" t="str">
        <f>TEXT(Sheet1[[#This Row],[claim_date]],"mmmm")</f>
        <v>June</v>
      </c>
      <c r="J1029" s="2">
        <f>YEAR(Sheet1[[#This Row],[claim_date]])</f>
        <v>2022</v>
      </c>
      <c r="K1029" s="2" t="str">
        <f>"Q"&amp;ROUNDUP(MONTH(Sheet1[[#This Row],[claim_date]])/3,0)</f>
        <v>Q2</v>
      </c>
      <c r="L1029" s="2" t="str">
        <f>IF(Sheet1[[#This Row],[claim_amount]]&lt;100000,"Low",IF(Sheet1[[#This Row],[claim_amount]]&lt;200000,"Medium","High"))</f>
        <v>High</v>
      </c>
      <c r="M1029" s="2" t="str">
        <f>IF(Sheet1[[#This Row],[days_to_process]]&lt;=30,"Fast","Slow")</f>
        <v>Slow</v>
      </c>
    </row>
    <row r="1030" spans="1:13" x14ac:dyDescent="0.3">
      <c r="A1030" t="s">
        <v>1913</v>
      </c>
      <c r="B1030" s="2" t="s">
        <v>1914</v>
      </c>
      <c r="C1030" s="1">
        <v>44417</v>
      </c>
      <c r="D1030" s="35">
        <v>161056.35999999999</v>
      </c>
      <c r="E1030" s="2" t="s">
        <v>15</v>
      </c>
      <c r="F1030" s="2" t="s">
        <v>23</v>
      </c>
      <c r="G1030" s="2" t="s">
        <v>24</v>
      </c>
      <c r="H1030">
        <v>57</v>
      </c>
      <c r="I1030" s="2" t="str">
        <f>TEXT(Sheet1[[#This Row],[claim_date]],"mmmm")</f>
        <v>August</v>
      </c>
      <c r="J1030" s="2">
        <f>YEAR(Sheet1[[#This Row],[claim_date]])</f>
        <v>2021</v>
      </c>
      <c r="K1030" s="2" t="str">
        <f>"Q"&amp;ROUNDUP(MONTH(Sheet1[[#This Row],[claim_date]])/3,0)</f>
        <v>Q3</v>
      </c>
      <c r="L1030" s="2" t="str">
        <f>IF(Sheet1[[#This Row],[claim_amount]]&lt;100000,"Low",IF(Sheet1[[#This Row],[claim_amount]]&lt;200000,"Medium","High"))</f>
        <v>Medium</v>
      </c>
      <c r="M1030" s="2" t="str">
        <f>IF(Sheet1[[#This Row],[days_to_process]]&lt;=30,"Fast","Slow")</f>
        <v>Slow</v>
      </c>
    </row>
    <row r="1031" spans="1:13" x14ac:dyDescent="0.3">
      <c r="A1031" t="s">
        <v>1915</v>
      </c>
      <c r="B1031" s="2" t="s">
        <v>1916</v>
      </c>
      <c r="C1031" s="1">
        <v>45819</v>
      </c>
      <c r="D1031" s="35">
        <v>382996.34</v>
      </c>
      <c r="E1031" s="2" t="s">
        <v>10</v>
      </c>
      <c r="F1031" s="2" t="s">
        <v>34</v>
      </c>
      <c r="G1031" s="2" t="s">
        <v>12</v>
      </c>
      <c r="H1031">
        <v>56</v>
      </c>
      <c r="I1031" s="2" t="str">
        <f>TEXT(Sheet1[[#This Row],[claim_date]],"mmmm")</f>
        <v>June</v>
      </c>
      <c r="J1031" s="2">
        <f>YEAR(Sheet1[[#This Row],[claim_date]])</f>
        <v>2025</v>
      </c>
      <c r="K1031" s="2" t="str">
        <f>"Q"&amp;ROUNDUP(MONTH(Sheet1[[#This Row],[claim_date]])/3,0)</f>
        <v>Q2</v>
      </c>
      <c r="L1031" s="2" t="str">
        <f>IF(Sheet1[[#This Row],[claim_amount]]&lt;100000,"Low",IF(Sheet1[[#This Row],[claim_amount]]&lt;200000,"Medium","High"))</f>
        <v>High</v>
      </c>
      <c r="M1031" s="2" t="str">
        <f>IF(Sheet1[[#This Row],[days_to_process]]&lt;=30,"Fast","Slow")</f>
        <v>Slow</v>
      </c>
    </row>
    <row r="1032" spans="1:13" x14ac:dyDescent="0.3">
      <c r="A1032" t="s">
        <v>1917</v>
      </c>
      <c r="B1032" s="2" t="s">
        <v>1918</v>
      </c>
      <c r="C1032" s="1">
        <v>44551</v>
      </c>
      <c r="D1032" s="35">
        <v>117363.51</v>
      </c>
      <c r="E1032" s="2" t="s">
        <v>15</v>
      </c>
      <c r="F1032" s="2" t="s">
        <v>11</v>
      </c>
      <c r="G1032" s="2" t="s">
        <v>24</v>
      </c>
      <c r="H1032">
        <v>12</v>
      </c>
      <c r="I1032" s="2" t="str">
        <f>TEXT(Sheet1[[#This Row],[claim_date]],"mmmm")</f>
        <v>December</v>
      </c>
      <c r="J1032" s="2">
        <f>YEAR(Sheet1[[#This Row],[claim_date]])</f>
        <v>2021</v>
      </c>
      <c r="K1032" s="2" t="str">
        <f>"Q"&amp;ROUNDUP(MONTH(Sheet1[[#This Row],[claim_date]])/3,0)</f>
        <v>Q4</v>
      </c>
      <c r="L1032" s="2" t="str">
        <f>IF(Sheet1[[#This Row],[claim_amount]]&lt;100000,"Low",IF(Sheet1[[#This Row],[claim_amount]]&lt;200000,"Medium","High"))</f>
        <v>Medium</v>
      </c>
      <c r="M1032" s="2" t="str">
        <f>IF(Sheet1[[#This Row],[days_to_process]]&lt;=30,"Fast","Slow")</f>
        <v>Fast</v>
      </c>
    </row>
    <row r="1033" spans="1:13" x14ac:dyDescent="0.3">
      <c r="A1033" t="s">
        <v>1919</v>
      </c>
      <c r="B1033" s="2" t="s">
        <v>780</v>
      </c>
      <c r="C1033" s="1">
        <v>45447</v>
      </c>
      <c r="D1033" s="35">
        <v>461121.9</v>
      </c>
      <c r="E1033" s="2" t="s">
        <v>15</v>
      </c>
      <c r="F1033" s="2" t="s">
        <v>23</v>
      </c>
      <c r="G1033" s="2" t="s">
        <v>12</v>
      </c>
      <c r="H1033">
        <v>40</v>
      </c>
      <c r="I1033" s="2" t="str">
        <f>TEXT(Sheet1[[#This Row],[claim_date]],"mmmm")</f>
        <v>June</v>
      </c>
      <c r="J1033" s="2">
        <f>YEAR(Sheet1[[#This Row],[claim_date]])</f>
        <v>2024</v>
      </c>
      <c r="K1033" s="2" t="str">
        <f>"Q"&amp;ROUNDUP(MONTH(Sheet1[[#This Row],[claim_date]])/3,0)</f>
        <v>Q2</v>
      </c>
      <c r="L1033" s="2" t="str">
        <f>IF(Sheet1[[#This Row],[claim_amount]]&lt;100000,"Low",IF(Sheet1[[#This Row],[claim_amount]]&lt;200000,"Medium","High"))</f>
        <v>High</v>
      </c>
      <c r="M1033" s="2" t="str">
        <f>IF(Sheet1[[#This Row],[days_to_process]]&lt;=30,"Fast","Slow")</f>
        <v>Slow</v>
      </c>
    </row>
    <row r="1034" spans="1:13" x14ac:dyDescent="0.3">
      <c r="A1034" t="s">
        <v>1920</v>
      </c>
      <c r="B1034" s="2" t="s">
        <v>1921</v>
      </c>
      <c r="C1034" s="1">
        <v>44603</v>
      </c>
      <c r="D1034" s="35">
        <v>329646.74</v>
      </c>
      <c r="E1034" s="2" t="s">
        <v>15</v>
      </c>
      <c r="F1034" s="2" t="s">
        <v>11</v>
      </c>
      <c r="G1034" s="2" t="s">
        <v>12</v>
      </c>
      <c r="H1034">
        <v>5</v>
      </c>
      <c r="I1034" s="2" t="str">
        <f>TEXT(Sheet1[[#This Row],[claim_date]],"mmmm")</f>
        <v>February</v>
      </c>
      <c r="J1034" s="2">
        <f>YEAR(Sheet1[[#This Row],[claim_date]])</f>
        <v>2022</v>
      </c>
      <c r="K1034" s="2" t="str">
        <f>"Q"&amp;ROUNDUP(MONTH(Sheet1[[#This Row],[claim_date]])/3,0)</f>
        <v>Q1</v>
      </c>
      <c r="L1034" s="2" t="str">
        <f>IF(Sheet1[[#This Row],[claim_amount]]&lt;100000,"Low",IF(Sheet1[[#This Row],[claim_amount]]&lt;200000,"Medium","High"))</f>
        <v>High</v>
      </c>
      <c r="M1034" s="2" t="str">
        <f>IF(Sheet1[[#This Row],[days_to_process]]&lt;=30,"Fast","Slow")</f>
        <v>Fast</v>
      </c>
    </row>
    <row r="1035" spans="1:13" x14ac:dyDescent="0.3">
      <c r="A1035" t="s">
        <v>1922</v>
      </c>
      <c r="B1035" s="2" t="s">
        <v>1923</v>
      </c>
      <c r="C1035" s="1">
        <v>44681</v>
      </c>
      <c r="D1035" s="35">
        <v>285063.75</v>
      </c>
      <c r="E1035" s="2" t="s">
        <v>10</v>
      </c>
      <c r="F1035" s="2" t="s">
        <v>16</v>
      </c>
      <c r="G1035" s="2" t="s">
        <v>24</v>
      </c>
      <c r="H1035">
        <v>24</v>
      </c>
      <c r="I1035" s="2" t="str">
        <f>TEXT(Sheet1[[#This Row],[claim_date]],"mmmm")</f>
        <v>April</v>
      </c>
      <c r="J1035" s="2">
        <f>YEAR(Sheet1[[#This Row],[claim_date]])</f>
        <v>2022</v>
      </c>
      <c r="K1035" s="2" t="str">
        <f>"Q"&amp;ROUNDUP(MONTH(Sheet1[[#This Row],[claim_date]])/3,0)</f>
        <v>Q2</v>
      </c>
      <c r="L1035" s="2" t="str">
        <f>IF(Sheet1[[#This Row],[claim_amount]]&lt;100000,"Low",IF(Sheet1[[#This Row],[claim_amount]]&lt;200000,"Medium","High"))</f>
        <v>High</v>
      </c>
      <c r="M1035" s="2" t="str">
        <f>IF(Sheet1[[#This Row],[days_to_process]]&lt;=30,"Fast","Slow")</f>
        <v>Fast</v>
      </c>
    </row>
    <row r="1036" spans="1:13" x14ac:dyDescent="0.3">
      <c r="A1036" t="s">
        <v>1924</v>
      </c>
      <c r="B1036" s="2" t="s">
        <v>1925</v>
      </c>
      <c r="C1036" s="1">
        <v>44462</v>
      </c>
      <c r="D1036" s="35">
        <v>463004.51</v>
      </c>
      <c r="E1036" s="2" t="s">
        <v>10</v>
      </c>
      <c r="F1036" s="2" t="s">
        <v>16</v>
      </c>
      <c r="G1036" s="2" t="s">
        <v>12</v>
      </c>
      <c r="H1036">
        <v>54</v>
      </c>
      <c r="I1036" s="2" t="str">
        <f>TEXT(Sheet1[[#This Row],[claim_date]],"mmmm")</f>
        <v>September</v>
      </c>
      <c r="J1036" s="2">
        <f>YEAR(Sheet1[[#This Row],[claim_date]])</f>
        <v>2021</v>
      </c>
      <c r="K1036" s="2" t="str">
        <f>"Q"&amp;ROUNDUP(MONTH(Sheet1[[#This Row],[claim_date]])/3,0)</f>
        <v>Q3</v>
      </c>
      <c r="L1036" s="2" t="str">
        <f>IF(Sheet1[[#This Row],[claim_amount]]&lt;100000,"Low",IF(Sheet1[[#This Row],[claim_amount]]&lt;200000,"Medium","High"))</f>
        <v>High</v>
      </c>
      <c r="M1036" s="2" t="str">
        <f>IF(Sheet1[[#This Row],[days_to_process]]&lt;=30,"Fast","Slow")</f>
        <v>Slow</v>
      </c>
    </row>
    <row r="1037" spans="1:13" x14ac:dyDescent="0.3">
      <c r="A1037" t="s">
        <v>1926</v>
      </c>
      <c r="B1037" s="2" t="s">
        <v>1927</v>
      </c>
      <c r="C1037" s="1">
        <v>45337</v>
      </c>
      <c r="D1037" s="35">
        <v>187053.97</v>
      </c>
      <c r="E1037" s="2" t="s">
        <v>15</v>
      </c>
      <c r="F1037" s="2" t="s">
        <v>16</v>
      </c>
      <c r="G1037" s="2" t="s">
        <v>24</v>
      </c>
      <c r="H1037">
        <v>28</v>
      </c>
      <c r="I1037" s="2" t="str">
        <f>TEXT(Sheet1[[#This Row],[claim_date]],"mmmm")</f>
        <v>February</v>
      </c>
      <c r="J1037" s="2">
        <f>YEAR(Sheet1[[#This Row],[claim_date]])</f>
        <v>2024</v>
      </c>
      <c r="K1037" s="2" t="str">
        <f>"Q"&amp;ROUNDUP(MONTH(Sheet1[[#This Row],[claim_date]])/3,0)</f>
        <v>Q1</v>
      </c>
      <c r="L1037" s="2" t="str">
        <f>IF(Sheet1[[#This Row],[claim_amount]]&lt;100000,"Low",IF(Sheet1[[#This Row],[claim_amount]]&lt;200000,"Medium","High"))</f>
        <v>Medium</v>
      </c>
      <c r="M1037" s="2" t="str">
        <f>IF(Sheet1[[#This Row],[days_to_process]]&lt;=30,"Fast","Slow")</f>
        <v>Fast</v>
      </c>
    </row>
    <row r="1038" spans="1:13" x14ac:dyDescent="0.3">
      <c r="A1038" t="s">
        <v>1928</v>
      </c>
      <c r="B1038" s="2" t="s">
        <v>338</v>
      </c>
      <c r="C1038" s="1">
        <v>45247</v>
      </c>
      <c r="D1038" s="35">
        <v>127362.93</v>
      </c>
      <c r="E1038" s="2" t="s">
        <v>15</v>
      </c>
      <c r="F1038" s="2" t="s">
        <v>16</v>
      </c>
      <c r="G1038" s="2" t="s">
        <v>24</v>
      </c>
      <c r="H1038">
        <v>11</v>
      </c>
      <c r="I1038" s="2" t="str">
        <f>TEXT(Sheet1[[#This Row],[claim_date]],"mmmm")</f>
        <v>November</v>
      </c>
      <c r="J1038" s="2">
        <f>YEAR(Sheet1[[#This Row],[claim_date]])</f>
        <v>2023</v>
      </c>
      <c r="K1038" s="2" t="str">
        <f>"Q"&amp;ROUNDUP(MONTH(Sheet1[[#This Row],[claim_date]])/3,0)</f>
        <v>Q4</v>
      </c>
      <c r="L1038" s="2" t="str">
        <f>IF(Sheet1[[#This Row],[claim_amount]]&lt;100000,"Low",IF(Sheet1[[#This Row],[claim_amount]]&lt;200000,"Medium","High"))</f>
        <v>Medium</v>
      </c>
      <c r="M1038" s="2" t="str">
        <f>IF(Sheet1[[#This Row],[days_to_process]]&lt;=30,"Fast","Slow")</f>
        <v>Fast</v>
      </c>
    </row>
    <row r="1039" spans="1:13" x14ac:dyDescent="0.3">
      <c r="A1039" t="s">
        <v>1929</v>
      </c>
      <c r="B1039" s="2" t="s">
        <v>1930</v>
      </c>
      <c r="C1039" s="1">
        <v>45571</v>
      </c>
      <c r="D1039" s="35">
        <v>30443.82</v>
      </c>
      <c r="E1039" s="2" t="s">
        <v>19</v>
      </c>
      <c r="F1039" s="2" t="s">
        <v>16</v>
      </c>
      <c r="G1039" s="2" t="s">
        <v>24</v>
      </c>
      <c r="H1039">
        <v>16</v>
      </c>
      <c r="I1039" s="2" t="str">
        <f>TEXT(Sheet1[[#This Row],[claim_date]],"mmmm")</f>
        <v>October</v>
      </c>
      <c r="J1039" s="2">
        <f>YEAR(Sheet1[[#This Row],[claim_date]])</f>
        <v>2024</v>
      </c>
      <c r="K1039" s="2" t="str">
        <f>"Q"&amp;ROUNDUP(MONTH(Sheet1[[#This Row],[claim_date]])/3,0)</f>
        <v>Q4</v>
      </c>
      <c r="L1039" s="2" t="str">
        <f>IF(Sheet1[[#This Row],[claim_amount]]&lt;100000,"Low",IF(Sheet1[[#This Row],[claim_amount]]&lt;200000,"Medium","High"))</f>
        <v>Low</v>
      </c>
      <c r="M1039" s="2" t="str">
        <f>IF(Sheet1[[#This Row],[days_to_process]]&lt;=30,"Fast","Slow")</f>
        <v>Fast</v>
      </c>
    </row>
    <row r="1040" spans="1:13" x14ac:dyDescent="0.3">
      <c r="A1040" t="s">
        <v>1931</v>
      </c>
      <c r="B1040" s="2" t="s">
        <v>1882</v>
      </c>
      <c r="C1040" s="1">
        <v>44799</v>
      </c>
      <c r="D1040" s="35">
        <v>460886.5</v>
      </c>
      <c r="E1040" s="2" t="s">
        <v>10</v>
      </c>
      <c r="F1040" s="2" t="s">
        <v>16</v>
      </c>
      <c r="G1040" s="2" t="s">
        <v>12</v>
      </c>
      <c r="H1040">
        <v>45</v>
      </c>
      <c r="I1040" s="2" t="str">
        <f>TEXT(Sheet1[[#This Row],[claim_date]],"mmmm")</f>
        <v>August</v>
      </c>
      <c r="J1040" s="2">
        <f>YEAR(Sheet1[[#This Row],[claim_date]])</f>
        <v>2022</v>
      </c>
      <c r="K1040" s="2" t="str">
        <f>"Q"&amp;ROUNDUP(MONTH(Sheet1[[#This Row],[claim_date]])/3,0)</f>
        <v>Q3</v>
      </c>
      <c r="L1040" s="2" t="str">
        <f>IF(Sheet1[[#This Row],[claim_amount]]&lt;100000,"Low",IF(Sheet1[[#This Row],[claim_amount]]&lt;200000,"Medium","High"))</f>
        <v>High</v>
      </c>
      <c r="M1040" s="2" t="str">
        <f>IF(Sheet1[[#This Row],[days_to_process]]&lt;=30,"Fast","Slow")</f>
        <v>Slow</v>
      </c>
    </row>
    <row r="1041" spans="1:13" x14ac:dyDescent="0.3">
      <c r="A1041" t="s">
        <v>1932</v>
      </c>
      <c r="B1041" s="2" t="s">
        <v>1933</v>
      </c>
      <c r="C1041" s="1">
        <v>45320</v>
      </c>
      <c r="D1041" s="35">
        <v>406045.54</v>
      </c>
      <c r="E1041" s="2" t="s">
        <v>19</v>
      </c>
      <c r="F1041" s="2" t="s">
        <v>23</v>
      </c>
      <c r="G1041" s="2" t="s">
        <v>24</v>
      </c>
      <c r="H1041">
        <v>51</v>
      </c>
      <c r="I1041" s="2" t="str">
        <f>TEXT(Sheet1[[#This Row],[claim_date]],"mmmm")</f>
        <v>January</v>
      </c>
      <c r="J1041" s="2">
        <f>YEAR(Sheet1[[#This Row],[claim_date]])</f>
        <v>2024</v>
      </c>
      <c r="K1041" s="2" t="str">
        <f>"Q"&amp;ROUNDUP(MONTH(Sheet1[[#This Row],[claim_date]])/3,0)</f>
        <v>Q1</v>
      </c>
      <c r="L1041" s="2" t="str">
        <f>IF(Sheet1[[#This Row],[claim_amount]]&lt;100000,"Low",IF(Sheet1[[#This Row],[claim_amount]]&lt;200000,"Medium","High"))</f>
        <v>High</v>
      </c>
      <c r="M1041" s="2" t="str">
        <f>IF(Sheet1[[#This Row],[days_to_process]]&lt;=30,"Fast","Slow")</f>
        <v>Slow</v>
      </c>
    </row>
    <row r="1042" spans="1:13" x14ac:dyDescent="0.3">
      <c r="A1042" t="s">
        <v>1934</v>
      </c>
      <c r="B1042" s="2" t="s">
        <v>1935</v>
      </c>
      <c r="C1042" s="1">
        <v>45180</v>
      </c>
      <c r="D1042" s="35">
        <v>21198.080000000002</v>
      </c>
      <c r="E1042" s="2" t="s">
        <v>19</v>
      </c>
      <c r="F1042" s="2" t="s">
        <v>34</v>
      </c>
      <c r="G1042" s="2" t="s">
        <v>12</v>
      </c>
      <c r="H1042">
        <v>14</v>
      </c>
      <c r="I1042" s="2" t="str">
        <f>TEXT(Sheet1[[#This Row],[claim_date]],"mmmm")</f>
        <v>September</v>
      </c>
      <c r="J1042" s="2">
        <f>YEAR(Sheet1[[#This Row],[claim_date]])</f>
        <v>2023</v>
      </c>
      <c r="K1042" s="2" t="str">
        <f>"Q"&amp;ROUNDUP(MONTH(Sheet1[[#This Row],[claim_date]])/3,0)</f>
        <v>Q3</v>
      </c>
      <c r="L1042" s="2" t="str">
        <f>IF(Sheet1[[#This Row],[claim_amount]]&lt;100000,"Low",IF(Sheet1[[#This Row],[claim_amount]]&lt;200000,"Medium","High"))</f>
        <v>Low</v>
      </c>
      <c r="M1042" s="2" t="str">
        <f>IF(Sheet1[[#This Row],[days_to_process]]&lt;=30,"Fast","Slow")</f>
        <v>Fast</v>
      </c>
    </row>
    <row r="1043" spans="1:13" x14ac:dyDescent="0.3">
      <c r="A1043" t="s">
        <v>1936</v>
      </c>
      <c r="B1043" s="2" t="s">
        <v>1806</v>
      </c>
      <c r="C1043" s="1">
        <v>45123</v>
      </c>
      <c r="D1043" s="35">
        <v>343595.18</v>
      </c>
      <c r="E1043" s="2" t="s">
        <v>19</v>
      </c>
      <c r="F1043" s="2" t="s">
        <v>34</v>
      </c>
      <c r="G1043" s="2" t="s">
        <v>12</v>
      </c>
      <c r="H1043">
        <v>57</v>
      </c>
      <c r="I1043" s="2" t="str">
        <f>TEXT(Sheet1[[#This Row],[claim_date]],"mmmm")</f>
        <v>July</v>
      </c>
      <c r="J1043" s="2">
        <f>YEAR(Sheet1[[#This Row],[claim_date]])</f>
        <v>2023</v>
      </c>
      <c r="K1043" s="2" t="str">
        <f>"Q"&amp;ROUNDUP(MONTH(Sheet1[[#This Row],[claim_date]])/3,0)</f>
        <v>Q3</v>
      </c>
      <c r="L1043" s="2" t="str">
        <f>IF(Sheet1[[#This Row],[claim_amount]]&lt;100000,"Low",IF(Sheet1[[#This Row],[claim_amount]]&lt;200000,"Medium","High"))</f>
        <v>High</v>
      </c>
      <c r="M1043" s="2" t="str">
        <f>IF(Sheet1[[#This Row],[days_to_process]]&lt;=30,"Fast","Slow")</f>
        <v>Slow</v>
      </c>
    </row>
    <row r="1044" spans="1:13" x14ac:dyDescent="0.3">
      <c r="A1044" t="s">
        <v>1937</v>
      </c>
      <c r="B1044" s="2" t="s">
        <v>1938</v>
      </c>
      <c r="C1044" s="1">
        <v>45532</v>
      </c>
      <c r="D1044" s="35">
        <v>335223.87</v>
      </c>
      <c r="E1044" s="2" t="s">
        <v>19</v>
      </c>
      <c r="F1044" s="2" t="s">
        <v>11</v>
      </c>
      <c r="G1044" s="2" t="s">
        <v>12</v>
      </c>
      <c r="H1044">
        <v>31</v>
      </c>
      <c r="I1044" s="2" t="str">
        <f>TEXT(Sheet1[[#This Row],[claim_date]],"mmmm")</f>
        <v>August</v>
      </c>
      <c r="J1044" s="2">
        <f>YEAR(Sheet1[[#This Row],[claim_date]])</f>
        <v>2024</v>
      </c>
      <c r="K1044" s="2" t="str">
        <f>"Q"&amp;ROUNDUP(MONTH(Sheet1[[#This Row],[claim_date]])/3,0)</f>
        <v>Q3</v>
      </c>
      <c r="L1044" s="2" t="str">
        <f>IF(Sheet1[[#This Row],[claim_amount]]&lt;100000,"Low",IF(Sheet1[[#This Row],[claim_amount]]&lt;200000,"Medium","High"))</f>
        <v>High</v>
      </c>
      <c r="M1044" s="2" t="str">
        <f>IF(Sheet1[[#This Row],[days_to_process]]&lt;=30,"Fast","Slow")</f>
        <v>Slow</v>
      </c>
    </row>
    <row r="1045" spans="1:13" x14ac:dyDescent="0.3">
      <c r="A1045" t="s">
        <v>1939</v>
      </c>
      <c r="B1045" s="2" t="s">
        <v>1940</v>
      </c>
      <c r="C1045" s="1">
        <v>44826</v>
      </c>
      <c r="D1045" s="35">
        <v>245273.26</v>
      </c>
      <c r="E1045" s="2" t="s">
        <v>19</v>
      </c>
      <c r="F1045" s="2" t="s">
        <v>34</v>
      </c>
      <c r="G1045" s="2" t="s">
        <v>24</v>
      </c>
      <c r="H1045">
        <v>38</v>
      </c>
      <c r="I1045" s="2" t="str">
        <f>TEXT(Sheet1[[#This Row],[claim_date]],"mmmm")</f>
        <v>September</v>
      </c>
      <c r="J1045" s="2">
        <f>YEAR(Sheet1[[#This Row],[claim_date]])</f>
        <v>2022</v>
      </c>
      <c r="K1045" s="2" t="str">
        <f>"Q"&amp;ROUNDUP(MONTH(Sheet1[[#This Row],[claim_date]])/3,0)</f>
        <v>Q3</v>
      </c>
      <c r="L1045" s="2" t="str">
        <f>IF(Sheet1[[#This Row],[claim_amount]]&lt;100000,"Low",IF(Sheet1[[#This Row],[claim_amount]]&lt;200000,"Medium","High"))</f>
        <v>High</v>
      </c>
      <c r="M1045" s="2" t="str">
        <f>IF(Sheet1[[#This Row],[days_to_process]]&lt;=30,"Fast","Slow")</f>
        <v>Slow</v>
      </c>
    </row>
    <row r="1046" spans="1:13" x14ac:dyDescent="0.3">
      <c r="A1046" t="s">
        <v>1941</v>
      </c>
      <c r="B1046" s="2" t="s">
        <v>1942</v>
      </c>
      <c r="C1046" s="1">
        <v>45188</v>
      </c>
      <c r="D1046" s="35">
        <v>163429.96</v>
      </c>
      <c r="E1046" s="2" t="s">
        <v>19</v>
      </c>
      <c r="F1046" s="2" t="s">
        <v>23</v>
      </c>
      <c r="G1046" s="2" t="s">
        <v>12</v>
      </c>
      <c r="H1046">
        <v>29</v>
      </c>
      <c r="I1046" s="2" t="str">
        <f>TEXT(Sheet1[[#This Row],[claim_date]],"mmmm")</f>
        <v>September</v>
      </c>
      <c r="J1046" s="2">
        <f>YEAR(Sheet1[[#This Row],[claim_date]])</f>
        <v>2023</v>
      </c>
      <c r="K1046" s="2" t="str">
        <f>"Q"&amp;ROUNDUP(MONTH(Sheet1[[#This Row],[claim_date]])/3,0)</f>
        <v>Q3</v>
      </c>
      <c r="L1046" s="2" t="str">
        <f>IF(Sheet1[[#This Row],[claim_amount]]&lt;100000,"Low",IF(Sheet1[[#This Row],[claim_amount]]&lt;200000,"Medium","High"))</f>
        <v>Medium</v>
      </c>
      <c r="M1046" s="2" t="str">
        <f>IF(Sheet1[[#This Row],[days_to_process]]&lt;=30,"Fast","Slow")</f>
        <v>Fast</v>
      </c>
    </row>
    <row r="1047" spans="1:13" x14ac:dyDescent="0.3">
      <c r="A1047" t="s">
        <v>1943</v>
      </c>
      <c r="B1047" s="2" t="s">
        <v>1944</v>
      </c>
      <c r="C1047" s="1">
        <v>45324</v>
      </c>
      <c r="D1047" s="35">
        <v>416752.55</v>
      </c>
      <c r="E1047" s="2" t="s">
        <v>15</v>
      </c>
      <c r="F1047" s="2" t="s">
        <v>23</v>
      </c>
      <c r="G1047" s="2" t="s">
        <v>24</v>
      </c>
      <c r="H1047">
        <v>7</v>
      </c>
      <c r="I1047" s="2" t="str">
        <f>TEXT(Sheet1[[#This Row],[claim_date]],"mmmm")</f>
        <v>February</v>
      </c>
      <c r="J1047" s="2">
        <f>YEAR(Sheet1[[#This Row],[claim_date]])</f>
        <v>2024</v>
      </c>
      <c r="K1047" s="2" t="str">
        <f>"Q"&amp;ROUNDUP(MONTH(Sheet1[[#This Row],[claim_date]])/3,0)</f>
        <v>Q1</v>
      </c>
      <c r="L1047" s="2" t="str">
        <f>IF(Sheet1[[#This Row],[claim_amount]]&lt;100000,"Low",IF(Sheet1[[#This Row],[claim_amount]]&lt;200000,"Medium","High"))</f>
        <v>High</v>
      </c>
      <c r="M1047" s="2" t="str">
        <f>IF(Sheet1[[#This Row],[days_to_process]]&lt;=30,"Fast","Slow")</f>
        <v>Fast</v>
      </c>
    </row>
    <row r="1048" spans="1:13" x14ac:dyDescent="0.3">
      <c r="A1048" t="s">
        <v>1945</v>
      </c>
      <c r="B1048" s="2" t="s">
        <v>1946</v>
      </c>
      <c r="C1048" s="1">
        <v>44629</v>
      </c>
      <c r="D1048" s="35">
        <v>385727.6</v>
      </c>
      <c r="E1048" s="2" t="s">
        <v>15</v>
      </c>
      <c r="F1048" s="2" t="s">
        <v>16</v>
      </c>
      <c r="G1048" s="2" t="s">
        <v>24</v>
      </c>
      <c r="H1048">
        <v>54</v>
      </c>
      <c r="I1048" s="2" t="str">
        <f>TEXT(Sheet1[[#This Row],[claim_date]],"mmmm")</f>
        <v>March</v>
      </c>
      <c r="J1048" s="2">
        <f>YEAR(Sheet1[[#This Row],[claim_date]])</f>
        <v>2022</v>
      </c>
      <c r="K1048" s="2" t="str">
        <f>"Q"&amp;ROUNDUP(MONTH(Sheet1[[#This Row],[claim_date]])/3,0)</f>
        <v>Q1</v>
      </c>
      <c r="L1048" s="2" t="str">
        <f>IF(Sheet1[[#This Row],[claim_amount]]&lt;100000,"Low",IF(Sheet1[[#This Row],[claim_amount]]&lt;200000,"Medium","High"))</f>
        <v>High</v>
      </c>
      <c r="M1048" s="2" t="str">
        <f>IF(Sheet1[[#This Row],[days_to_process]]&lt;=30,"Fast","Slow")</f>
        <v>Slow</v>
      </c>
    </row>
    <row r="1049" spans="1:13" x14ac:dyDescent="0.3">
      <c r="A1049" t="s">
        <v>1947</v>
      </c>
      <c r="B1049" s="2" t="s">
        <v>646</v>
      </c>
      <c r="C1049" s="1">
        <v>45528</v>
      </c>
      <c r="D1049" s="35">
        <v>402755.87</v>
      </c>
      <c r="E1049" s="2" t="s">
        <v>10</v>
      </c>
      <c r="F1049" s="2" t="s">
        <v>16</v>
      </c>
      <c r="G1049" s="2" t="s">
        <v>12</v>
      </c>
      <c r="H1049">
        <v>43</v>
      </c>
      <c r="I1049" s="2" t="str">
        <f>TEXT(Sheet1[[#This Row],[claim_date]],"mmmm")</f>
        <v>August</v>
      </c>
      <c r="J1049" s="2">
        <f>YEAR(Sheet1[[#This Row],[claim_date]])</f>
        <v>2024</v>
      </c>
      <c r="K1049" s="2" t="str">
        <f>"Q"&amp;ROUNDUP(MONTH(Sheet1[[#This Row],[claim_date]])/3,0)</f>
        <v>Q3</v>
      </c>
      <c r="L1049" s="2" t="str">
        <f>IF(Sheet1[[#This Row],[claim_amount]]&lt;100000,"Low",IF(Sheet1[[#This Row],[claim_amount]]&lt;200000,"Medium","High"))</f>
        <v>High</v>
      </c>
      <c r="M1049" s="2" t="str">
        <f>IF(Sheet1[[#This Row],[days_to_process]]&lt;=30,"Fast","Slow")</f>
        <v>Slow</v>
      </c>
    </row>
    <row r="1050" spans="1:13" x14ac:dyDescent="0.3">
      <c r="A1050" t="s">
        <v>1948</v>
      </c>
      <c r="B1050" s="2" t="s">
        <v>22</v>
      </c>
      <c r="C1050" s="1">
        <v>45455</v>
      </c>
      <c r="D1050" s="35">
        <v>421411.19</v>
      </c>
      <c r="E1050" s="2" t="s">
        <v>10</v>
      </c>
      <c r="F1050" s="2" t="s">
        <v>11</v>
      </c>
      <c r="G1050" s="2" t="s">
        <v>24</v>
      </c>
      <c r="H1050">
        <v>23</v>
      </c>
      <c r="I1050" s="2" t="str">
        <f>TEXT(Sheet1[[#This Row],[claim_date]],"mmmm")</f>
        <v>June</v>
      </c>
      <c r="J1050" s="2">
        <f>YEAR(Sheet1[[#This Row],[claim_date]])</f>
        <v>2024</v>
      </c>
      <c r="K1050" s="2" t="str">
        <f>"Q"&amp;ROUNDUP(MONTH(Sheet1[[#This Row],[claim_date]])/3,0)</f>
        <v>Q2</v>
      </c>
      <c r="L1050" s="2" t="str">
        <f>IF(Sheet1[[#This Row],[claim_amount]]&lt;100000,"Low",IF(Sheet1[[#This Row],[claim_amount]]&lt;200000,"Medium","High"))</f>
        <v>High</v>
      </c>
      <c r="M1050" s="2" t="str">
        <f>IF(Sheet1[[#This Row],[days_to_process]]&lt;=30,"Fast","Slow")</f>
        <v>Fast</v>
      </c>
    </row>
    <row r="1051" spans="1:13" x14ac:dyDescent="0.3">
      <c r="A1051" t="s">
        <v>1949</v>
      </c>
      <c r="B1051" s="2" t="s">
        <v>105</v>
      </c>
      <c r="C1051" s="1">
        <v>45370</v>
      </c>
      <c r="D1051" s="35">
        <v>70209.919999999998</v>
      </c>
      <c r="E1051" s="2" t="s">
        <v>15</v>
      </c>
      <c r="F1051" s="2" t="s">
        <v>20</v>
      </c>
      <c r="G1051" s="2" t="s">
        <v>24</v>
      </c>
      <c r="H1051">
        <v>2</v>
      </c>
      <c r="I1051" s="2" t="str">
        <f>TEXT(Sheet1[[#This Row],[claim_date]],"mmmm")</f>
        <v>March</v>
      </c>
      <c r="J1051" s="2">
        <f>YEAR(Sheet1[[#This Row],[claim_date]])</f>
        <v>2024</v>
      </c>
      <c r="K1051" s="2" t="str">
        <f>"Q"&amp;ROUNDUP(MONTH(Sheet1[[#This Row],[claim_date]])/3,0)</f>
        <v>Q1</v>
      </c>
      <c r="L1051" s="2" t="str">
        <f>IF(Sheet1[[#This Row],[claim_amount]]&lt;100000,"Low",IF(Sheet1[[#This Row],[claim_amount]]&lt;200000,"Medium","High"))</f>
        <v>Low</v>
      </c>
      <c r="M1051" s="2" t="str">
        <f>IF(Sheet1[[#This Row],[days_to_process]]&lt;=30,"Fast","Slow")</f>
        <v>Fast</v>
      </c>
    </row>
    <row r="1052" spans="1:13" x14ac:dyDescent="0.3">
      <c r="A1052" t="s">
        <v>1950</v>
      </c>
      <c r="B1052" s="2" t="s">
        <v>1951</v>
      </c>
      <c r="C1052" s="1">
        <v>45482</v>
      </c>
      <c r="D1052" s="35">
        <v>316872.07</v>
      </c>
      <c r="E1052" s="2" t="s">
        <v>19</v>
      </c>
      <c r="F1052" s="2" t="s">
        <v>23</v>
      </c>
      <c r="G1052" s="2" t="s">
        <v>24</v>
      </c>
      <c r="H1052">
        <v>39</v>
      </c>
      <c r="I1052" s="2" t="str">
        <f>TEXT(Sheet1[[#This Row],[claim_date]],"mmmm")</f>
        <v>July</v>
      </c>
      <c r="J1052" s="2">
        <f>YEAR(Sheet1[[#This Row],[claim_date]])</f>
        <v>2024</v>
      </c>
      <c r="K1052" s="2" t="str">
        <f>"Q"&amp;ROUNDUP(MONTH(Sheet1[[#This Row],[claim_date]])/3,0)</f>
        <v>Q3</v>
      </c>
      <c r="L1052" s="2" t="str">
        <f>IF(Sheet1[[#This Row],[claim_amount]]&lt;100000,"Low",IF(Sheet1[[#This Row],[claim_amount]]&lt;200000,"Medium","High"))</f>
        <v>High</v>
      </c>
      <c r="M1052" s="2" t="str">
        <f>IF(Sheet1[[#This Row],[days_to_process]]&lt;=30,"Fast","Slow")</f>
        <v>Slow</v>
      </c>
    </row>
    <row r="1053" spans="1:13" x14ac:dyDescent="0.3">
      <c r="A1053" t="s">
        <v>1952</v>
      </c>
      <c r="B1053" s="2" t="s">
        <v>1953</v>
      </c>
      <c r="C1053" s="1">
        <v>44851</v>
      </c>
      <c r="D1053" s="35">
        <v>70399.37</v>
      </c>
      <c r="E1053" s="2" t="s">
        <v>15</v>
      </c>
      <c r="F1053" s="2" t="s">
        <v>23</v>
      </c>
      <c r="G1053" s="2" t="s">
        <v>24</v>
      </c>
      <c r="H1053">
        <v>26</v>
      </c>
      <c r="I1053" s="2" t="str">
        <f>TEXT(Sheet1[[#This Row],[claim_date]],"mmmm")</f>
        <v>October</v>
      </c>
      <c r="J1053" s="2">
        <f>YEAR(Sheet1[[#This Row],[claim_date]])</f>
        <v>2022</v>
      </c>
      <c r="K1053" s="2" t="str">
        <f>"Q"&amp;ROUNDUP(MONTH(Sheet1[[#This Row],[claim_date]])/3,0)</f>
        <v>Q4</v>
      </c>
      <c r="L1053" s="2" t="str">
        <f>IF(Sheet1[[#This Row],[claim_amount]]&lt;100000,"Low",IF(Sheet1[[#This Row],[claim_amount]]&lt;200000,"Medium","High"))</f>
        <v>Low</v>
      </c>
      <c r="M1053" s="2" t="str">
        <f>IF(Sheet1[[#This Row],[days_to_process]]&lt;=30,"Fast","Slow")</f>
        <v>Fast</v>
      </c>
    </row>
    <row r="1054" spans="1:13" x14ac:dyDescent="0.3">
      <c r="A1054" t="s">
        <v>1954</v>
      </c>
      <c r="B1054" s="2" t="s">
        <v>1955</v>
      </c>
      <c r="C1054" s="1">
        <v>44425</v>
      </c>
      <c r="D1054" s="35">
        <v>233666.49</v>
      </c>
      <c r="E1054" s="2" t="s">
        <v>15</v>
      </c>
      <c r="F1054" s="2" t="s">
        <v>16</v>
      </c>
      <c r="G1054" s="2" t="s">
        <v>24</v>
      </c>
      <c r="H1054">
        <v>42</v>
      </c>
      <c r="I1054" s="2" t="str">
        <f>TEXT(Sheet1[[#This Row],[claim_date]],"mmmm")</f>
        <v>August</v>
      </c>
      <c r="J1054" s="2">
        <f>YEAR(Sheet1[[#This Row],[claim_date]])</f>
        <v>2021</v>
      </c>
      <c r="K1054" s="2" t="str">
        <f>"Q"&amp;ROUNDUP(MONTH(Sheet1[[#This Row],[claim_date]])/3,0)</f>
        <v>Q3</v>
      </c>
      <c r="L1054" s="2" t="str">
        <f>IF(Sheet1[[#This Row],[claim_amount]]&lt;100000,"Low",IF(Sheet1[[#This Row],[claim_amount]]&lt;200000,"Medium","High"))</f>
        <v>High</v>
      </c>
      <c r="M1054" s="2" t="str">
        <f>IF(Sheet1[[#This Row],[days_to_process]]&lt;=30,"Fast","Slow")</f>
        <v>Slow</v>
      </c>
    </row>
    <row r="1055" spans="1:13" x14ac:dyDescent="0.3">
      <c r="A1055" t="s">
        <v>1956</v>
      </c>
      <c r="B1055" s="2" t="s">
        <v>1957</v>
      </c>
      <c r="C1055" s="1">
        <v>45155</v>
      </c>
      <c r="D1055" s="35">
        <v>77261.5</v>
      </c>
      <c r="E1055" s="2" t="s">
        <v>15</v>
      </c>
      <c r="F1055" s="2" t="s">
        <v>34</v>
      </c>
      <c r="G1055" s="2" t="s">
        <v>12</v>
      </c>
      <c r="H1055">
        <v>23</v>
      </c>
      <c r="I1055" s="2" t="str">
        <f>TEXT(Sheet1[[#This Row],[claim_date]],"mmmm")</f>
        <v>August</v>
      </c>
      <c r="J1055" s="2">
        <f>YEAR(Sheet1[[#This Row],[claim_date]])</f>
        <v>2023</v>
      </c>
      <c r="K1055" s="2" t="str">
        <f>"Q"&amp;ROUNDUP(MONTH(Sheet1[[#This Row],[claim_date]])/3,0)</f>
        <v>Q3</v>
      </c>
      <c r="L1055" s="2" t="str">
        <f>IF(Sheet1[[#This Row],[claim_amount]]&lt;100000,"Low",IF(Sheet1[[#This Row],[claim_amount]]&lt;200000,"Medium","High"))</f>
        <v>Low</v>
      </c>
      <c r="M1055" s="2" t="str">
        <f>IF(Sheet1[[#This Row],[days_to_process]]&lt;=30,"Fast","Slow")</f>
        <v>Fast</v>
      </c>
    </row>
    <row r="1056" spans="1:13" x14ac:dyDescent="0.3">
      <c r="A1056" t="s">
        <v>1958</v>
      </c>
      <c r="B1056" s="2" t="s">
        <v>1019</v>
      </c>
      <c r="C1056" s="1">
        <v>45310</v>
      </c>
      <c r="D1056" s="35">
        <v>181111.66</v>
      </c>
      <c r="E1056" s="2" t="s">
        <v>15</v>
      </c>
      <c r="F1056" s="2" t="s">
        <v>16</v>
      </c>
      <c r="G1056" s="2" t="s">
        <v>12</v>
      </c>
      <c r="H1056">
        <v>5</v>
      </c>
      <c r="I1056" s="2" t="str">
        <f>TEXT(Sheet1[[#This Row],[claim_date]],"mmmm")</f>
        <v>January</v>
      </c>
      <c r="J1056" s="2">
        <f>YEAR(Sheet1[[#This Row],[claim_date]])</f>
        <v>2024</v>
      </c>
      <c r="K1056" s="2" t="str">
        <f>"Q"&amp;ROUNDUP(MONTH(Sheet1[[#This Row],[claim_date]])/3,0)</f>
        <v>Q1</v>
      </c>
      <c r="L1056" s="2" t="str">
        <f>IF(Sheet1[[#This Row],[claim_amount]]&lt;100000,"Low",IF(Sheet1[[#This Row],[claim_amount]]&lt;200000,"Medium","High"))</f>
        <v>Medium</v>
      </c>
      <c r="M1056" s="2" t="str">
        <f>IF(Sheet1[[#This Row],[days_to_process]]&lt;=30,"Fast","Slow")</f>
        <v>Fast</v>
      </c>
    </row>
    <row r="1057" spans="1:13" x14ac:dyDescent="0.3">
      <c r="A1057" t="s">
        <v>1959</v>
      </c>
      <c r="B1057" s="2" t="s">
        <v>757</v>
      </c>
      <c r="C1057" s="1">
        <v>45431</v>
      </c>
      <c r="D1057" s="35">
        <v>33122.94</v>
      </c>
      <c r="E1057" s="2" t="s">
        <v>15</v>
      </c>
      <c r="F1057" s="2" t="s">
        <v>20</v>
      </c>
      <c r="G1057" s="2" t="s">
        <v>12</v>
      </c>
      <c r="H1057">
        <v>7</v>
      </c>
      <c r="I1057" s="2" t="str">
        <f>TEXT(Sheet1[[#This Row],[claim_date]],"mmmm")</f>
        <v>May</v>
      </c>
      <c r="J1057" s="2">
        <f>YEAR(Sheet1[[#This Row],[claim_date]])</f>
        <v>2024</v>
      </c>
      <c r="K1057" s="2" t="str">
        <f>"Q"&amp;ROUNDUP(MONTH(Sheet1[[#This Row],[claim_date]])/3,0)</f>
        <v>Q2</v>
      </c>
      <c r="L1057" s="2" t="str">
        <f>IF(Sheet1[[#This Row],[claim_amount]]&lt;100000,"Low",IF(Sheet1[[#This Row],[claim_amount]]&lt;200000,"Medium","High"))</f>
        <v>Low</v>
      </c>
      <c r="M1057" s="2" t="str">
        <f>IF(Sheet1[[#This Row],[days_to_process]]&lt;=30,"Fast","Slow")</f>
        <v>Fast</v>
      </c>
    </row>
    <row r="1058" spans="1:13" x14ac:dyDescent="0.3">
      <c r="A1058" t="s">
        <v>1960</v>
      </c>
      <c r="B1058" s="2" t="s">
        <v>1961</v>
      </c>
      <c r="C1058" s="1">
        <v>45416</v>
      </c>
      <c r="D1058" s="35">
        <v>235128.7</v>
      </c>
      <c r="E1058" s="2" t="s">
        <v>19</v>
      </c>
      <c r="F1058" s="2" t="s">
        <v>11</v>
      </c>
      <c r="G1058" s="2" t="s">
        <v>12</v>
      </c>
      <c r="H1058">
        <v>39</v>
      </c>
      <c r="I1058" s="2" t="str">
        <f>TEXT(Sheet1[[#This Row],[claim_date]],"mmmm")</f>
        <v>May</v>
      </c>
      <c r="J1058" s="2">
        <f>YEAR(Sheet1[[#This Row],[claim_date]])</f>
        <v>2024</v>
      </c>
      <c r="K1058" s="2" t="str">
        <f>"Q"&amp;ROUNDUP(MONTH(Sheet1[[#This Row],[claim_date]])/3,0)</f>
        <v>Q2</v>
      </c>
      <c r="L1058" s="2" t="str">
        <f>IF(Sheet1[[#This Row],[claim_amount]]&lt;100000,"Low",IF(Sheet1[[#This Row],[claim_amount]]&lt;200000,"Medium","High"))</f>
        <v>High</v>
      </c>
      <c r="M1058" s="2" t="str">
        <f>IF(Sheet1[[#This Row],[days_to_process]]&lt;=30,"Fast","Slow")</f>
        <v>Slow</v>
      </c>
    </row>
    <row r="1059" spans="1:13" x14ac:dyDescent="0.3">
      <c r="A1059" t="s">
        <v>1962</v>
      </c>
      <c r="B1059" s="2" t="s">
        <v>1963</v>
      </c>
      <c r="C1059" s="1">
        <v>45167</v>
      </c>
      <c r="D1059" s="35">
        <v>346442.46</v>
      </c>
      <c r="E1059" s="2" t="s">
        <v>10</v>
      </c>
      <c r="F1059" s="2" t="s">
        <v>23</v>
      </c>
      <c r="G1059" s="2" t="s">
        <v>12</v>
      </c>
      <c r="H1059">
        <v>5</v>
      </c>
      <c r="I1059" s="2" t="str">
        <f>TEXT(Sheet1[[#This Row],[claim_date]],"mmmm")</f>
        <v>August</v>
      </c>
      <c r="J1059" s="2">
        <f>YEAR(Sheet1[[#This Row],[claim_date]])</f>
        <v>2023</v>
      </c>
      <c r="K1059" s="2" t="str">
        <f>"Q"&amp;ROUNDUP(MONTH(Sheet1[[#This Row],[claim_date]])/3,0)</f>
        <v>Q3</v>
      </c>
      <c r="L1059" s="2" t="str">
        <f>IF(Sheet1[[#This Row],[claim_amount]]&lt;100000,"Low",IF(Sheet1[[#This Row],[claim_amount]]&lt;200000,"Medium","High"))</f>
        <v>High</v>
      </c>
      <c r="M1059" s="2" t="str">
        <f>IF(Sheet1[[#This Row],[days_to_process]]&lt;=30,"Fast","Slow")</f>
        <v>Fast</v>
      </c>
    </row>
    <row r="1060" spans="1:13" x14ac:dyDescent="0.3">
      <c r="A1060" t="s">
        <v>1964</v>
      </c>
      <c r="B1060" s="2" t="s">
        <v>1965</v>
      </c>
      <c r="C1060" s="1">
        <v>45406</v>
      </c>
      <c r="D1060" s="35">
        <v>26983.11</v>
      </c>
      <c r="E1060" s="2" t="s">
        <v>15</v>
      </c>
      <c r="F1060" s="2" t="s">
        <v>11</v>
      </c>
      <c r="G1060" s="2" t="s">
        <v>24</v>
      </c>
      <c r="H1060">
        <v>31</v>
      </c>
      <c r="I1060" s="2" t="str">
        <f>TEXT(Sheet1[[#This Row],[claim_date]],"mmmm")</f>
        <v>April</v>
      </c>
      <c r="J1060" s="2">
        <f>YEAR(Sheet1[[#This Row],[claim_date]])</f>
        <v>2024</v>
      </c>
      <c r="K1060" s="2" t="str">
        <f>"Q"&amp;ROUNDUP(MONTH(Sheet1[[#This Row],[claim_date]])/3,0)</f>
        <v>Q2</v>
      </c>
      <c r="L1060" s="2" t="str">
        <f>IF(Sheet1[[#This Row],[claim_amount]]&lt;100000,"Low",IF(Sheet1[[#This Row],[claim_amount]]&lt;200000,"Medium","High"))</f>
        <v>Low</v>
      </c>
      <c r="M1060" s="2" t="str">
        <f>IF(Sheet1[[#This Row],[days_to_process]]&lt;=30,"Fast","Slow")</f>
        <v>Slow</v>
      </c>
    </row>
    <row r="1061" spans="1:13" x14ac:dyDescent="0.3">
      <c r="A1061" t="s">
        <v>1966</v>
      </c>
      <c r="B1061" s="2" t="s">
        <v>1967</v>
      </c>
      <c r="C1061" s="1">
        <v>44880</v>
      </c>
      <c r="D1061" s="35">
        <v>24126.7</v>
      </c>
      <c r="E1061" s="2" t="s">
        <v>19</v>
      </c>
      <c r="F1061" s="2" t="s">
        <v>23</v>
      </c>
      <c r="G1061" s="2" t="s">
        <v>12</v>
      </c>
      <c r="H1061">
        <v>47</v>
      </c>
      <c r="I1061" s="2" t="str">
        <f>TEXT(Sheet1[[#This Row],[claim_date]],"mmmm")</f>
        <v>November</v>
      </c>
      <c r="J1061" s="2">
        <f>YEAR(Sheet1[[#This Row],[claim_date]])</f>
        <v>2022</v>
      </c>
      <c r="K1061" s="2" t="str">
        <f>"Q"&amp;ROUNDUP(MONTH(Sheet1[[#This Row],[claim_date]])/3,0)</f>
        <v>Q4</v>
      </c>
      <c r="L1061" s="2" t="str">
        <f>IF(Sheet1[[#This Row],[claim_amount]]&lt;100000,"Low",IF(Sheet1[[#This Row],[claim_amount]]&lt;200000,"Medium","High"))</f>
        <v>Low</v>
      </c>
      <c r="M1061" s="2" t="str">
        <f>IF(Sheet1[[#This Row],[days_to_process]]&lt;=30,"Fast","Slow")</f>
        <v>Slow</v>
      </c>
    </row>
    <row r="1062" spans="1:13" x14ac:dyDescent="0.3">
      <c r="A1062" t="s">
        <v>1968</v>
      </c>
      <c r="B1062" s="2" t="s">
        <v>1969</v>
      </c>
      <c r="C1062" s="1">
        <v>45614</v>
      </c>
      <c r="D1062" s="35">
        <v>281160.61</v>
      </c>
      <c r="E1062" s="2" t="s">
        <v>15</v>
      </c>
      <c r="F1062" s="2" t="s">
        <v>20</v>
      </c>
      <c r="G1062" s="2" t="s">
        <v>12</v>
      </c>
      <c r="H1062">
        <v>50</v>
      </c>
      <c r="I1062" s="2" t="str">
        <f>TEXT(Sheet1[[#This Row],[claim_date]],"mmmm")</f>
        <v>November</v>
      </c>
      <c r="J1062" s="2">
        <f>YEAR(Sheet1[[#This Row],[claim_date]])</f>
        <v>2024</v>
      </c>
      <c r="K1062" s="2" t="str">
        <f>"Q"&amp;ROUNDUP(MONTH(Sheet1[[#This Row],[claim_date]])/3,0)</f>
        <v>Q4</v>
      </c>
      <c r="L1062" s="2" t="str">
        <f>IF(Sheet1[[#This Row],[claim_amount]]&lt;100000,"Low",IF(Sheet1[[#This Row],[claim_amount]]&lt;200000,"Medium","High"))</f>
        <v>High</v>
      </c>
      <c r="M1062" s="2" t="str">
        <f>IF(Sheet1[[#This Row],[days_to_process]]&lt;=30,"Fast","Slow")</f>
        <v>Slow</v>
      </c>
    </row>
    <row r="1063" spans="1:13" x14ac:dyDescent="0.3">
      <c r="A1063" t="s">
        <v>1970</v>
      </c>
      <c r="B1063" s="2" t="s">
        <v>1971</v>
      </c>
      <c r="C1063" s="1">
        <v>45402</v>
      </c>
      <c r="D1063" s="35">
        <v>201329.38</v>
      </c>
      <c r="E1063" s="2" t="s">
        <v>15</v>
      </c>
      <c r="F1063" s="2" t="s">
        <v>34</v>
      </c>
      <c r="G1063" s="2" t="s">
        <v>12</v>
      </c>
      <c r="H1063">
        <v>4</v>
      </c>
      <c r="I1063" s="2" t="str">
        <f>TEXT(Sheet1[[#This Row],[claim_date]],"mmmm")</f>
        <v>April</v>
      </c>
      <c r="J1063" s="2">
        <f>YEAR(Sheet1[[#This Row],[claim_date]])</f>
        <v>2024</v>
      </c>
      <c r="K1063" s="2" t="str">
        <f>"Q"&amp;ROUNDUP(MONTH(Sheet1[[#This Row],[claim_date]])/3,0)</f>
        <v>Q2</v>
      </c>
      <c r="L1063" s="2" t="str">
        <f>IF(Sheet1[[#This Row],[claim_amount]]&lt;100000,"Low",IF(Sheet1[[#This Row],[claim_amount]]&lt;200000,"Medium","High"))</f>
        <v>High</v>
      </c>
      <c r="M1063" s="2" t="str">
        <f>IF(Sheet1[[#This Row],[days_to_process]]&lt;=30,"Fast","Slow")</f>
        <v>Fast</v>
      </c>
    </row>
    <row r="1064" spans="1:13" x14ac:dyDescent="0.3">
      <c r="A1064" t="s">
        <v>1972</v>
      </c>
      <c r="B1064" s="2" t="s">
        <v>1973</v>
      </c>
      <c r="C1064" s="1">
        <v>45573</v>
      </c>
      <c r="D1064" s="35">
        <v>281423.03000000003</v>
      </c>
      <c r="E1064" s="2" t="s">
        <v>19</v>
      </c>
      <c r="F1064" s="2" t="s">
        <v>11</v>
      </c>
      <c r="G1064" s="2" t="s">
        <v>12</v>
      </c>
      <c r="H1064">
        <v>34</v>
      </c>
      <c r="I1064" s="2" t="str">
        <f>TEXT(Sheet1[[#This Row],[claim_date]],"mmmm")</f>
        <v>October</v>
      </c>
      <c r="J1064" s="2">
        <f>YEAR(Sheet1[[#This Row],[claim_date]])</f>
        <v>2024</v>
      </c>
      <c r="K1064" s="2" t="str">
        <f>"Q"&amp;ROUNDUP(MONTH(Sheet1[[#This Row],[claim_date]])/3,0)</f>
        <v>Q4</v>
      </c>
      <c r="L1064" s="2" t="str">
        <f>IF(Sheet1[[#This Row],[claim_amount]]&lt;100000,"Low",IF(Sheet1[[#This Row],[claim_amount]]&lt;200000,"Medium","High"))</f>
        <v>High</v>
      </c>
      <c r="M1064" s="2" t="str">
        <f>IF(Sheet1[[#This Row],[days_to_process]]&lt;=30,"Fast","Slow")</f>
        <v>Slow</v>
      </c>
    </row>
    <row r="1065" spans="1:13" x14ac:dyDescent="0.3">
      <c r="A1065" t="s">
        <v>1974</v>
      </c>
      <c r="B1065" s="2" t="s">
        <v>1975</v>
      </c>
      <c r="C1065" s="1">
        <v>44959</v>
      </c>
      <c r="D1065" s="35">
        <v>324761.48</v>
      </c>
      <c r="E1065" s="2" t="s">
        <v>15</v>
      </c>
      <c r="F1065" s="2" t="s">
        <v>16</v>
      </c>
      <c r="G1065" s="2" t="s">
        <v>12</v>
      </c>
      <c r="H1065">
        <v>48</v>
      </c>
      <c r="I1065" s="2" t="str">
        <f>TEXT(Sheet1[[#This Row],[claim_date]],"mmmm")</f>
        <v>February</v>
      </c>
      <c r="J1065" s="2">
        <f>YEAR(Sheet1[[#This Row],[claim_date]])</f>
        <v>2023</v>
      </c>
      <c r="K1065" s="2" t="str">
        <f>"Q"&amp;ROUNDUP(MONTH(Sheet1[[#This Row],[claim_date]])/3,0)</f>
        <v>Q1</v>
      </c>
      <c r="L1065" s="2" t="str">
        <f>IF(Sheet1[[#This Row],[claim_amount]]&lt;100000,"Low",IF(Sheet1[[#This Row],[claim_amount]]&lt;200000,"Medium","High"))</f>
        <v>High</v>
      </c>
      <c r="M1065" s="2" t="str">
        <f>IF(Sheet1[[#This Row],[days_to_process]]&lt;=30,"Fast","Slow")</f>
        <v>Slow</v>
      </c>
    </row>
    <row r="1066" spans="1:13" x14ac:dyDescent="0.3">
      <c r="A1066" t="s">
        <v>1976</v>
      </c>
      <c r="B1066" s="2" t="s">
        <v>1977</v>
      </c>
      <c r="C1066" s="1">
        <v>45161</v>
      </c>
      <c r="D1066" s="35">
        <v>278760.01</v>
      </c>
      <c r="E1066" s="2" t="s">
        <v>19</v>
      </c>
      <c r="F1066" s="2" t="s">
        <v>34</v>
      </c>
      <c r="G1066" s="2" t="s">
        <v>24</v>
      </c>
      <c r="H1066">
        <v>24</v>
      </c>
      <c r="I1066" s="2" t="str">
        <f>TEXT(Sheet1[[#This Row],[claim_date]],"mmmm")</f>
        <v>August</v>
      </c>
      <c r="J1066" s="2">
        <f>YEAR(Sheet1[[#This Row],[claim_date]])</f>
        <v>2023</v>
      </c>
      <c r="K1066" s="2" t="str">
        <f>"Q"&amp;ROUNDUP(MONTH(Sheet1[[#This Row],[claim_date]])/3,0)</f>
        <v>Q3</v>
      </c>
      <c r="L1066" s="2" t="str">
        <f>IF(Sheet1[[#This Row],[claim_amount]]&lt;100000,"Low",IF(Sheet1[[#This Row],[claim_amount]]&lt;200000,"Medium","High"))</f>
        <v>High</v>
      </c>
      <c r="M1066" s="2" t="str">
        <f>IF(Sheet1[[#This Row],[days_to_process]]&lt;=30,"Fast","Slow")</f>
        <v>Fast</v>
      </c>
    </row>
    <row r="1067" spans="1:13" x14ac:dyDescent="0.3">
      <c r="A1067" t="s">
        <v>1978</v>
      </c>
      <c r="B1067" s="2" t="s">
        <v>1979</v>
      </c>
      <c r="C1067" s="1">
        <v>45174</v>
      </c>
      <c r="D1067" s="35">
        <v>187163.61</v>
      </c>
      <c r="E1067" s="2" t="s">
        <v>19</v>
      </c>
      <c r="F1067" s="2" t="s">
        <v>34</v>
      </c>
      <c r="G1067" s="2" t="s">
        <v>24</v>
      </c>
      <c r="H1067">
        <v>51</v>
      </c>
      <c r="I1067" s="2" t="str">
        <f>TEXT(Sheet1[[#This Row],[claim_date]],"mmmm")</f>
        <v>September</v>
      </c>
      <c r="J1067" s="2">
        <f>YEAR(Sheet1[[#This Row],[claim_date]])</f>
        <v>2023</v>
      </c>
      <c r="K1067" s="2" t="str">
        <f>"Q"&amp;ROUNDUP(MONTH(Sheet1[[#This Row],[claim_date]])/3,0)</f>
        <v>Q3</v>
      </c>
      <c r="L1067" s="2" t="str">
        <f>IF(Sheet1[[#This Row],[claim_amount]]&lt;100000,"Low",IF(Sheet1[[#This Row],[claim_amount]]&lt;200000,"Medium","High"))</f>
        <v>Medium</v>
      </c>
      <c r="M1067" s="2" t="str">
        <f>IF(Sheet1[[#This Row],[days_to_process]]&lt;=30,"Fast","Slow")</f>
        <v>Slow</v>
      </c>
    </row>
    <row r="1068" spans="1:13" x14ac:dyDescent="0.3">
      <c r="A1068" t="s">
        <v>1980</v>
      </c>
      <c r="B1068" s="2" t="s">
        <v>812</v>
      </c>
      <c r="C1068" s="1">
        <v>45142</v>
      </c>
      <c r="D1068" s="35">
        <v>125179.67</v>
      </c>
      <c r="E1068" s="2" t="s">
        <v>19</v>
      </c>
      <c r="F1068" s="2" t="s">
        <v>16</v>
      </c>
      <c r="G1068" s="2" t="s">
        <v>12</v>
      </c>
      <c r="H1068">
        <v>35</v>
      </c>
      <c r="I1068" s="2" t="str">
        <f>TEXT(Sheet1[[#This Row],[claim_date]],"mmmm")</f>
        <v>August</v>
      </c>
      <c r="J1068" s="2">
        <f>YEAR(Sheet1[[#This Row],[claim_date]])</f>
        <v>2023</v>
      </c>
      <c r="K1068" s="2" t="str">
        <f>"Q"&amp;ROUNDUP(MONTH(Sheet1[[#This Row],[claim_date]])/3,0)</f>
        <v>Q3</v>
      </c>
      <c r="L1068" s="2" t="str">
        <f>IF(Sheet1[[#This Row],[claim_amount]]&lt;100000,"Low",IF(Sheet1[[#This Row],[claim_amount]]&lt;200000,"Medium","High"))</f>
        <v>Medium</v>
      </c>
      <c r="M1068" s="2" t="str">
        <f>IF(Sheet1[[#This Row],[days_to_process]]&lt;=30,"Fast","Slow")</f>
        <v>Slow</v>
      </c>
    </row>
    <row r="1069" spans="1:13" x14ac:dyDescent="0.3">
      <c r="A1069" t="s">
        <v>1981</v>
      </c>
      <c r="B1069" s="2" t="s">
        <v>1982</v>
      </c>
      <c r="C1069" s="1">
        <v>45163</v>
      </c>
      <c r="D1069" s="35">
        <v>220835.29</v>
      </c>
      <c r="E1069" s="2" t="s">
        <v>10</v>
      </c>
      <c r="F1069" s="2" t="s">
        <v>20</v>
      </c>
      <c r="G1069" s="2" t="s">
        <v>24</v>
      </c>
      <c r="H1069">
        <v>44</v>
      </c>
      <c r="I1069" s="2" t="str">
        <f>TEXT(Sheet1[[#This Row],[claim_date]],"mmmm")</f>
        <v>August</v>
      </c>
      <c r="J1069" s="2">
        <f>YEAR(Sheet1[[#This Row],[claim_date]])</f>
        <v>2023</v>
      </c>
      <c r="K1069" s="2" t="str">
        <f>"Q"&amp;ROUNDUP(MONTH(Sheet1[[#This Row],[claim_date]])/3,0)</f>
        <v>Q3</v>
      </c>
      <c r="L1069" s="2" t="str">
        <f>IF(Sheet1[[#This Row],[claim_amount]]&lt;100000,"Low",IF(Sheet1[[#This Row],[claim_amount]]&lt;200000,"Medium","High"))</f>
        <v>High</v>
      </c>
      <c r="M1069" s="2" t="str">
        <f>IF(Sheet1[[#This Row],[days_to_process]]&lt;=30,"Fast","Slow")</f>
        <v>Slow</v>
      </c>
    </row>
    <row r="1070" spans="1:13" x14ac:dyDescent="0.3">
      <c r="A1070" t="s">
        <v>1983</v>
      </c>
      <c r="B1070" s="2" t="s">
        <v>1589</v>
      </c>
      <c r="C1070" s="1">
        <v>45200</v>
      </c>
      <c r="D1070" s="35">
        <v>397082.84</v>
      </c>
      <c r="E1070" s="2" t="s">
        <v>15</v>
      </c>
      <c r="F1070" s="2" t="s">
        <v>20</v>
      </c>
      <c r="G1070" s="2" t="s">
        <v>12</v>
      </c>
      <c r="H1070">
        <v>12</v>
      </c>
      <c r="I1070" s="2" t="str">
        <f>TEXT(Sheet1[[#This Row],[claim_date]],"mmmm")</f>
        <v>October</v>
      </c>
      <c r="J1070" s="2">
        <f>YEAR(Sheet1[[#This Row],[claim_date]])</f>
        <v>2023</v>
      </c>
      <c r="K1070" s="2" t="str">
        <f>"Q"&amp;ROUNDUP(MONTH(Sheet1[[#This Row],[claim_date]])/3,0)</f>
        <v>Q4</v>
      </c>
      <c r="L1070" s="2" t="str">
        <f>IF(Sheet1[[#This Row],[claim_amount]]&lt;100000,"Low",IF(Sheet1[[#This Row],[claim_amount]]&lt;200000,"Medium","High"))</f>
        <v>High</v>
      </c>
      <c r="M1070" s="2" t="str">
        <f>IF(Sheet1[[#This Row],[days_to_process]]&lt;=30,"Fast","Slow")</f>
        <v>Fast</v>
      </c>
    </row>
    <row r="1071" spans="1:13" x14ac:dyDescent="0.3">
      <c r="A1071" t="s">
        <v>1984</v>
      </c>
      <c r="B1071" s="2" t="s">
        <v>1985</v>
      </c>
      <c r="C1071" s="1">
        <v>45032</v>
      </c>
      <c r="D1071" s="35">
        <v>387793.07</v>
      </c>
      <c r="E1071" s="2" t="s">
        <v>19</v>
      </c>
      <c r="F1071" s="2" t="s">
        <v>11</v>
      </c>
      <c r="G1071" s="2" t="s">
        <v>24</v>
      </c>
      <c r="H1071">
        <v>26</v>
      </c>
      <c r="I1071" s="2" t="str">
        <f>TEXT(Sheet1[[#This Row],[claim_date]],"mmmm")</f>
        <v>April</v>
      </c>
      <c r="J1071" s="2">
        <f>YEAR(Sheet1[[#This Row],[claim_date]])</f>
        <v>2023</v>
      </c>
      <c r="K1071" s="2" t="str">
        <f>"Q"&amp;ROUNDUP(MONTH(Sheet1[[#This Row],[claim_date]])/3,0)</f>
        <v>Q2</v>
      </c>
      <c r="L1071" s="2" t="str">
        <f>IF(Sheet1[[#This Row],[claim_amount]]&lt;100000,"Low",IF(Sheet1[[#This Row],[claim_amount]]&lt;200000,"Medium","High"))</f>
        <v>High</v>
      </c>
      <c r="M1071" s="2" t="str">
        <f>IF(Sheet1[[#This Row],[days_to_process]]&lt;=30,"Fast","Slow")</f>
        <v>Fast</v>
      </c>
    </row>
    <row r="1072" spans="1:13" x14ac:dyDescent="0.3">
      <c r="A1072" t="s">
        <v>1986</v>
      </c>
      <c r="B1072" s="2" t="s">
        <v>396</v>
      </c>
      <c r="C1072" s="1">
        <v>45636</v>
      </c>
      <c r="D1072" s="35">
        <v>234777.53</v>
      </c>
      <c r="E1072" s="2" t="s">
        <v>10</v>
      </c>
      <c r="F1072" s="2" t="s">
        <v>20</v>
      </c>
      <c r="G1072" s="2" t="s">
        <v>12</v>
      </c>
      <c r="H1072">
        <v>31</v>
      </c>
      <c r="I1072" s="2" t="str">
        <f>TEXT(Sheet1[[#This Row],[claim_date]],"mmmm")</f>
        <v>December</v>
      </c>
      <c r="J1072" s="2">
        <f>YEAR(Sheet1[[#This Row],[claim_date]])</f>
        <v>2024</v>
      </c>
      <c r="K1072" s="2" t="str">
        <f>"Q"&amp;ROUNDUP(MONTH(Sheet1[[#This Row],[claim_date]])/3,0)</f>
        <v>Q4</v>
      </c>
      <c r="L1072" s="2" t="str">
        <f>IF(Sheet1[[#This Row],[claim_amount]]&lt;100000,"Low",IF(Sheet1[[#This Row],[claim_amount]]&lt;200000,"Medium","High"))</f>
        <v>High</v>
      </c>
      <c r="M1072" s="2" t="str">
        <f>IF(Sheet1[[#This Row],[days_to_process]]&lt;=30,"Fast","Slow")</f>
        <v>Slow</v>
      </c>
    </row>
    <row r="1073" spans="1:13" x14ac:dyDescent="0.3">
      <c r="A1073" t="s">
        <v>1987</v>
      </c>
      <c r="B1073" s="2" t="s">
        <v>1988</v>
      </c>
      <c r="C1073" s="1">
        <v>45457</v>
      </c>
      <c r="D1073" s="35">
        <v>427117.57</v>
      </c>
      <c r="E1073" s="2" t="s">
        <v>10</v>
      </c>
      <c r="F1073" s="2" t="s">
        <v>20</v>
      </c>
      <c r="G1073" s="2" t="s">
        <v>12</v>
      </c>
      <c r="H1073">
        <v>32</v>
      </c>
      <c r="I1073" s="2" t="str">
        <f>TEXT(Sheet1[[#This Row],[claim_date]],"mmmm")</f>
        <v>June</v>
      </c>
      <c r="J1073" s="2">
        <f>YEAR(Sheet1[[#This Row],[claim_date]])</f>
        <v>2024</v>
      </c>
      <c r="K1073" s="2" t="str">
        <f>"Q"&amp;ROUNDUP(MONTH(Sheet1[[#This Row],[claim_date]])/3,0)</f>
        <v>Q2</v>
      </c>
      <c r="L1073" s="2" t="str">
        <f>IF(Sheet1[[#This Row],[claim_amount]]&lt;100000,"Low",IF(Sheet1[[#This Row],[claim_amount]]&lt;200000,"Medium","High"))</f>
        <v>High</v>
      </c>
      <c r="M1073" s="2" t="str">
        <f>IF(Sheet1[[#This Row],[days_to_process]]&lt;=30,"Fast","Slow")</f>
        <v>Slow</v>
      </c>
    </row>
    <row r="1074" spans="1:13" x14ac:dyDescent="0.3">
      <c r="A1074" t="s">
        <v>1989</v>
      </c>
      <c r="B1074" s="2" t="s">
        <v>1877</v>
      </c>
      <c r="C1074" s="1">
        <v>45294</v>
      </c>
      <c r="D1074" s="35">
        <v>486196.52</v>
      </c>
      <c r="E1074" s="2" t="s">
        <v>19</v>
      </c>
      <c r="F1074" s="2" t="s">
        <v>20</v>
      </c>
      <c r="G1074" s="2" t="s">
        <v>12</v>
      </c>
      <c r="H1074">
        <v>34</v>
      </c>
      <c r="I1074" s="2" t="str">
        <f>TEXT(Sheet1[[#This Row],[claim_date]],"mmmm")</f>
        <v>January</v>
      </c>
      <c r="J1074" s="2">
        <f>YEAR(Sheet1[[#This Row],[claim_date]])</f>
        <v>2024</v>
      </c>
      <c r="K1074" s="2" t="str">
        <f>"Q"&amp;ROUNDUP(MONTH(Sheet1[[#This Row],[claim_date]])/3,0)</f>
        <v>Q1</v>
      </c>
      <c r="L1074" s="2" t="str">
        <f>IF(Sheet1[[#This Row],[claim_amount]]&lt;100000,"Low",IF(Sheet1[[#This Row],[claim_amount]]&lt;200000,"Medium","High"))</f>
        <v>High</v>
      </c>
      <c r="M1074" s="2" t="str">
        <f>IF(Sheet1[[#This Row],[days_to_process]]&lt;=30,"Fast","Slow")</f>
        <v>Slow</v>
      </c>
    </row>
    <row r="1075" spans="1:13" x14ac:dyDescent="0.3">
      <c r="A1075" t="s">
        <v>1990</v>
      </c>
      <c r="B1075" s="2" t="s">
        <v>1991</v>
      </c>
      <c r="C1075" s="1">
        <v>45593</v>
      </c>
      <c r="D1075" s="35">
        <v>131472.84</v>
      </c>
      <c r="E1075" s="2" t="s">
        <v>19</v>
      </c>
      <c r="F1075" s="2" t="s">
        <v>16</v>
      </c>
      <c r="G1075" s="2" t="s">
        <v>24</v>
      </c>
      <c r="H1075">
        <v>4</v>
      </c>
      <c r="I1075" s="2" t="str">
        <f>TEXT(Sheet1[[#This Row],[claim_date]],"mmmm")</f>
        <v>October</v>
      </c>
      <c r="J1075" s="2">
        <f>YEAR(Sheet1[[#This Row],[claim_date]])</f>
        <v>2024</v>
      </c>
      <c r="K1075" s="2" t="str">
        <f>"Q"&amp;ROUNDUP(MONTH(Sheet1[[#This Row],[claim_date]])/3,0)</f>
        <v>Q4</v>
      </c>
      <c r="L1075" s="2" t="str">
        <f>IF(Sheet1[[#This Row],[claim_amount]]&lt;100000,"Low",IF(Sheet1[[#This Row],[claim_amount]]&lt;200000,"Medium","High"))</f>
        <v>Medium</v>
      </c>
      <c r="M1075" s="2" t="str">
        <f>IF(Sheet1[[#This Row],[days_to_process]]&lt;=30,"Fast","Slow")</f>
        <v>Fast</v>
      </c>
    </row>
    <row r="1076" spans="1:13" x14ac:dyDescent="0.3">
      <c r="A1076" t="s">
        <v>1992</v>
      </c>
      <c r="B1076" s="2" t="s">
        <v>1660</v>
      </c>
      <c r="C1076" s="1">
        <v>44515</v>
      </c>
      <c r="D1076" s="35">
        <v>355607.25</v>
      </c>
      <c r="E1076" s="2" t="s">
        <v>15</v>
      </c>
      <c r="F1076" s="2" t="s">
        <v>16</v>
      </c>
      <c r="G1076" s="2" t="s">
        <v>12</v>
      </c>
      <c r="H1076">
        <v>18</v>
      </c>
      <c r="I1076" s="2" t="str">
        <f>TEXT(Sheet1[[#This Row],[claim_date]],"mmmm")</f>
        <v>November</v>
      </c>
      <c r="J1076" s="2">
        <f>YEAR(Sheet1[[#This Row],[claim_date]])</f>
        <v>2021</v>
      </c>
      <c r="K1076" s="2" t="str">
        <f>"Q"&amp;ROUNDUP(MONTH(Sheet1[[#This Row],[claim_date]])/3,0)</f>
        <v>Q4</v>
      </c>
      <c r="L1076" s="2" t="str">
        <f>IF(Sheet1[[#This Row],[claim_amount]]&lt;100000,"Low",IF(Sheet1[[#This Row],[claim_amount]]&lt;200000,"Medium","High"))</f>
        <v>High</v>
      </c>
      <c r="M1076" s="2" t="str">
        <f>IF(Sheet1[[#This Row],[days_to_process]]&lt;=30,"Fast","Slow")</f>
        <v>Fast</v>
      </c>
    </row>
    <row r="1077" spans="1:13" x14ac:dyDescent="0.3">
      <c r="A1077" t="s">
        <v>1993</v>
      </c>
      <c r="B1077" s="2" t="s">
        <v>1994</v>
      </c>
      <c r="C1077" s="1">
        <v>45027</v>
      </c>
      <c r="D1077" s="35">
        <v>180876</v>
      </c>
      <c r="E1077" s="2" t="s">
        <v>15</v>
      </c>
      <c r="F1077" s="2" t="s">
        <v>23</v>
      </c>
      <c r="G1077" s="2" t="s">
        <v>24</v>
      </c>
      <c r="H1077">
        <v>57</v>
      </c>
      <c r="I1077" s="2" t="str">
        <f>TEXT(Sheet1[[#This Row],[claim_date]],"mmmm")</f>
        <v>April</v>
      </c>
      <c r="J1077" s="2">
        <f>YEAR(Sheet1[[#This Row],[claim_date]])</f>
        <v>2023</v>
      </c>
      <c r="K1077" s="2" t="str">
        <f>"Q"&amp;ROUNDUP(MONTH(Sheet1[[#This Row],[claim_date]])/3,0)</f>
        <v>Q2</v>
      </c>
      <c r="L1077" s="2" t="str">
        <f>IF(Sheet1[[#This Row],[claim_amount]]&lt;100000,"Low",IF(Sheet1[[#This Row],[claim_amount]]&lt;200000,"Medium","High"))</f>
        <v>Medium</v>
      </c>
      <c r="M1077" s="2" t="str">
        <f>IF(Sheet1[[#This Row],[days_to_process]]&lt;=30,"Fast","Slow")</f>
        <v>Slow</v>
      </c>
    </row>
    <row r="1078" spans="1:13" x14ac:dyDescent="0.3">
      <c r="A1078" t="s">
        <v>1995</v>
      </c>
      <c r="B1078" s="2" t="s">
        <v>1996</v>
      </c>
      <c r="C1078" s="1">
        <v>45648</v>
      </c>
      <c r="D1078" s="35">
        <v>103446.66</v>
      </c>
      <c r="E1078" s="2" t="s">
        <v>19</v>
      </c>
      <c r="F1078" s="2" t="s">
        <v>16</v>
      </c>
      <c r="G1078" s="2" t="s">
        <v>24</v>
      </c>
      <c r="H1078">
        <v>47</v>
      </c>
      <c r="I1078" s="2" t="str">
        <f>TEXT(Sheet1[[#This Row],[claim_date]],"mmmm")</f>
        <v>December</v>
      </c>
      <c r="J1078" s="2">
        <f>YEAR(Sheet1[[#This Row],[claim_date]])</f>
        <v>2024</v>
      </c>
      <c r="K1078" s="2" t="str">
        <f>"Q"&amp;ROUNDUP(MONTH(Sheet1[[#This Row],[claim_date]])/3,0)</f>
        <v>Q4</v>
      </c>
      <c r="L1078" s="2" t="str">
        <f>IF(Sheet1[[#This Row],[claim_amount]]&lt;100000,"Low",IF(Sheet1[[#This Row],[claim_amount]]&lt;200000,"Medium","High"))</f>
        <v>Medium</v>
      </c>
      <c r="M1078" s="2" t="str">
        <f>IF(Sheet1[[#This Row],[days_to_process]]&lt;=30,"Fast","Slow")</f>
        <v>Slow</v>
      </c>
    </row>
    <row r="1079" spans="1:13" x14ac:dyDescent="0.3">
      <c r="A1079" t="s">
        <v>1997</v>
      </c>
      <c r="B1079" s="2" t="s">
        <v>1998</v>
      </c>
      <c r="C1079" s="1">
        <v>45094</v>
      </c>
      <c r="D1079" s="35">
        <v>153171.62</v>
      </c>
      <c r="E1079" s="2" t="s">
        <v>19</v>
      </c>
      <c r="F1079" s="2" t="s">
        <v>16</v>
      </c>
      <c r="G1079" s="2" t="s">
        <v>12</v>
      </c>
      <c r="H1079">
        <v>18</v>
      </c>
      <c r="I1079" s="2" t="str">
        <f>TEXT(Sheet1[[#This Row],[claim_date]],"mmmm")</f>
        <v>June</v>
      </c>
      <c r="J1079" s="2">
        <f>YEAR(Sheet1[[#This Row],[claim_date]])</f>
        <v>2023</v>
      </c>
      <c r="K1079" s="2" t="str">
        <f>"Q"&amp;ROUNDUP(MONTH(Sheet1[[#This Row],[claim_date]])/3,0)</f>
        <v>Q2</v>
      </c>
      <c r="L1079" s="2" t="str">
        <f>IF(Sheet1[[#This Row],[claim_amount]]&lt;100000,"Low",IF(Sheet1[[#This Row],[claim_amount]]&lt;200000,"Medium","High"))</f>
        <v>Medium</v>
      </c>
      <c r="M1079" s="2" t="str">
        <f>IF(Sheet1[[#This Row],[days_to_process]]&lt;=30,"Fast","Slow")</f>
        <v>Fast</v>
      </c>
    </row>
    <row r="1080" spans="1:13" x14ac:dyDescent="0.3">
      <c r="A1080" t="s">
        <v>1999</v>
      </c>
      <c r="B1080" s="2" t="s">
        <v>2000</v>
      </c>
      <c r="C1080" s="1">
        <v>44920</v>
      </c>
      <c r="D1080" s="35">
        <v>41758.370000000003</v>
      </c>
      <c r="E1080" s="2" t="s">
        <v>19</v>
      </c>
      <c r="F1080" s="2" t="s">
        <v>23</v>
      </c>
      <c r="G1080" s="2" t="s">
        <v>12</v>
      </c>
      <c r="H1080">
        <v>43</v>
      </c>
      <c r="I1080" s="2" t="str">
        <f>TEXT(Sheet1[[#This Row],[claim_date]],"mmmm")</f>
        <v>December</v>
      </c>
      <c r="J1080" s="2">
        <f>YEAR(Sheet1[[#This Row],[claim_date]])</f>
        <v>2022</v>
      </c>
      <c r="K1080" s="2" t="str">
        <f>"Q"&amp;ROUNDUP(MONTH(Sheet1[[#This Row],[claim_date]])/3,0)</f>
        <v>Q4</v>
      </c>
      <c r="L1080" s="2" t="str">
        <f>IF(Sheet1[[#This Row],[claim_amount]]&lt;100000,"Low",IF(Sheet1[[#This Row],[claim_amount]]&lt;200000,"Medium","High"))</f>
        <v>Low</v>
      </c>
      <c r="M1080" s="2" t="str">
        <f>IF(Sheet1[[#This Row],[days_to_process]]&lt;=30,"Fast","Slow")</f>
        <v>Slow</v>
      </c>
    </row>
    <row r="1081" spans="1:13" x14ac:dyDescent="0.3">
      <c r="A1081" t="s">
        <v>2001</v>
      </c>
      <c r="B1081" s="2" t="s">
        <v>1050</v>
      </c>
      <c r="C1081" s="1">
        <v>45164</v>
      </c>
      <c r="D1081" s="35">
        <v>245499.84</v>
      </c>
      <c r="E1081" s="2" t="s">
        <v>15</v>
      </c>
      <c r="F1081" s="2" t="s">
        <v>16</v>
      </c>
      <c r="G1081" s="2" t="s">
        <v>24</v>
      </c>
      <c r="H1081">
        <v>49</v>
      </c>
      <c r="I1081" s="2" t="str">
        <f>TEXT(Sheet1[[#This Row],[claim_date]],"mmmm")</f>
        <v>August</v>
      </c>
      <c r="J1081" s="2">
        <f>YEAR(Sheet1[[#This Row],[claim_date]])</f>
        <v>2023</v>
      </c>
      <c r="K1081" s="2" t="str">
        <f>"Q"&amp;ROUNDUP(MONTH(Sheet1[[#This Row],[claim_date]])/3,0)</f>
        <v>Q3</v>
      </c>
      <c r="L1081" s="2" t="str">
        <f>IF(Sheet1[[#This Row],[claim_amount]]&lt;100000,"Low",IF(Sheet1[[#This Row],[claim_amount]]&lt;200000,"Medium","High"))</f>
        <v>High</v>
      </c>
      <c r="M1081" s="2" t="str">
        <f>IF(Sheet1[[#This Row],[days_to_process]]&lt;=30,"Fast","Slow")</f>
        <v>Slow</v>
      </c>
    </row>
    <row r="1082" spans="1:13" x14ac:dyDescent="0.3">
      <c r="A1082" t="s">
        <v>2002</v>
      </c>
      <c r="B1082" s="2" t="s">
        <v>2003</v>
      </c>
      <c r="C1082" s="1">
        <v>45653</v>
      </c>
      <c r="D1082" s="35">
        <v>145795.85999999999</v>
      </c>
      <c r="E1082" s="2" t="s">
        <v>15</v>
      </c>
      <c r="F1082" s="2" t="s">
        <v>16</v>
      </c>
      <c r="G1082" s="2" t="s">
        <v>12</v>
      </c>
      <c r="H1082">
        <v>8</v>
      </c>
      <c r="I1082" s="2" t="str">
        <f>TEXT(Sheet1[[#This Row],[claim_date]],"mmmm")</f>
        <v>December</v>
      </c>
      <c r="J1082" s="2">
        <f>YEAR(Sheet1[[#This Row],[claim_date]])</f>
        <v>2024</v>
      </c>
      <c r="K1082" s="2" t="str">
        <f>"Q"&amp;ROUNDUP(MONTH(Sheet1[[#This Row],[claim_date]])/3,0)</f>
        <v>Q4</v>
      </c>
      <c r="L1082" s="2" t="str">
        <f>IF(Sheet1[[#This Row],[claim_amount]]&lt;100000,"Low",IF(Sheet1[[#This Row],[claim_amount]]&lt;200000,"Medium","High"))</f>
        <v>Medium</v>
      </c>
      <c r="M1082" s="2" t="str">
        <f>IF(Sheet1[[#This Row],[days_to_process]]&lt;=30,"Fast","Slow")</f>
        <v>Fast</v>
      </c>
    </row>
    <row r="1083" spans="1:13" x14ac:dyDescent="0.3">
      <c r="A1083" t="s">
        <v>2004</v>
      </c>
      <c r="B1083" s="2" t="s">
        <v>2005</v>
      </c>
      <c r="C1083" s="1">
        <v>45269</v>
      </c>
      <c r="D1083" s="35">
        <v>296107.2</v>
      </c>
      <c r="E1083" s="2" t="s">
        <v>15</v>
      </c>
      <c r="F1083" s="2" t="s">
        <v>23</v>
      </c>
      <c r="G1083" s="2" t="s">
        <v>24</v>
      </c>
      <c r="H1083">
        <v>51</v>
      </c>
      <c r="I1083" s="2" t="str">
        <f>TEXT(Sheet1[[#This Row],[claim_date]],"mmmm")</f>
        <v>December</v>
      </c>
      <c r="J1083" s="2">
        <f>YEAR(Sheet1[[#This Row],[claim_date]])</f>
        <v>2023</v>
      </c>
      <c r="K1083" s="2" t="str">
        <f>"Q"&amp;ROUNDUP(MONTH(Sheet1[[#This Row],[claim_date]])/3,0)</f>
        <v>Q4</v>
      </c>
      <c r="L1083" s="2" t="str">
        <f>IF(Sheet1[[#This Row],[claim_amount]]&lt;100000,"Low",IF(Sheet1[[#This Row],[claim_amount]]&lt;200000,"Medium","High"))</f>
        <v>High</v>
      </c>
      <c r="M1083" s="2" t="str">
        <f>IF(Sheet1[[#This Row],[days_to_process]]&lt;=30,"Fast","Slow")</f>
        <v>Slow</v>
      </c>
    </row>
    <row r="1084" spans="1:13" x14ac:dyDescent="0.3">
      <c r="A1084" t="s">
        <v>2006</v>
      </c>
      <c r="B1084" s="2" t="s">
        <v>2007</v>
      </c>
      <c r="C1084" s="1">
        <v>45026</v>
      </c>
      <c r="D1084" s="35">
        <v>269303.65000000002</v>
      </c>
      <c r="E1084" s="2" t="s">
        <v>10</v>
      </c>
      <c r="F1084" s="2" t="s">
        <v>20</v>
      </c>
      <c r="G1084" s="2" t="s">
        <v>24</v>
      </c>
      <c r="H1084">
        <v>35</v>
      </c>
      <c r="I1084" s="2" t="str">
        <f>TEXT(Sheet1[[#This Row],[claim_date]],"mmmm")</f>
        <v>April</v>
      </c>
      <c r="J1084" s="2">
        <f>YEAR(Sheet1[[#This Row],[claim_date]])</f>
        <v>2023</v>
      </c>
      <c r="K1084" s="2" t="str">
        <f>"Q"&amp;ROUNDUP(MONTH(Sheet1[[#This Row],[claim_date]])/3,0)</f>
        <v>Q2</v>
      </c>
      <c r="L1084" s="2" t="str">
        <f>IF(Sheet1[[#This Row],[claim_amount]]&lt;100000,"Low",IF(Sheet1[[#This Row],[claim_amount]]&lt;200000,"Medium","High"))</f>
        <v>High</v>
      </c>
      <c r="M1084" s="2" t="str">
        <f>IF(Sheet1[[#This Row],[days_to_process]]&lt;=30,"Fast","Slow")</f>
        <v>Slow</v>
      </c>
    </row>
    <row r="1085" spans="1:13" x14ac:dyDescent="0.3">
      <c r="A1085" t="s">
        <v>2008</v>
      </c>
      <c r="B1085" s="2" t="s">
        <v>2009</v>
      </c>
      <c r="C1085" s="1">
        <v>45238</v>
      </c>
      <c r="D1085" s="35">
        <v>80133.47</v>
      </c>
      <c r="E1085" s="2" t="s">
        <v>19</v>
      </c>
      <c r="F1085" s="2" t="s">
        <v>23</v>
      </c>
      <c r="G1085" s="2" t="s">
        <v>24</v>
      </c>
      <c r="H1085">
        <v>19</v>
      </c>
      <c r="I1085" s="2" t="str">
        <f>TEXT(Sheet1[[#This Row],[claim_date]],"mmmm")</f>
        <v>November</v>
      </c>
      <c r="J1085" s="2">
        <f>YEAR(Sheet1[[#This Row],[claim_date]])</f>
        <v>2023</v>
      </c>
      <c r="K1085" s="2" t="str">
        <f>"Q"&amp;ROUNDUP(MONTH(Sheet1[[#This Row],[claim_date]])/3,0)</f>
        <v>Q4</v>
      </c>
      <c r="L1085" s="2" t="str">
        <f>IF(Sheet1[[#This Row],[claim_amount]]&lt;100000,"Low",IF(Sheet1[[#This Row],[claim_amount]]&lt;200000,"Medium","High"))</f>
        <v>Low</v>
      </c>
      <c r="M1085" s="2" t="str">
        <f>IF(Sheet1[[#This Row],[days_to_process]]&lt;=30,"Fast","Slow")</f>
        <v>Fast</v>
      </c>
    </row>
    <row r="1086" spans="1:13" x14ac:dyDescent="0.3">
      <c r="A1086" t="s">
        <v>2010</v>
      </c>
      <c r="B1086" s="2" t="s">
        <v>2011</v>
      </c>
      <c r="C1086" s="1">
        <v>44708</v>
      </c>
      <c r="D1086" s="35">
        <v>135867.93</v>
      </c>
      <c r="E1086" s="2" t="s">
        <v>15</v>
      </c>
      <c r="F1086" s="2" t="s">
        <v>34</v>
      </c>
      <c r="G1086" s="2" t="s">
        <v>24</v>
      </c>
      <c r="H1086">
        <v>42</v>
      </c>
      <c r="I1086" s="2" t="str">
        <f>TEXT(Sheet1[[#This Row],[claim_date]],"mmmm")</f>
        <v>May</v>
      </c>
      <c r="J1086" s="2">
        <f>YEAR(Sheet1[[#This Row],[claim_date]])</f>
        <v>2022</v>
      </c>
      <c r="K1086" s="2" t="str">
        <f>"Q"&amp;ROUNDUP(MONTH(Sheet1[[#This Row],[claim_date]])/3,0)</f>
        <v>Q2</v>
      </c>
      <c r="L1086" s="2" t="str">
        <f>IF(Sheet1[[#This Row],[claim_amount]]&lt;100000,"Low",IF(Sheet1[[#This Row],[claim_amount]]&lt;200000,"Medium","High"))</f>
        <v>Medium</v>
      </c>
      <c r="M1086" s="2" t="str">
        <f>IF(Sheet1[[#This Row],[days_to_process]]&lt;=30,"Fast","Slow")</f>
        <v>Slow</v>
      </c>
    </row>
    <row r="1087" spans="1:13" x14ac:dyDescent="0.3">
      <c r="A1087" t="s">
        <v>2012</v>
      </c>
      <c r="B1087" s="2" t="s">
        <v>2013</v>
      </c>
      <c r="C1087" s="1">
        <v>45148</v>
      </c>
      <c r="D1087" s="35">
        <v>156004.62</v>
      </c>
      <c r="E1087" s="2" t="s">
        <v>10</v>
      </c>
      <c r="F1087" s="2" t="s">
        <v>23</v>
      </c>
      <c r="G1087" s="2" t="s">
        <v>12</v>
      </c>
      <c r="H1087">
        <v>43</v>
      </c>
      <c r="I1087" s="2" t="str">
        <f>TEXT(Sheet1[[#This Row],[claim_date]],"mmmm")</f>
        <v>August</v>
      </c>
      <c r="J1087" s="2">
        <f>YEAR(Sheet1[[#This Row],[claim_date]])</f>
        <v>2023</v>
      </c>
      <c r="K1087" s="2" t="str">
        <f>"Q"&amp;ROUNDUP(MONTH(Sheet1[[#This Row],[claim_date]])/3,0)</f>
        <v>Q3</v>
      </c>
      <c r="L1087" s="2" t="str">
        <f>IF(Sheet1[[#This Row],[claim_amount]]&lt;100000,"Low",IF(Sheet1[[#This Row],[claim_amount]]&lt;200000,"Medium","High"))</f>
        <v>Medium</v>
      </c>
      <c r="M1087" s="2" t="str">
        <f>IF(Sheet1[[#This Row],[days_to_process]]&lt;=30,"Fast","Slow")</f>
        <v>Slow</v>
      </c>
    </row>
    <row r="1088" spans="1:13" x14ac:dyDescent="0.3">
      <c r="A1088" t="s">
        <v>2014</v>
      </c>
      <c r="B1088" s="2" t="s">
        <v>2015</v>
      </c>
      <c r="C1088" s="1">
        <v>45263</v>
      </c>
      <c r="D1088" s="35">
        <v>177091.43</v>
      </c>
      <c r="E1088" s="2" t="s">
        <v>15</v>
      </c>
      <c r="F1088" s="2" t="s">
        <v>23</v>
      </c>
      <c r="G1088" s="2" t="s">
        <v>24</v>
      </c>
      <c r="H1088">
        <v>54</v>
      </c>
      <c r="I1088" s="2" t="str">
        <f>TEXT(Sheet1[[#This Row],[claim_date]],"mmmm")</f>
        <v>December</v>
      </c>
      <c r="J1088" s="2">
        <f>YEAR(Sheet1[[#This Row],[claim_date]])</f>
        <v>2023</v>
      </c>
      <c r="K1088" s="2" t="str">
        <f>"Q"&amp;ROUNDUP(MONTH(Sheet1[[#This Row],[claim_date]])/3,0)</f>
        <v>Q4</v>
      </c>
      <c r="L1088" s="2" t="str">
        <f>IF(Sheet1[[#This Row],[claim_amount]]&lt;100000,"Low",IF(Sheet1[[#This Row],[claim_amount]]&lt;200000,"Medium","High"))</f>
        <v>Medium</v>
      </c>
      <c r="M1088" s="2" t="str">
        <f>IF(Sheet1[[#This Row],[days_to_process]]&lt;=30,"Fast","Slow")</f>
        <v>Slow</v>
      </c>
    </row>
    <row r="1089" spans="1:13" x14ac:dyDescent="0.3">
      <c r="A1089" t="s">
        <v>2016</v>
      </c>
      <c r="B1089" s="2" t="s">
        <v>2017</v>
      </c>
      <c r="C1089" s="1">
        <v>45498</v>
      </c>
      <c r="D1089" s="35">
        <v>127813.89</v>
      </c>
      <c r="E1089" s="2" t="s">
        <v>10</v>
      </c>
      <c r="F1089" s="2" t="s">
        <v>11</v>
      </c>
      <c r="G1089" s="2" t="s">
        <v>24</v>
      </c>
      <c r="H1089">
        <v>33</v>
      </c>
      <c r="I1089" s="2" t="str">
        <f>TEXT(Sheet1[[#This Row],[claim_date]],"mmmm")</f>
        <v>July</v>
      </c>
      <c r="J1089" s="2">
        <f>YEAR(Sheet1[[#This Row],[claim_date]])</f>
        <v>2024</v>
      </c>
      <c r="K1089" s="2" t="str">
        <f>"Q"&amp;ROUNDUP(MONTH(Sheet1[[#This Row],[claim_date]])/3,0)</f>
        <v>Q3</v>
      </c>
      <c r="L1089" s="2" t="str">
        <f>IF(Sheet1[[#This Row],[claim_amount]]&lt;100000,"Low",IF(Sheet1[[#This Row],[claim_amount]]&lt;200000,"Medium","High"))</f>
        <v>Medium</v>
      </c>
      <c r="M1089" s="2" t="str">
        <f>IF(Sheet1[[#This Row],[days_to_process]]&lt;=30,"Fast","Slow")</f>
        <v>Slow</v>
      </c>
    </row>
    <row r="1090" spans="1:13" x14ac:dyDescent="0.3">
      <c r="A1090" t="s">
        <v>2018</v>
      </c>
      <c r="B1090" s="2" t="s">
        <v>2019</v>
      </c>
      <c r="C1090" s="1">
        <v>45485</v>
      </c>
      <c r="D1090" s="35">
        <v>389560.07</v>
      </c>
      <c r="E1090" s="2" t="s">
        <v>19</v>
      </c>
      <c r="F1090" s="2" t="s">
        <v>11</v>
      </c>
      <c r="G1090" s="2" t="s">
        <v>24</v>
      </c>
      <c r="H1090">
        <v>46</v>
      </c>
      <c r="I1090" s="2" t="str">
        <f>TEXT(Sheet1[[#This Row],[claim_date]],"mmmm")</f>
        <v>July</v>
      </c>
      <c r="J1090" s="2">
        <f>YEAR(Sheet1[[#This Row],[claim_date]])</f>
        <v>2024</v>
      </c>
      <c r="K1090" s="2" t="str">
        <f>"Q"&amp;ROUNDUP(MONTH(Sheet1[[#This Row],[claim_date]])/3,0)</f>
        <v>Q3</v>
      </c>
      <c r="L1090" s="2" t="str">
        <f>IF(Sheet1[[#This Row],[claim_amount]]&lt;100000,"Low",IF(Sheet1[[#This Row],[claim_amount]]&lt;200000,"Medium","High"))</f>
        <v>High</v>
      </c>
      <c r="M1090" s="2" t="str">
        <f>IF(Sheet1[[#This Row],[days_to_process]]&lt;=30,"Fast","Slow")</f>
        <v>Slow</v>
      </c>
    </row>
    <row r="1091" spans="1:13" x14ac:dyDescent="0.3">
      <c r="A1091" t="s">
        <v>2020</v>
      </c>
      <c r="B1091" s="2" t="s">
        <v>884</v>
      </c>
      <c r="C1091" s="1">
        <v>45253</v>
      </c>
      <c r="D1091" s="35">
        <v>308586.65000000002</v>
      </c>
      <c r="E1091" s="2" t="s">
        <v>10</v>
      </c>
      <c r="F1091" s="2" t="s">
        <v>16</v>
      </c>
      <c r="G1091" s="2" t="s">
        <v>12</v>
      </c>
      <c r="H1091">
        <v>33</v>
      </c>
      <c r="I1091" s="2" t="str">
        <f>TEXT(Sheet1[[#This Row],[claim_date]],"mmmm")</f>
        <v>November</v>
      </c>
      <c r="J1091" s="2">
        <f>YEAR(Sheet1[[#This Row],[claim_date]])</f>
        <v>2023</v>
      </c>
      <c r="K1091" s="2" t="str">
        <f>"Q"&amp;ROUNDUP(MONTH(Sheet1[[#This Row],[claim_date]])/3,0)</f>
        <v>Q4</v>
      </c>
      <c r="L1091" s="2" t="str">
        <f>IF(Sheet1[[#This Row],[claim_amount]]&lt;100000,"Low",IF(Sheet1[[#This Row],[claim_amount]]&lt;200000,"Medium","High"))</f>
        <v>High</v>
      </c>
      <c r="M1091" s="2" t="str">
        <f>IF(Sheet1[[#This Row],[days_to_process]]&lt;=30,"Fast","Slow")</f>
        <v>Slow</v>
      </c>
    </row>
    <row r="1092" spans="1:13" x14ac:dyDescent="0.3">
      <c r="A1092" t="s">
        <v>2021</v>
      </c>
      <c r="B1092" s="2" t="s">
        <v>2022</v>
      </c>
      <c r="C1092" s="1">
        <v>44807</v>
      </c>
      <c r="D1092" s="35">
        <v>133341.01</v>
      </c>
      <c r="E1092" s="2" t="s">
        <v>10</v>
      </c>
      <c r="F1092" s="2" t="s">
        <v>34</v>
      </c>
      <c r="G1092" s="2" t="s">
        <v>12</v>
      </c>
      <c r="H1092">
        <v>40</v>
      </c>
      <c r="I1092" s="2" t="str">
        <f>TEXT(Sheet1[[#This Row],[claim_date]],"mmmm")</f>
        <v>September</v>
      </c>
      <c r="J1092" s="2">
        <f>YEAR(Sheet1[[#This Row],[claim_date]])</f>
        <v>2022</v>
      </c>
      <c r="K1092" s="2" t="str">
        <f>"Q"&amp;ROUNDUP(MONTH(Sheet1[[#This Row],[claim_date]])/3,0)</f>
        <v>Q3</v>
      </c>
      <c r="L1092" s="2" t="str">
        <f>IF(Sheet1[[#This Row],[claim_amount]]&lt;100000,"Low",IF(Sheet1[[#This Row],[claim_amount]]&lt;200000,"Medium","High"))</f>
        <v>Medium</v>
      </c>
      <c r="M1092" s="2" t="str">
        <f>IF(Sheet1[[#This Row],[days_to_process]]&lt;=30,"Fast","Slow")</f>
        <v>Slow</v>
      </c>
    </row>
    <row r="1093" spans="1:13" x14ac:dyDescent="0.3">
      <c r="A1093" t="s">
        <v>2023</v>
      </c>
      <c r="B1093" s="2" t="s">
        <v>2024</v>
      </c>
      <c r="C1093" s="1">
        <v>45040</v>
      </c>
      <c r="D1093" s="35">
        <v>297490.28999999998</v>
      </c>
      <c r="E1093" s="2" t="s">
        <v>15</v>
      </c>
      <c r="F1093" s="2" t="s">
        <v>20</v>
      </c>
      <c r="G1093" s="2" t="s">
        <v>24</v>
      </c>
      <c r="H1093">
        <v>56</v>
      </c>
      <c r="I1093" s="2" t="str">
        <f>TEXT(Sheet1[[#This Row],[claim_date]],"mmmm")</f>
        <v>April</v>
      </c>
      <c r="J1093" s="2">
        <f>YEAR(Sheet1[[#This Row],[claim_date]])</f>
        <v>2023</v>
      </c>
      <c r="K1093" s="2" t="str">
        <f>"Q"&amp;ROUNDUP(MONTH(Sheet1[[#This Row],[claim_date]])/3,0)</f>
        <v>Q2</v>
      </c>
      <c r="L1093" s="2" t="str">
        <f>IF(Sheet1[[#This Row],[claim_amount]]&lt;100000,"Low",IF(Sheet1[[#This Row],[claim_amount]]&lt;200000,"Medium","High"))</f>
        <v>High</v>
      </c>
      <c r="M1093" s="2" t="str">
        <f>IF(Sheet1[[#This Row],[days_to_process]]&lt;=30,"Fast","Slow")</f>
        <v>Slow</v>
      </c>
    </row>
    <row r="1094" spans="1:13" x14ac:dyDescent="0.3">
      <c r="A1094" t="s">
        <v>2025</v>
      </c>
      <c r="B1094" s="2" t="s">
        <v>2026</v>
      </c>
      <c r="C1094" s="1">
        <v>45488</v>
      </c>
      <c r="D1094" s="35">
        <v>313329.37</v>
      </c>
      <c r="E1094" s="2" t="s">
        <v>15</v>
      </c>
      <c r="F1094" s="2" t="s">
        <v>20</v>
      </c>
      <c r="G1094" s="2" t="s">
        <v>12</v>
      </c>
      <c r="H1094">
        <v>9</v>
      </c>
      <c r="I1094" s="2" t="str">
        <f>TEXT(Sheet1[[#This Row],[claim_date]],"mmmm")</f>
        <v>July</v>
      </c>
      <c r="J1094" s="2">
        <f>YEAR(Sheet1[[#This Row],[claim_date]])</f>
        <v>2024</v>
      </c>
      <c r="K1094" s="2" t="str">
        <f>"Q"&amp;ROUNDUP(MONTH(Sheet1[[#This Row],[claim_date]])/3,0)</f>
        <v>Q3</v>
      </c>
      <c r="L1094" s="2" t="str">
        <f>IF(Sheet1[[#This Row],[claim_amount]]&lt;100000,"Low",IF(Sheet1[[#This Row],[claim_amount]]&lt;200000,"Medium","High"))</f>
        <v>High</v>
      </c>
      <c r="M1094" s="2" t="str">
        <f>IF(Sheet1[[#This Row],[days_to_process]]&lt;=30,"Fast","Slow")</f>
        <v>Fast</v>
      </c>
    </row>
    <row r="1095" spans="1:13" x14ac:dyDescent="0.3">
      <c r="A1095" t="s">
        <v>2027</v>
      </c>
      <c r="B1095" s="2" t="s">
        <v>231</v>
      </c>
      <c r="C1095" s="1">
        <v>44883</v>
      </c>
      <c r="D1095" s="35">
        <v>409795.01</v>
      </c>
      <c r="E1095" s="2" t="s">
        <v>10</v>
      </c>
      <c r="F1095" s="2" t="s">
        <v>34</v>
      </c>
      <c r="G1095" s="2" t="s">
        <v>12</v>
      </c>
      <c r="H1095">
        <v>23</v>
      </c>
      <c r="I1095" s="2" t="str">
        <f>TEXT(Sheet1[[#This Row],[claim_date]],"mmmm")</f>
        <v>November</v>
      </c>
      <c r="J1095" s="2">
        <f>YEAR(Sheet1[[#This Row],[claim_date]])</f>
        <v>2022</v>
      </c>
      <c r="K1095" s="2" t="str">
        <f>"Q"&amp;ROUNDUP(MONTH(Sheet1[[#This Row],[claim_date]])/3,0)</f>
        <v>Q4</v>
      </c>
      <c r="L1095" s="2" t="str">
        <f>IF(Sheet1[[#This Row],[claim_amount]]&lt;100000,"Low",IF(Sheet1[[#This Row],[claim_amount]]&lt;200000,"Medium","High"))</f>
        <v>High</v>
      </c>
      <c r="M1095" s="2" t="str">
        <f>IF(Sheet1[[#This Row],[days_to_process]]&lt;=30,"Fast","Slow")</f>
        <v>Fast</v>
      </c>
    </row>
    <row r="1096" spans="1:13" x14ac:dyDescent="0.3">
      <c r="A1096" t="s">
        <v>2028</v>
      </c>
      <c r="B1096" s="2" t="s">
        <v>2029</v>
      </c>
      <c r="C1096" s="1">
        <v>44358</v>
      </c>
      <c r="D1096" s="35">
        <v>134950.23000000001</v>
      </c>
      <c r="E1096" s="2" t="s">
        <v>15</v>
      </c>
      <c r="F1096" s="2" t="s">
        <v>20</v>
      </c>
      <c r="G1096" s="2" t="s">
        <v>12</v>
      </c>
      <c r="H1096">
        <v>8</v>
      </c>
      <c r="I1096" s="2" t="str">
        <f>TEXT(Sheet1[[#This Row],[claim_date]],"mmmm")</f>
        <v>June</v>
      </c>
      <c r="J1096" s="2">
        <f>YEAR(Sheet1[[#This Row],[claim_date]])</f>
        <v>2021</v>
      </c>
      <c r="K1096" s="2" t="str">
        <f>"Q"&amp;ROUNDUP(MONTH(Sheet1[[#This Row],[claim_date]])/3,0)</f>
        <v>Q2</v>
      </c>
      <c r="L1096" s="2" t="str">
        <f>IF(Sheet1[[#This Row],[claim_amount]]&lt;100000,"Low",IF(Sheet1[[#This Row],[claim_amount]]&lt;200000,"Medium","High"))</f>
        <v>Medium</v>
      </c>
      <c r="M1096" s="2" t="str">
        <f>IF(Sheet1[[#This Row],[days_to_process]]&lt;=30,"Fast","Slow")</f>
        <v>Fast</v>
      </c>
    </row>
    <row r="1097" spans="1:13" x14ac:dyDescent="0.3">
      <c r="A1097" t="s">
        <v>2030</v>
      </c>
      <c r="B1097" s="2" t="s">
        <v>2031</v>
      </c>
      <c r="C1097" s="1">
        <v>45221</v>
      </c>
      <c r="D1097" s="35">
        <v>314376.99</v>
      </c>
      <c r="E1097" s="2" t="s">
        <v>19</v>
      </c>
      <c r="F1097" s="2" t="s">
        <v>16</v>
      </c>
      <c r="G1097" s="2" t="s">
        <v>12</v>
      </c>
      <c r="H1097">
        <v>16</v>
      </c>
      <c r="I1097" s="2" t="str">
        <f>TEXT(Sheet1[[#This Row],[claim_date]],"mmmm")</f>
        <v>October</v>
      </c>
      <c r="J1097" s="2">
        <f>YEAR(Sheet1[[#This Row],[claim_date]])</f>
        <v>2023</v>
      </c>
      <c r="K1097" s="2" t="str">
        <f>"Q"&amp;ROUNDUP(MONTH(Sheet1[[#This Row],[claim_date]])/3,0)</f>
        <v>Q4</v>
      </c>
      <c r="L1097" s="2" t="str">
        <f>IF(Sheet1[[#This Row],[claim_amount]]&lt;100000,"Low",IF(Sheet1[[#This Row],[claim_amount]]&lt;200000,"Medium","High"))</f>
        <v>High</v>
      </c>
      <c r="M1097" s="2" t="str">
        <f>IF(Sheet1[[#This Row],[days_to_process]]&lt;=30,"Fast","Slow")</f>
        <v>Fast</v>
      </c>
    </row>
    <row r="1098" spans="1:13" x14ac:dyDescent="0.3">
      <c r="A1098" t="s">
        <v>2032</v>
      </c>
      <c r="B1098" s="2" t="s">
        <v>2033</v>
      </c>
      <c r="C1098" s="1">
        <v>45158</v>
      </c>
      <c r="D1098" s="35">
        <v>99667.81</v>
      </c>
      <c r="E1098" s="2" t="s">
        <v>15</v>
      </c>
      <c r="F1098" s="2" t="s">
        <v>34</v>
      </c>
      <c r="G1098" s="2" t="s">
        <v>12</v>
      </c>
      <c r="H1098">
        <v>45</v>
      </c>
      <c r="I1098" s="2" t="str">
        <f>TEXT(Sheet1[[#This Row],[claim_date]],"mmmm")</f>
        <v>August</v>
      </c>
      <c r="J1098" s="2">
        <f>YEAR(Sheet1[[#This Row],[claim_date]])</f>
        <v>2023</v>
      </c>
      <c r="K1098" s="2" t="str">
        <f>"Q"&amp;ROUNDUP(MONTH(Sheet1[[#This Row],[claim_date]])/3,0)</f>
        <v>Q3</v>
      </c>
      <c r="L1098" s="2" t="str">
        <f>IF(Sheet1[[#This Row],[claim_amount]]&lt;100000,"Low",IF(Sheet1[[#This Row],[claim_amount]]&lt;200000,"Medium","High"))</f>
        <v>Low</v>
      </c>
      <c r="M1098" s="2" t="str">
        <f>IF(Sheet1[[#This Row],[days_to_process]]&lt;=30,"Fast","Slow")</f>
        <v>Slow</v>
      </c>
    </row>
    <row r="1099" spans="1:13" x14ac:dyDescent="0.3">
      <c r="A1099" t="s">
        <v>2034</v>
      </c>
      <c r="B1099" s="2" t="s">
        <v>2035</v>
      </c>
      <c r="C1099" s="1">
        <v>45489</v>
      </c>
      <c r="D1099" s="35">
        <v>394584.75</v>
      </c>
      <c r="E1099" s="2" t="s">
        <v>15</v>
      </c>
      <c r="F1099" s="2" t="s">
        <v>34</v>
      </c>
      <c r="G1099" s="2" t="s">
        <v>12</v>
      </c>
      <c r="H1099">
        <v>8</v>
      </c>
      <c r="I1099" s="2" t="str">
        <f>TEXT(Sheet1[[#This Row],[claim_date]],"mmmm")</f>
        <v>July</v>
      </c>
      <c r="J1099" s="2">
        <f>YEAR(Sheet1[[#This Row],[claim_date]])</f>
        <v>2024</v>
      </c>
      <c r="K1099" s="2" t="str">
        <f>"Q"&amp;ROUNDUP(MONTH(Sheet1[[#This Row],[claim_date]])/3,0)</f>
        <v>Q3</v>
      </c>
      <c r="L1099" s="2" t="str">
        <f>IF(Sheet1[[#This Row],[claim_amount]]&lt;100000,"Low",IF(Sheet1[[#This Row],[claim_amount]]&lt;200000,"Medium","High"))</f>
        <v>High</v>
      </c>
      <c r="M1099" s="2" t="str">
        <f>IF(Sheet1[[#This Row],[days_to_process]]&lt;=30,"Fast","Slow")</f>
        <v>Fast</v>
      </c>
    </row>
    <row r="1100" spans="1:13" x14ac:dyDescent="0.3">
      <c r="A1100" t="s">
        <v>2036</v>
      </c>
      <c r="B1100" s="2" t="s">
        <v>2037</v>
      </c>
      <c r="C1100" s="1">
        <v>45118</v>
      </c>
      <c r="D1100" s="35">
        <v>145742.13</v>
      </c>
      <c r="E1100" s="2" t="s">
        <v>10</v>
      </c>
      <c r="F1100" s="2" t="s">
        <v>11</v>
      </c>
      <c r="G1100" s="2" t="s">
        <v>24</v>
      </c>
      <c r="H1100">
        <v>29</v>
      </c>
      <c r="I1100" s="2" t="str">
        <f>TEXT(Sheet1[[#This Row],[claim_date]],"mmmm")</f>
        <v>July</v>
      </c>
      <c r="J1100" s="2">
        <f>YEAR(Sheet1[[#This Row],[claim_date]])</f>
        <v>2023</v>
      </c>
      <c r="K1100" s="2" t="str">
        <f>"Q"&amp;ROUNDUP(MONTH(Sheet1[[#This Row],[claim_date]])/3,0)</f>
        <v>Q3</v>
      </c>
      <c r="L1100" s="2" t="str">
        <f>IF(Sheet1[[#This Row],[claim_amount]]&lt;100000,"Low",IF(Sheet1[[#This Row],[claim_amount]]&lt;200000,"Medium","High"))</f>
        <v>Medium</v>
      </c>
      <c r="M1100" s="2" t="str">
        <f>IF(Sheet1[[#This Row],[days_to_process]]&lt;=30,"Fast","Slow")</f>
        <v>Fast</v>
      </c>
    </row>
    <row r="1101" spans="1:13" x14ac:dyDescent="0.3">
      <c r="A1101" t="s">
        <v>2038</v>
      </c>
      <c r="B1101" s="2" t="s">
        <v>2039</v>
      </c>
      <c r="C1101" s="1">
        <v>45174</v>
      </c>
      <c r="D1101" s="35">
        <v>287201.13</v>
      </c>
      <c r="E1101" s="2" t="s">
        <v>19</v>
      </c>
      <c r="F1101" s="2" t="s">
        <v>20</v>
      </c>
      <c r="G1101" s="2" t="s">
        <v>24</v>
      </c>
      <c r="H1101">
        <v>8</v>
      </c>
      <c r="I1101" s="2" t="str">
        <f>TEXT(Sheet1[[#This Row],[claim_date]],"mmmm")</f>
        <v>September</v>
      </c>
      <c r="J1101" s="2">
        <f>YEAR(Sheet1[[#This Row],[claim_date]])</f>
        <v>2023</v>
      </c>
      <c r="K1101" s="2" t="str">
        <f>"Q"&amp;ROUNDUP(MONTH(Sheet1[[#This Row],[claim_date]])/3,0)</f>
        <v>Q3</v>
      </c>
      <c r="L1101" s="2" t="str">
        <f>IF(Sheet1[[#This Row],[claim_amount]]&lt;100000,"Low",IF(Sheet1[[#This Row],[claim_amount]]&lt;200000,"Medium","High"))</f>
        <v>High</v>
      </c>
      <c r="M1101" s="2" t="str">
        <f>IF(Sheet1[[#This Row],[days_to_process]]&lt;=30,"Fast","Slow")</f>
        <v>Fast</v>
      </c>
    </row>
    <row r="1102" spans="1:13" x14ac:dyDescent="0.3">
      <c r="A1102" t="s">
        <v>2040</v>
      </c>
      <c r="B1102" s="2" t="s">
        <v>2041</v>
      </c>
      <c r="C1102" s="1">
        <v>44951</v>
      </c>
      <c r="D1102" s="35">
        <v>123980.04</v>
      </c>
      <c r="E1102" s="2" t="s">
        <v>19</v>
      </c>
      <c r="F1102" s="2" t="s">
        <v>20</v>
      </c>
      <c r="G1102" s="2" t="s">
        <v>24</v>
      </c>
      <c r="H1102">
        <v>37</v>
      </c>
      <c r="I1102" s="2" t="str">
        <f>TEXT(Sheet1[[#This Row],[claim_date]],"mmmm")</f>
        <v>January</v>
      </c>
      <c r="J1102" s="2">
        <f>YEAR(Sheet1[[#This Row],[claim_date]])</f>
        <v>2023</v>
      </c>
      <c r="K1102" s="2" t="str">
        <f>"Q"&amp;ROUNDUP(MONTH(Sheet1[[#This Row],[claim_date]])/3,0)</f>
        <v>Q1</v>
      </c>
      <c r="L1102" s="2" t="str">
        <f>IF(Sheet1[[#This Row],[claim_amount]]&lt;100000,"Low",IF(Sheet1[[#This Row],[claim_amount]]&lt;200000,"Medium","High"))</f>
        <v>Medium</v>
      </c>
      <c r="M1102" s="2" t="str">
        <f>IF(Sheet1[[#This Row],[days_to_process]]&lt;=30,"Fast","Slow")</f>
        <v>Slow</v>
      </c>
    </row>
    <row r="1103" spans="1:13" x14ac:dyDescent="0.3">
      <c r="A1103" t="s">
        <v>2042</v>
      </c>
      <c r="B1103" s="2" t="s">
        <v>2043</v>
      </c>
      <c r="C1103" s="1">
        <v>45480</v>
      </c>
      <c r="D1103" s="35">
        <v>494099.97</v>
      </c>
      <c r="E1103" s="2" t="s">
        <v>10</v>
      </c>
      <c r="F1103" s="2" t="s">
        <v>23</v>
      </c>
      <c r="G1103" s="2" t="s">
        <v>24</v>
      </c>
      <c r="H1103">
        <v>30</v>
      </c>
      <c r="I1103" s="2" t="str">
        <f>TEXT(Sheet1[[#This Row],[claim_date]],"mmmm")</f>
        <v>July</v>
      </c>
      <c r="J1103" s="2">
        <f>YEAR(Sheet1[[#This Row],[claim_date]])</f>
        <v>2024</v>
      </c>
      <c r="K1103" s="2" t="str">
        <f>"Q"&amp;ROUNDUP(MONTH(Sheet1[[#This Row],[claim_date]])/3,0)</f>
        <v>Q3</v>
      </c>
      <c r="L1103" s="2" t="str">
        <f>IF(Sheet1[[#This Row],[claim_amount]]&lt;100000,"Low",IF(Sheet1[[#This Row],[claim_amount]]&lt;200000,"Medium","High"))</f>
        <v>High</v>
      </c>
      <c r="M1103" s="2" t="str">
        <f>IF(Sheet1[[#This Row],[days_to_process]]&lt;=30,"Fast","Slow")</f>
        <v>Fast</v>
      </c>
    </row>
    <row r="1104" spans="1:13" x14ac:dyDescent="0.3">
      <c r="A1104" t="s">
        <v>2044</v>
      </c>
      <c r="B1104" s="2" t="s">
        <v>2045</v>
      </c>
      <c r="C1104" s="1">
        <v>45088</v>
      </c>
      <c r="D1104" s="35">
        <v>322779.65999999997</v>
      </c>
      <c r="E1104" s="2" t="s">
        <v>10</v>
      </c>
      <c r="F1104" s="2" t="s">
        <v>16</v>
      </c>
      <c r="G1104" s="2" t="s">
        <v>24</v>
      </c>
      <c r="H1104">
        <v>24</v>
      </c>
      <c r="I1104" s="2" t="str">
        <f>TEXT(Sheet1[[#This Row],[claim_date]],"mmmm")</f>
        <v>June</v>
      </c>
      <c r="J1104" s="2">
        <f>YEAR(Sheet1[[#This Row],[claim_date]])</f>
        <v>2023</v>
      </c>
      <c r="K1104" s="2" t="str">
        <f>"Q"&amp;ROUNDUP(MONTH(Sheet1[[#This Row],[claim_date]])/3,0)</f>
        <v>Q2</v>
      </c>
      <c r="L1104" s="2" t="str">
        <f>IF(Sheet1[[#This Row],[claim_amount]]&lt;100000,"Low",IF(Sheet1[[#This Row],[claim_amount]]&lt;200000,"Medium","High"))</f>
        <v>High</v>
      </c>
      <c r="M1104" s="2" t="str">
        <f>IF(Sheet1[[#This Row],[days_to_process]]&lt;=30,"Fast","Slow")</f>
        <v>Fast</v>
      </c>
    </row>
    <row r="1105" spans="1:13" x14ac:dyDescent="0.3">
      <c r="A1105" t="s">
        <v>2046</v>
      </c>
      <c r="B1105" s="2" t="s">
        <v>2047</v>
      </c>
      <c r="C1105" s="1">
        <v>44891</v>
      </c>
      <c r="D1105" s="35">
        <v>75734.81</v>
      </c>
      <c r="E1105" s="2" t="s">
        <v>19</v>
      </c>
      <c r="F1105" s="2" t="s">
        <v>20</v>
      </c>
      <c r="G1105" s="2" t="s">
        <v>24</v>
      </c>
      <c r="H1105">
        <v>14</v>
      </c>
      <c r="I1105" s="2" t="str">
        <f>TEXT(Sheet1[[#This Row],[claim_date]],"mmmm")</f>
        <v>November</v>
      </c>
      <c r="J1105" s="2">
        <f>YEAR(Sheet1[[#This Row],[claim_date]])</f>
        <v>2022</v>
      </c>
      <c r="K1105" s="2" t="str">
        <f>"Q"&amp;ROUNDUP(MONTH(Sheet1[[#This Row],[claim_date]])/3,0)</f>
        <v>Q4</v>
      </c>
      <c r="L1105" s="2" t="str">
        <f>IF(Sheet1[[#This Row],[claim_amount]]&lt;100000,"Low",IF(Sheet1[[#This Row],[claim_amount]]&lt;200000,"Medium","High"))</f>
        <v>Low</v>
      </c>
      <c r="M1105" s="2" t="str">
        <f>IF(Sheet1[[#This Row],[days_to_process]]&lt;=30,"Fast","Slow")</f>
        <v>Fast</v>
      </c>
    </row>
    <row r="1106" spans="1:13" x14ac:dyDescent="0.3">
      <c r="A1106" t="s">
        <v>2048</v>
      </c>
      <c r="B1106" s="2" t="s">
        <v>2049</v>
      </c>
      <c r="C1106" s="1">
        <v>44752</v>
      </c>
      <c r="D1106" s="35">
        <v>62444.41</v>
      </c>
      <c r="E1106" s="2" t="s">
        <v>10</v>
      </c>
      <c r="F1106" s="2" t="s">
        <v>34</v>
      </c>
      <c r="G1106" s="2" t="s">
        <v>24</v>
      </c>
      <c r="H1106">
        <v>8</v>
      </c>
      <c r="I1106" s="2" t="str">
        <f>TEXT(Sheet1[[#This Row],[claim_date]],"mmmm")</f>
        <v>July</v>
      </c>
      <c r="J1106" s="2">
        <f>YEAR(Sheet1[[#This Row],[claim_date]])</f>
        <v>2022</v>
      </c>
      <c r="K1106" s="2" t="str">
        <f>"Q"&amp;ROUNDUP(MONTH(Sheet1[[#This Row],[claim_date]])/3,0)</f>
        <v>Q3</v>
      </c>
      <c r="L1106" s="2" t="str">
        <f>IF(Sheet1[[#This Row],[claim_amount]]&lt;100000,"Low",IF(Sheet1[[#This Row],[claim_amount]]&lt;200000,"Medium","High"))</f>
        <v>Low</v>
      </c>
      <c r="M1106" s="2" t="str">
        <f>IF(Sheet1[[#This Row],[days_to_process]]&lt;=30,"Fast","Slow")</f>
        <v>Fast</v>
      </c>
    </row>
    <row r="1107" spans="1:13" x14ac:dyDescent="0.3">
      <c r="A1107" t="s">
        <v>2050</v>
      </c>
      <c r="B1107" s="2" t="s">
        <v>2051</v>
      </c>
      <c r="C1107" s="1">
        <v>44248</v>
      </c>
      <c r="D1107" s="35">
        <v>102146.21</v>
      </c>
      <c r="E1107" s="2" t="s">
        <v>19</v>
      </c>
      <c r="F1107" s="2" t="s">
        <v>23</v>
      </c>
      <c r="G1107" s="2" t="s">
        <v>12</v>
      </c>
      <c r="H1107">
        <v>48</v>
      </c>
      <c r="I1107" s="2" t="str">
        <f>TEXT(Sheet1[[#This Row],[claim_date]],"mmmm")</f>
        <v>February</v>
      </c>
      <c r="J1107" s="2">
        <f>YEAR(Sheet1[[#This Row],[claim_date]])</f>
        <v>2021</v>
      </c>
      <c r="K1107" s="2" t="str">
        <f>"Q"&amp;ROUNDUP(MONTH(Sheet1[[#This Row],[claim_date]])/3,0)</f>
        <v>Q1</v>
      </c>
      <c r="L1107" s="2" t="str">
        <f>IF(Sheet1[[#This Row],[claim_amount]]&lt;100000,"Low",IF(Sheet1[[#This Row],[claim_amount]]&lt;200000,"Medium","High"))</f>
        <v>Medium</v>
      </c>
      <c r="M1107" s="2" t="str">
        <f>IF(Sheet1[[#This Row],[days_to_process]]&lt;=30,"Fast","Slow")</f>
        <v>Slow</v>
      </c>
    </row>
    <row r="1108" spans="1:13" x14ac:dyDescent="0.3">
      <c r="A1108" t="s">
        <v>2052</v>
      </c>
      <c r="B1108" s="2" t="s">
        <v>1044</v>
      </c>
      <c r="C1108" s="1">
        <v>44353</v>
      </c>
      <c r="D1108" s="35">
        <v>468828.3</v>
      </c>
      <c r="E1108" s="2" t="s">
        <v>10</v>
      </c>
      <c r="F1108" s="2" t="s">
        <v>20</v>
      </c>
      <c r="G1108" s="2" t="s">
        <v>12</v>
      </c>
      <c r="H1108">
        <v>57</v>
      </c>
      <c r="I1108" s="2" t="str">
        <f>TEXT(Sheet1[[#This Row],[claim_date]],"mmmm")</f>
        <v>June</v>
      </c>
      <c r="J1108" s="2">
        <f>YEAR(Sheet1[[#This Row],[claim_date]])</f>
        <v>2021</v>
      </c>
      <c r="K1108" s="2" t="str">
        <f>"Q"&amp;ROUNDUP(MONTH(Sheet1[[#This Row],[claim_date]])/3,0)</f>
        <v>Q2</v>
      </c>
      <c r="L1108" s="2" t="str">
        <f>IF(Sheet1[[#This Row],[claim_amount]]&lt;100000,"Low",IF(Sheet1[[#This Row],[claim_amount]]&lt;200000,"Medium","High"))</f>
        <v>High</v>
      </c>
      <c r="M1108" s="2" t="str">
        <f>IF(Sheet1[[#This Row],[days_to_process]]&lt;=30,"Fast","Slow")</f>
        <v>Slow</v>
      </c>
    </row>
    <row r="1109" spans="1:13" x14ac:dyDescent="0.3">
      <c r="A1109" t="s">
        <v>2053</v>
      </c>
      <c r="B1109" s="2" t="s">
        <v>2054</v>
      </c>
      <c r="C1109" s="1">
        <v>44939</v>
      </c>
      <c r="D1109" s="35">
        <v>403404.26</v>
      </c>
      <c r="E1109" s="2" t="s">
        <v>19</v>
      </c>
      <c r="F1109" s="2" t="s">
        <v>20</v>
      </c>
      <c r="G1109" s="2" t="s">
        <v>24</v>
      </c>
      <c r="H1109">
        <v>32</v>
      </c>
      <c r="I1109" s="2" t="str">
        <f>TEXT(Sheet1[[#This Row],[claim_date]],"mmmm")</f>
        <v>January</v>
      </c>
      <c r="J1109" s="2">
        <f>YEAR(Sheet1[[#This Row],[claim_date]])</f>
        <v>2023</v>
      </c>
      <c r="K1109" s="2" t="str">
        <f>"Q"&amp;ROUNDUP(MONTH(Sheet1[[#This Row],[claim_date]])/3,0)</f>
        <v>Q1</v>
      </c>
      <c r="L1109" s="2" t="str">
        <f>IF(Sheet1[[#This Row],[claim_amount]]&lt;100000,"Low",IF(Sheet1[[#This Row],[claim_amount]]&lt;200000,"Medium","High"))</f>
        <v>High</v>
      </c>
      <c r="M1109" s="2" t="str">
        <f>IF(Sheet1[[#This Row],[days_to_process]]&lt;=30,"Fast","Slow")</f>
        <v>Slow</v>
      </c>
    </row>
    <row r="1110" spans="1:13" x14ac:dyDescent="0.3">
      <c r="A1110" t="s">
        <v>2055</v>
      </c>
      <c r="B1110" s="2" t="s">
        <v>697</v>
      </c>
      <c r="C1110" s="1">
        <v>45520</v>
      </c>
      <c r="D1110" s="35">
        <v>429559.18</v>
      </c>
      <c r="E1110" s="2" t="s">
        <v>10</v>
      </c>
      <c r="F1110" s="2" t="s">
        <v>20</v>
      </c>
      <c r="G1110" s="2" t="s">
        <v>24</v>
      </c>
      <c r="H1110">
        <v>27</v>
      </c>
      <c r="I1110" s="2" t="str">
        <f>TEXT(Sheet1[[#This Row],[claim_date]],"mmmm")</f>
        <v>August</v>
      </c>
      <c r="J1110" s="2">
        <f>YEAR(Sheet1[[#This Row],[claim_date]])</f>
        <v>2024</v>
      </c>
      <c r="K1110" s="2" t="str">
        <f>"Q"&amp;ROUNDUP(MONTH(Sheet1[[#This Row],[claim_date]])/3,0)</f>
        <v>Q3</v>
      </c>
      <c r="L1110" s="2" t="str">
        <f>IF(Sheet1[[#This Row],[claim_amount]]&lt;100000,"Low",IF(Sheet1[[#This Row],[claim_amount]]&lt;200000,"Medium","High"))</f>
        <v>High</v>
      </c>
      <c r="M1110" s="2" t="str">
        <f>IF(Sheet1[[#This Row],[days_to_process]]&lt;=30,"Fast","Slow")</f>
        <v>Fast</v>
      </c>
    </row>
    <row r="1111" spans="1:13" x14ac:dyDescent="0.3">
      <c r="A1111" t="s">
        <v>2056</v>
      </c>
      <c r="B1111" s="2" t="s">
        <v>1169</v>
      </c>
      <c r="C1111" s="1">
        <v>45148</v>
      </c>
      <c r="D1111" s="35">
        <v>450666.09</v>
      </c>
      <c r="E1111" s="2" t="s">
        <v>15</v>
      </c>
      <c r="F1111" s="2" t="s">
        <v>11</v>
      </c>
      <c r="G1111" s="2" t="s">
        <v>24</v>
      </c>
      <c r="H1111">
        <v>39</v>
      </c>
      <c r="I1111" s="2" t="str">
        <f>TEXT(Sheet1[[#This Row],[claim_date]],"mmmm")</f>
        <v>August</v>
      </c>
      <c r="J1111" s="2">
        <f>YEAR(Sheet1[[#This Row],[claim_date]])</f>
        <v>2023</v>
      </c>
      <c r="K1111" s="2" t="str">
        <f>"Q"&amp;ROUNDUP(MONTH(Sheet1[[#This Row],[claim_date]])/3,0)</f>
        <v>Q3</v>
      </c>
      <c r="L1111" s="2" t="str">
        <f>IF(Sheet1[[#This Row],[claim_amount]]&lt;100000,"Low",IF(Sheet1[[#This Row],[claim_amount]]&lt;200000,"Medium","High"))</f>
        <v>High</v>
      </c>
      <c r="M1111" s="2" t="str">
        <f>IF(Sheet1[[#This Row],[days_to_process]]&lt;=30,"Fast","Slow")</f>
        <v>Slow</v>
      </c>
    </row>
    <row r="1112" spans="1:13" x14ac:dyDescent="0.3">
      <c r="A1112" t="s">
        <v>2057</v>
      </c>
      <c r="B1112" s="2" t="s">
        <v>2058</v>
      </c>
      <c r="C1112" s="1">
        <v>44806</v>
      </c>
      <c r="D1112" s="35">
        <v>130538.52</v>
      </c>
      <c r="E1112" s="2" t="s">
        <v>19</v>
      </c>
      <c r="F1112" s="2" t="s">
        <v>11</v>
      </c>
      <c r="G1112" s="2" t="s">
        <v>12</v>
      </c>
      <c r="H1112">
        <v>53</v>
      </c>
      <c r="I1112" s="2" t="str">
        <f>TEXT(Sheet1[[#This Row],[claim_date]],"mmmm")</f>
        <v>September</v>
      </c>
      <c r="J1112" s="2">
        <f>YEAR(Sheet1[[#This Row],[claim_date]])</f>
        <v>2022</v>
      </c>
      <c r="K1112" s="2" t="str">
        <f>"Q"&amp;ROUNDUP(MONTH(Sheet1[[#This Row],[claim_date]])/3,0)</f>
        <v>Q3</v>
      </c>
      <c r="L1112" s="2" t="str">
        <f>IF(Sheet1[[#This Row],[claim_amount]]&lt;100000,"Low",IF(Sheet1[[#This Row],[claim_amount]]&lt;200000,"Medium","High"))</f>
        <v>Medium</v>
      </c>
      <c r="M1112" s="2" t="str">
        <f>IF(Sheet1[[#This Row],[days_to_process]]&lt;=30,"Fast","Slow")</f>
        <v>Slow</v>
      </c>
    </row>
    <row r="1113" spans="1:13" x14ac:dyDescent="0.3">
      <c r="A1113" t="s">
        <v>2059</v>
      </c>
      <c r="B1113" s="2" t="s">
        <v>1842</v>
      </c>
      <c r="C1113" s="1">
        <v>44346</v>
      </c>
      <c r="D1113" s="35">
        <v>485618.39</v>
      </c>
      <c r="E1113" s="2" t="s">
        <v>10</v>
      </c>
      <c r="F1113" s="2" t="s">
        <v>34</v>
      </c>
      <c r="G1113" s="2" t="s">
        <v>12</v>
      </c>
      <c r="H1113">
        <v>16</v>
      </c>
      <c r="I1113" s="2" t="str">
        <f>TEXT(Sheet1[[#This Row],[claim_date]],"mmmm")</f>
        <v>May</v>
      </c>
      <c r="J1113" s="2">
        <f>YEAR(Sheet1[[#This Row],[claim_date]])</f>
        <v>2021</v>
      </c>
      <c r="K1113" s="2" t="str">
        <f>"Q"&amp;ROUNDUP(MONTH(Sheet1[[#This Row],[claim_date]])/3,0)</f>
        <v>Q2</v>
      </c>
      <c r="L1113" s="2" t="str">
        <f>IF(Sheet1[[#This Row],[claim_amount]]&lt;100000,"Low",IF(Sheet1[[#This Row],[claim_amount]]&lt;200000,"Medium","High"))</f>
        <v>High</v>
      </c>
      <c r="M1113" s="2" t="str">
        <f>IF(Sheet1[[#This Row],[days_to_process]]&lt;=30,"Fast","Slow")</f>
        <v>Fast</v>
      </c>
    </row>
    <row r="1114" spans="1:13" x14ac:dyDescent="0.3">
      <c r="A1114" t="s">
        <v>2060</v>
      </c>
      <c r="B1114" s="2" t="s">
        <v>2061</v>
      </c>
      <c r="C1114" s="1">
        <v>44974</v>
      </c>
      <c r="D1114" s="35">
        <v>161850.19</v>
      </c>
      <c r="E1114" s="2" t="s">
        <v>19</v>
      </c>
      <c r="F1114" s="2" t="s">
        <v>34</v>
      </c>
      <c r="G1114" s="2" t="s">
        <v>24</v>
      </c>
      <c r="H1114">
        <v>35</v>
      </c>
      <c r="I1114" s="2" t="str">
        <f>TEXT(Sheet1[[#This Row],[claim_date]],"mmmm")</f>
        <v>February</v>
      </c>
      <c r="J1114" s="2">
        <f>YEAR(Sheet1[[#This Row],[claim_date]])</f>
        <v>2023</v>
      </c>
      <c r="K1114" s="2" t="str">
        <f>"Q"&amp;ROUNDUP(MONTH(Sheet1[[#This Row],[claim_date]])/3,0)</f>
        <v>Q1</v>
      </c>
      <c r="L1114" s="2" t="str">
        <f>IF(Sheet1[[#This Row],[claim_amount]]&lt;100000,"Low",IF(Sheet1[[#This Row],[claim_amount]]&lt;200000,"Medium","High"))</f>
        <v>Medium</v>
      </c>
      <c r="M1114" s="2" t="str">
        <f>IF(Sheet1[[#This Row],[days_to_process]]&lt;=30,"Fast","Slow")</f>
        <v>Slow</v>
      </c>
    </row>
    <row r="1115" spans="1:13" x14ac:dyDescent="0.3">
      <c r="A1115" t="s">
        <v>2062</v>
      </c>
      <c r="B1115" s="2" t="s">
        <v>2063</v>
      </c>
      <c r="C1115" s="1">
        <v>45246</v>
      </c>
      <c r="D1115" s="35">
        <v>159671.01</v>
      </c>
      <c r="E1115" s="2" t="s">
        <v>15</v>
      </c>
      <c r="F1115" s="2" t="s">
        <v>34</v>
      </c>
      <c r="G1115" s="2" t="s">
        <v>24</v>
      </c>
      <c r="H1115">
        <v>34</v>
      </c>
      <c r="I1115" s="2" t="str">
        <f>TEXT(Sheet1[[#This Row],[claim_date]],"mmmm")</f>
        <v>November</v>
      </c>
      <c r="J1115" s="2">
        <f>YEAR(Sheet1[[#This Row],[claim_date]])</f>
        <v>2023</v>
      </c>
      <c r="K1115" s="2" t="str">
        <f>"Q"&amp;ROUNDUP(MONTH(Sheet1[[#This Row],[claim_date]])/3,0)</f>
        <v>Q4</v>
      </c>
      <c r="L1115" s="2" t="str">
        <f>IF(Sheet1[[#This Row],[claim_amount]]&lt;100000,"Low",IF(Sheet1[[#This Row],[claim_amount]]&lt;200000,"Medium","High"))</f>
        <v>Medium</v>
      </c>
      <c r="M1115" s="2" t="str">
        <f>IF(Sheet1[[#This Row],[days_to_process]]&lt;=30,"Fast","Slow")</f>
        <v>Slow</v>
      </c>
    </row>
    <row r="1116" spans="1:13" x14ac:dyDescent="0.3">
      <c r="A1116" t="s">
        <v>2064</v>
      </c>
      <c r="B1116" s="2" t="s">
        <v>2065</v>
      </c>
      <c r="C1116" s="1">
        <v>44846</v>
      </c>
      <c r="D1116" s="35">
        <v>29316.31</v>
      </c>
      <c r="E1116" s="2" t="s">
        <v>15</v>
      </c>
      <c r="F1116" s="2" t="s">
        <v>11</v>
      </c>
      <c r="G1116" s="2" t="s">
        <v>12</v>
      </c>
      <c r="H1116">
        <v>46</v>
      </c>
      <c r="I1116" s="2" t="str">
        <f>TEXT(Sheet1[[#This Row],[claim_date]],"mmmm")</f>
        <v>October</v>
      </c>
      <c r="J1116" s="2">
        <f>YEAR(Sheet1[[#This Row],[claim_date]])</f>
        <v>2022</v>
      </c>
      <c r="K1116" s="2" t="str">
        <f>"Q"&amp;ROUNDUP(MONTH(Sheet1[[#This Row],[claim_date]])/3,0)</f>
        <v>Q4</v>
      </c>
      <c r="L1116" s="2" t="str">
        <f>IF(Sheet1[[#This Row],[claim_amount]]&lt;100000,"Low",IF(Sheet1[[#This Row],[claim_amount]]&lt;200000,"Medium","High"))</f>
        <v>Low</v>
      </c>
      <c r="M1116" s="2" t="str">
        <f>IF(Sheet1[[#This Row],[days_to_process]]&lt;=30,"Fast","Slow")</f>
        <v>Slow</v>
      </c>
    </row>
    <row r="1117" spans="1:13" x14ac:dyDescent="0.3">
      <c r="A1117" t="s">
        <v>2066</v>
      </c>
      <c r="B1117" s="2" t="s">
        <v>2067</v>
      </c>
      <c r="C1117" s="1">
        <v>45515</v>
      </c>
      <c r="D1117" s="35">
        <v>419096.51</v>
      </c>
      <c r="E1117" s="2" t="s">
        <v>19</v>
      </c>
      <c r="F1117" s="2" t="s">
        <v>20</v>
      </c>
      <c r="G1117" s="2" t="s">
        <v>12</v>
      </c>
      <c r="H1117">
        <v>4</v>
      </c>
      <c r="I1117" s="2" t="str">
        <f>TEXT(Sheet1[[#This Row],[claim_date]],"mmmm")</f>
        <v>August</v>
      </c>
      <c r="J1117" s="2">
        <f>YEAR(Sheet1[[#This Row],[claim_date]])</f>
        <v>2024</v>
      </c>
      <c r="K1117" s="2" t="str">
        <f>"Q"&amp;ROUNDUP(MONTH(Sheet1[[#This Row],[claim_date]])/3,0)</f>
        <v>Q3</v>
      </c>
      <c r="L1117" s="2" t="str">
        <f>IF(Sheet1[[#This Row],[claim_amount]]&lt;100000,"Low",IF(Sheet1[[#This Row],[claim_amount]]&lt;200000,"Medium","High"))</f>
        <v>High</v>
      </c>
      <c r="M1117" s="2" t="str">
        <f>IF(Sheet1[[#This Row],[days_to_process]]&lt;=30,"Fast","Slow")</f>
        <v>Fast</v>
      </c>
    </row>
    <row r="1118" spans="1:13" x14ac:dyDescent="0.3">
      <c r="A1118" t="s">
        <v>2068</v>
      </c>
      <c r="B1118" s="2" t="s">
        <v>2069</v>
      </c>
      <c r="C1118" s="1">
        <v>45171</v>
      </c>
      <c r="D1118" s="35">
        <v>413927.21</v>
      </c>
      <c r="E1118" s="2" t="s">
        <v>10</v>
      </c>
      <c r="F1118" s="2" t="s">
        <v>16</v>
      </c>
      <c r="G1118" s="2" t="s">
        <v>24</v>
      </c>
      <c r="H1118">
        <v>24</v>
      </c>
      <c r="I1118" s="2" t="str">
        <f>TEXT(Sheet1[[#This Row],[claim_date]],"mmmm")</f>
        <v>September</v>
      </c>
      <c r="J1118" s="2">
        <f>YEAR(Sheet1[[#This Row],[claim_date]])</f>
        <v>2023</v>
      </c>
      <c r="K1118" s="2" t="str">
        <f>"Q"&amp;ROUNDUP(MONTH(Sheet1[[#This Row],[claim_date]])/3,0)</f>
        <v>Q3</v>
      </c>
      <c r="L1118" s="2" t="str">
        <f>IF(Sheet1[[#This Row],[claim_amount]]&lt;100000,"Low",IF(Sheet1[[#This Row],[claim_amount]]&lt;200000,"Medium","High"))</f>
        <v>High</v>
      </c>
      <c r="M1118" s="2" t="str">
        <f>IF(Sheet1[[#This Row],[days_to_process]]&lt;=30,"Fast","Slow")</f>
        <v>Fast</v>
      </c>
    </row>
    <row r="1119" spans="1:13" x14ac:dyDescent="0.3">
      <c r="A1119" t="s">
        <v>2070</v>
      </c>
      <c r="B1119" s="2" t="s">
        <v>2071</v>
      </c>
      <c r="C1119" s="1">
        <v>45174</v>
      </c>
      <c r="D1119" s="35">
        <v>481634.9</v>
      </c>
      <c r="E1119" s="2" t="s">
        <v>19</v>
      </c>
      <c r="F1119" s="2" t="s">
        <v>34</v>
      </c>
      <c r="G1119" s="2" t="s">
        <v>24</v>
      </c>
      <c r="H1119">
        <v>59</v>
      </c>
      <c r="I1119" s="2" t="str">
        <f>TEXT(Sheet1[[#This Row],[claim_date]],"mmmm")</f>
        <v>September</v>
      </c>
      <c r="J1119" s="2">
        <f>YEAR(Sheet1[[#This Row],[claim_date]])</f>
        <v>2023</v>
      </c>
      <c r="K1119" s="2" t="str">
        <f>"Q"&amp;ROUNDUP(MONTH(Sheet1[[#This Row],[claim_date]])/3,0)</f>
        <v>Q3</v>
      </c>
      <c r="L1119" s="2" t="str">
        <f>IF(Sheet1[[#This Row],[claim_amount]]&lt;100000,"Low",IF(Sheet1[[#This Row],[claim_amount]]&lt;200000,"Medium","High"))</f>
        <v>High</v>
      </c>
      <c r="M1119" s="2" t="str">
        <f>IF(Sheet1[[#This Row],[days_to_process]]&lt;=30,"Fast","Slow")</f>
        <v>Slow</v>
      </c>
    </row>
    <row r="1120" spans="1:13" x14ac:dyDescent="0.3">
      <c r="A1120" t="s">
        <v>2072</v>
      </c>
      <c r="B1120" s="2" t="s">
        <v>2073</v>
      </c>
      <c r="C1120" s="1">
        <v>45606</v>
      </c>
      <c r="D1120" s="35">
        <v>38168.26</v>
      </c>
      <c r="E1120" s="2" t="s">
        <v>19</v>
      </c>
      <c r="F1120" s="2" t="s">
        <v>34</v>
      </c>
      <c r="G1120" s="2" t="s">
        <v>24</v>
      </c>
      <c r="H1120">
        <v>5</v>
      </c>
      <c r="I1120" s="2" t="str">
        <f>TEXT(Sheet1[[#This Row],[claim_date]],"mmmm")</f>
        <v>November</v>
      </c>
      <c r="J1120" s="2">
        <f>YEAR(Sheet1[[#This Row],[claim_date]])</f>
        <v>2024</v>
      </c>
      <c r="K1120" s="2" t="str">
        <f>"Q"&amp;ROUNDUP(MONTH(Sheet1[[#This Row],[claim_date]])/3,0)</f>
        <v>Q4</v>
      </c>
      <c r="L1120" s="2" t="str">
        <f>IF(Sheet1[[#This Row],[claim_amount]]&lt;100000,"Low",IF(Sheet1[[#This Row],[claim_amount]]&lt;200000,"Medium","High"))</f>
        <v>Low</v>
      </c>
      <c r="M1120" s="2" t="str">
        <f>IF(Sheet1[[#This Row],[days_to_process]]&lt;=30,"Fast","Slow")</f>
        <v>Fast</v>
      </c>
    </row>
    <row r="1121" spans="1:13" x14ac:dyDescent="0.3">
      <c r="A1121" t="s">
        <v>2074</v>
      </c>
      <c r="B1121" s="2" t="s">
        <v>2075</v>
      </c>
      <c r="C1121" s="1">
        <v>45650</v>
      </c>
      <c r="D1121" s="35">
        <v>19880.39</v>
      </c>
      <c r="E1121" s="2" t="s">
        <v>15</v>
      </c>
      <c r="F1121" s="2" t="s">
        <v>16</v>
      </c>
      <c r="G1121" s="2" t="s">
        <v>24</v>
      </c>
      <c r="H1121">
        <v>55</v>
      </c>
      <c r="I1121" s="2" t="str">
        <f>TEXT(Sheet1[[#This Row],[claim_date]],"mmmm")</f>
        <v>December</v>
      </c>
      <c r="J1121" s="2">
        <f>YEAR(Sheet1[[#This Row],[claim_date]])</f>
        <v>2024</v>
      </c>
      <c r="K1121" s="2" t="str">
        <f>"Q"&amp;ROUNDUP(MONTH(Sheet1[[#This Row],[claim_date]])/3,0)</f>
        <v>Q4</v>
      </c>
      <c r="L1121" s="2" t="str">
        <f>IF(Sheet1[[#This Row],[claim_amount]]&lt;100000,"Low",IF(Sheet1[[#This Row],[claim_amount]]&lt;200000,"Medium","High"))</f>
        <v>Low</v>
      </c>
      <c r="M1121" s="2" t="str">
        <f>IF(Sheet1[[#This Row],[days_to_process]]&lt;=30,"Fast","Slow")</f>
        <v>Slow</v>
      </c>
    </row>
    <row r="1122" spans="1:13" x14ac:dyDescent="0.3">
      <c r="A1122" t="s">
        <v>2076</v>
      </c>
      <c r="B1122" s="2" t="s">
        <v>2077</v>
      </c>
      <c r="C1122" s="1">
        <v>44925</v>
      </c>
      <c r="D1122" s="35">
        <v>19300.54</v>
      </c>
      <c r="E1122" s="2" t="s">
        <v>19</v>
      </c>
      <c r="F1122" s="2" t="s">
        <v>20</v>
      </c>
      <c r="G1122" s="2" t="s">
        <v>12</v>
      </c>
      <c r="H1122">
        <v>22</v>
      </c>
      <c r="I1122" s="2" t="str">
        <f>TEXT(Sheet1[[#This Row],[claim_date]],"mmmm")</f>
        <v>December</v>
      </c>
      <c r="J1122" s="2">
        <f>YEAR(Sheet1[[#This Row],[claim_date]])</f>
        <v>2022</v>
      </c>
      <c r="K1122" s="2" t="str">
        <f>"Q"&amp;ROUNDUP(MONTH(Sheet1[[#This Row],[claim_date]])/3,0)</f>
        <v>Q4</v>
      </c>
      <c r="L1122" s="2" t="str">
        <f>IF(Sheet1[[#This Row],[claim_amount]]&lt;100000,"Low",IF(Sheet1[[#This Row],[claim_amount]]&lt;200000,"Medium","High"))</f>
        <v>Low</v>
      </c>
      <c r="M1122" s="2" t="str">
        <f>IF(Sheet1[[#This Row],[days_to_process]]&lt;=30,"Fast","Slow")</f>
        <v>Fast</v>
      </c>
    </row>
    <row r="1123" spans="1:13" x14ac:dyDescent="0.3">
      <c r="A1123" t="s">
        <v>2078</v>
      </c>
      <c r="B1123" s="2" t="s">
        <v>2079</v>
      </c>
      <c r="C1123" s="1">
        <v>45200</v>
      </c>
      <c r="D1123" s="35">
        <v>212170.17</v>
      </c>
      <c r="E1123" s="2" t="s">
        <v>10</v>
      </c>
      <c r="F1123" s="2" t="s">
        <v>34</v>
      </c>
      <c r="G1123" s="2" t="s">
        <v>24</v>
      </c>
      <c r="H1123">
        <v>59</v>
      </c>
      <c r="I1123" s="2" t="str">
        <f>TEXT(Sheet1[[#This Row],[claim_date]],"mmmm")</f>
        <v>October</v>
      </c>
      <c r="J1123" s="2">
        <f>YEAR(Sheet1[[#This Row],[claim_date]])</f>
        <v>2023</v>
      </c>
      <c r="K1123" s="2" t="str">
        <f>"Q"&amp;ROUNDUP(MONTH(Sheet1[[#This Row],[claim_date]])/3,0)</f>
        <v>Q4</v>
      </c>
      <c r="L1123" s="2" t="str">
        <f>IF(Sheet1[[#This Row],[claim_amount]]&lt;100000,"Low",IF(Sheet1[[#This Row],[claim_amount]]&lt;200000,"Medium","High"))</f>
        <v>High</v>
      </c>
      <c r="M1123" s="2" t="str">
        <f>IF(Sheet1[[#This Row],[days_to_process]]&lt;=30,"Fast","Slow")</f>
        <v>Slow</v>
      </c>
    </row>
    <row r="1124" spans="1:13" x14ac:dyDescent="0.3">
      <c r="A1124" t="s">
        <v>2080</v>
      </c>
      <c r="B1124" s="2" t="s">
        <v>2081</v>
      </c>
      <c r="C1124" s="1">
        <v>45232</v>
      </c>
      <c r="D1124" s="35">
        <v>12740.13</v>
      </c>
      <c r="E1124" s="2" t="s">
        <v>10</v>
      </c>
      <c r="F1124" s="2" t="s">
        <v>20</v>
      </c>
      <c r="G1124" s="2" t="s">
        <v>12</v>
      </c>
      <c r="H1124">
        <v>48</v>
      </c>
      <c r="I1124" s="2" t="str">
        <f>TEXT(Sheet1[[#This Row],[claim_date]],"mmmm")</f>
        <v>November</v>
      </c>
      <c r="J1124" s="2">
        <f>YEAR(Sheet1[[#This Row],[claim_date]])</f>
        <v>2023</v>
      </c>
      <c r="K1124" s="2" t="str">
        <f>"Q"&amp;ROUNDUP(MONTH(Sheet1[[#This Row],[claim_date]])/3,0)</f>
        <v>Q4</v>
      </c>
      <c r="L1124" s="2" t="str">
        <f>IF(Sheet1[[#This Row],[claim_amount]]&lt;100000,"Low",IF(Sheet1[[#This Row],[claim_amount]]&lt;200000,"Medium","High"))</f>
        <v>Low</v>
      </c>
      <c r="M1124" s="2" t="str">
        <f>IF(Sheet1[[#This Row],[days_to_process]]&lt;=30,"Fast","Slow")</f>
        <v>Slow</v>
      </c>
    </row>
    <row r="1125" spans="1:13" x14ac:dyDescent="0.3">
      <c r="A1125" t="s">
        <v>2082</v>
      </c>
      <c r="B1125" s="2" t="s">
        <v>2083</v>
      </c>
      <c r="C1125" s="1">
        <v>45424</v>
      </c>
      <c r="D1125" s="35">
        <v>11895.6</v>
      </c>
      <c r="E1125" s="2" t="s">
        <v>15</v>
      </c>
      <c r="F1125" s="2" t="s">
        <v>11</v>
      </c>
      <c r="G1125" s="2" t="s">
        <v>12</v>
      </c>
      <c r="H1125">
        <v>57</v>
      </c>
      <c r="I1125" s="2" t="str">
        <f>TEXT(Sheet1[[#This Row],[claim_date]],"mmmm")</f>
        <v>May</v>
      </c>
      <c r="J1125" s="2">
        <f>YEAR(Sheet1[[#This Row],[claim_date]])</f>
        <v>2024</v>
      </c>
      <c r="K1125" s="2" t="str">
        <f>"Q"&amp;ROUNDUP(MONTH(Sheet1[[#This Row],[claim_date]])/3,0)</f>
        <v>Q2</v>
      </c>
      <c r="L1125" s="2" t="str">
        <f>IF(Sheet1[[#This Row],[claim_amount]]&lt;100000,"Low",IF(Sheet1[[#This Row],[claim_amount]]&lt;200000,"Medium","High"))</f>
        <v>Low</v>
      </c>
      <c r="M1125" s="2" t="str">
        <f>IF(Sheet1[[#This Row],[days_to_process]]&lt;=30,"Fast","Slow")</f>
        <v>Slow</v>
      </c>
    </row>
    <row r="1126" spans="1:13" x14ac:dyDescent="0.3">
      <c r="A1126" t="s">
        <v>2084</v>
      </c>
      <c r="B1126" s="2" t="s">
        <v>2085</v>
      </c>
      <c r="C1126" s="1">
        <v>45187</v>
      </c>
      <c r="D1126" s="35">
        <v>21743.22</v>
      </c>
      <c r="E1126" s="2" t="s">
        <v>15</v>
      </c>
      <c r="F1126" s="2" t="s">
        <v>20</v>
      </c>
      <c r="G1126" s="2" t="s">
        <v>24</v>
      </c>
      <c r="H1126">
        <v>10</v>
      </c>
      <c r="I1126" s="2" t="str">
        <f>TEXT(Sheet1[[#This Row],[claim_date]],"mmmm")</f>
        <v>September</v>
      </c>
      <c r="J1126" s="2">
        <f>YEAR(Sheet1[[#This Row],[claim_date]])</f>
        <v>2023</v>
      </c>
      <c r="K1126" s="2" t="str">
        <f>"Q"&amp;ROUNDUP(MONTH(Sheet1[[#This Row],[claim_date]])/3,0)</f>
        <v>Q3</v>
      </c>
      <c r="L1126" s="2" t="str">
        <f>IF(Sheet1[[#This Row],[claim_amount]]&lt;100000,"Low",IF(Sheet1[[#This Row],[claim_amount]]&lt;200000,"Medium","High"))</f>
        <v>Low</v>
      </c>
      <c r="M1126" s="2" t="str">
        <f>IF(Sheet1[[#This Row],[days_to_process]]&lt;=30,"Fast","Slow")</f>
        <v>Fast</v>
      </c>
    </row>
    <row r="1127" spans="1:13" x14ac:dyDescent="0.3">
      <c r="A1127" t="s">
        <v>2086</v>
      </c>
      <c r="B1127" s="2" t="s">
        <v>286</v>
      </c>
      <c r="C1127" s="1">
        <v>45038</v>
      </c>
      <c r="D1127" s="35">
        <v>456759.14</v>
      </c>
      <c r="E1127" s="2" t="s">
        <v>15</v>
      </c>
      <c r="F1127" s="2" t="s">
        <v>34</v>
      </c>
      <c r="G1127" s="2" t="s">
        <v>12</v>
      </c>
      <c r="H1127">
        <v>27</v>
      </c>
      <c r="I1127" s="2" t="str">
        <f>TEXT(Sheet1[[#This Row],[claim_date]],"mmmm")</f>
        <v>April</v>
      </c>
      <c r="J1127" s="2">
        <f>YEAR(Sheet1[[#This Row],[claim_date]])</f>
        <v>2023</v>
      </c>
      <c r="K1127" s="2" t="str">
        <f>"Q"&amp;ROUNDUP(MONTH(Sheet1[[#This Row],[claim_date]])/3,0)</f>
        <v>Q2</v>
      </c>
      <c r="L1127" s="2" t="str">
        <f>IF(Sheet1[[#This Row],[claim_amount]]&lt;100000,"Low",IF(Sheet1[[#This Row],[claim_amount]]&lt;200000,"Medium","High"))</f>
        <v>High</v>
      </c>
      <c r="M1127" s="2" t="str">
        <f>IF(Sheet1[[#This Row],[days_to_process]]&lt;=30,"Fast","Slow")</f>
        <v>Fast</v>
      </c>
    </row>
    <row r="1128" spans="1:13" x14ac:dyDescent="0.3">
      <c r="A1128" t="s">
        <v>2087</v>
      </c>
      <c r="B1128" s="2" t="s">
        <v>2088</v>
      </c>
      <c r="C1128" s="1">
        <v>44602</v>
      </c>
      <c r="D1128" s="35">
        <v>306810.69</v>
      </c>
      <c r="E1128" s="2" t="s">
        <v>19</v>
      </c>
      <c r="F1128" s="2" t="s">
        <v>34</v>
      </c>
      <c r="G1128" s="2" t="s">
        <v>24</v>
      </c>
      <c r="H1128">
        <v>32</v>
      </c>
      <c r="I1128" s="2" t="str">
        <f>TEXT(Sheet1[[#This Row],[claim_date]],"mmmm")</f>
        <v>February</v>
      </c>
      <c r="J1128" s="2">
        <f>YEAR(Sheet1[[#This Row],[claim_date]])</f>
        <v>2022</v>
      </c>
      <c r="K1128" s="2" t="str">
        <f>"Q"&amp;ROUNDUP(MONTH(Sheet1[[#This Row],[claim_date]])/3,0)</f>
        <v>Q1</v>
      </c>
      <c r="L1128" s="2" t="str">
        <f>IF(Sheet1[[#This Row],[claim_amount]]&lt;100000,"Low",IF(Sheet1[[#This Row],[claim_amount]]&lt;200000,"Medium","High"))</f>
        <v>High</v>
      </c>
      <c r="M1128" s="2" t="str">
        <f>IF(Sheet1[[#This Row],[days_to_process]]&lt;=30,"Fast","Slow")</f>
        <v>Slow</v>
      </c>
    </row>
    <row r="1129" spans="1:13" x14ac:dyDescent="0.3">
      <c r="A1129" t="s">
        <v>2089</v>
      </c>
      <c r="B1129" s="2" t="s">
        <v>2090</v>
      </c>
      <c r="C1129" s="1">
        <v>44356</v>
      </c>
      <c r="D1129" s="35">
        <v>135588.35</v>
      </c>
      <c r="E1129" s="2" t="s">
        <v>19</v>
      </c>
      <c r="F1129" s="2" t="s">
        <v>11</v>
      </c>
      <c r="G1129" s="2" t="s">
        <v>24</v>
      </c>
      <c r="H1129">
        <v>59</v>
      </c>
      <c r="I1129" s="2" t="str">
        <f>TEXT(Sheet1[[#This Row],[claim_date]],"mmmm")</f>
        <v>June</v>
      </c>
      <c r="J1129" s="2">
        <f>YEAR(Sheet1[[#This Row],[claim_date]])</f>
        <v>2021</v>
      </c>
      <c r="K1129" s="2" t="str">
        <f>"Q"&amp;ROUNDUP(MONTH(Sheet1[[#This Row],[claim_date]])/3,0)</f>
        <v>Q2</v>
      </c>
      <c r="L1129" s="2" t="str">
        <f>IF(Sheet1[[#This Row],[claim_amount]]&lt;100000,"Low",IF(Sheet1[[#This Row],[claim_amount]]&lt;200000,"Medium","High"))</f>
        <v>Medium</v>
      </c>
      <c r="M1129" s="2" t="str">
        <f>IF(Sheet1[[#This Row],[days_to_process]]&lt;=30,"Fast","Slow")</f>
        <v>Slow</v>
      </c>
    </row>
    <row r="1130" spans="1:13" x14ac:dyDescent="0.3">
      <c r="A1130" t="s">
        <v>2091</v>
      </c>
      <c r="B1130" s="2" t="s">
        <v>2092</v>
      </c>
      <c r="C1130" s="1">
        <v>45468</v>
      </c>
      <c r="D1130" s="35">
        <v>24517.19</v>
      </c>
      <c r="E1130" s="2" t="s">
        <v>19</v>
      </c>
      <c r="F1130" s="2" t="s">
        <v>20</v>
      </c>
      <c r="G1130" s="2" t="s">
        <v>12</v>
      </c>
      <c r="H1130">
        <v>41</v>
      </c>
      <c r="I1130" s="2" t="str">
        <f>TEXT(Sheet1[[#This Row],[claim_date]],"mmmm")</f>
        <v>June</v>
      </c>
      <c r="J1130" s="2">
        <f>YEAR(Sheet1[[#This Row],[claim_date]])</f>
        <v>2024</v>
      </c>
      <c r="K1130" s="2" t="str">
        <f>"Q"&amp;ROUNDUP(MONTH(Sheet1[[#This Row],[claim_date]])/3,0)</f>
        <v>Q2</v>
      </c>
      <c r="L1130" s="2" t="str">
        <f>IF(Sheet1[[#This Row],[claim_amount]]&lt;100000,"Low",IF(Sheet1[[#This Row],[claim_amount]]&lt;200000,"Medium","High"))</f>
        <v>Low</v>
      </c>
      <c r="M1130" s="2" t="str">
        <f>IF(Sheet1[[#This Row],[days_to_process]]&lt;=30,"Fast","Slow")</f>
        <v>Slow</v>
      </c>
    </row>
    <row r="1131" spans="1:13" x14ac:dyDescent="0.3">
      <c r="A1131" t="s">
        <v>2093</v>
      </c>
      <c r="B1131" s="2" t="s">
        <v>2094</v>
      </c>
      <c r="C1131" s="1">
        <v>45499</v>
      </c>
      <c r="D1131" s="35">
        <v>462850.09</v>
      </c>
      <c r="E1131" s="2" t="s">
        <v>19</v>
      </c>
      <c r="F1131" s="2" t="s">
        <v>23</v>
      </c>
      <c r="G1131" s="2" t="s">
        <v>24</v>
      </c>
      <c r="H1131">
        <v>47</v>
      </c>
      <c r="I1131" s="2" t="str">
        <f>TEXT(Sheet1[[#This Row],[claim_date]],"mmmm")</f>
        <v>July</v>
      </c>
      <c r="J1131" s="2">
        <f>YEAR(Sheet1[[#This Row],[claim_date]])</f>
        <v>2024</v>
      </c>
      <c r="K1131" s="2" t="str">
        <f>"Q"&amp;ROUNDUP(MONTH(Sheet1[[#This Row],[claim_date]])/3,0)</f>
        <v>Q3</v>
      </c>
      <c r="L1131" s="2" t="str">
        <f>IF(Sheet1[[#This Row],[claim_amount]]&lt;100000,"Low",IF(Sheet1[[#This Row],[claim_amount]]&lt;200000,"Medium","High"))</f>
        <v>High</v>
      </c>
      <c r="M1131" s="2" t="str">
        <f>IF(Sheet1[[#This Row],[days_to_process]]&lt;=30,"Fast","Slow")</f>
        <v>Slow</v>
      </c>
    </row>
    <row r="1132" spans="1:13" x14ac:dyDescent="0.3">
      <c r="A1132" t="s">
        <v>2095</v>
      </c>
      <c r="B1132" s="2" t="s">
        <v>1853</v>
      </c>
      <c r="C1132" s="1">
        <v>45079</v>
      </c>
      <c r="D1132" s="35">
        <v>441157.49</v>
      </c>
      <c r="E1132" s="2" t="s">
        <v>19</v>
      </c>
      <c r="F1132" s="2" t="s">
        <v>20</v>
      </c>
      <c r="G1132" s="2" t="s">
        <v>12</v>
      </c>
      <c r="H1132">
        <v>28</v>
      </c>
      <c r="I1132" s="2" t="str">
        <f>TEXT(Sheet1[[#This Row],[claim_date]],"mmmm")</f>
        <v>June</v>
      </c>
      <c r="J1132" s="2">
        <f>YEAR(Sheet1[[#This Row],[claim_date]])</f>
        <v>2023</v>
      </c>
      <c r="K1132" s="2" t="str">
        <f>"Q"&amp;ROUNDUP(MONTH(Sheet1[[#This Row],[claim_date]])/3,0)</f>
        <v>Q2</v>
      </c>
      <c r="L1132" s="2" t="str">
        <f>IF(Sheet1[[#This Row],[claim_amount]]&lt;100000,"Low",IF(Sheet1[[#This Row],[claim_amount]]&lt;200000,"Medium","High"))</f>
        <v>High</v>
      </c>
      <c r="M1132" s="2" t="str">
        <f>IF(Sheet1[[#This Row],[days_to_process]]&lt;=30,"Fast","Slow")</f>
        <v>Fast</v>
      </c>
    </row>
    <row r="1133" spans="1:13" x14ac:dyDescent="0.3">
      <c r="A1133" t="s">
        <v>2096</v>
      </c>
      <c r="B1133" s="2" t="s">
        <v>2097</v>
      </c>
      <c r="C1133" s="1">
        <v>44855</v>
      </c>
      <c r="D1133" s="35">
        <v>147778.63</v>
      </c>
      <c r="E1133" s="2" t="s">
        <v>10</v>
      </c>
      <c r="F1133" s="2" t="s">
        <v>20</v>
      </c>
      <c r="G1133" s="2" t="s">
        <v>24</v>
      </c>
      <c r="H1133">
        <v>43</v>
      </c>
      <c r="I1133" s="2" t="str">
        <f>TEXT(Sheet1[[#This Row],[claim_date]],"mmmm")</f>
        <v>October</v>
      </c>
      <c r="J1133" s="2">
        <f>YEAR(Sheet1[[#This Row],[claim_date]])</f>
        <v>2022</v>
      </c>
      <c r="K1133" s="2" t="str">
        <f>"Q"&amp;ROUNDUP(MONTH(Sheet1[[#This Row],[claim_date]])/3,0)</f>
        <v>Q4</v>
      </c>
      <c r="L1133" s="2" t="str">
        <f>IF(Sheet1[[#This Row],[claim_amount]]&lt;100000,"Low",IF(Sheet1[[#This Row],[claim_amount]]&lt;200000,"Medium","High"))</f>
        <v>Medium</v>
      </c>
      <c r="M1133" s="2" t="str">
        <f>IF(Sheet1[[#This Row],[days_to_process]]&lt;=30,"Fast","Slow")</f>
        <v>Slow</v>
      </c>
    </row>
    <row r="1134" spans="1:13" x14ac:dyDescent="0.3">
      <c r="A1134" t="s">
        <v>2098</v>
      </c>
      <c r="B1134" s="2" t="s">
        <v>1676</v>
      </c>
      <c r="C1134" s="1">
        <v>44978</v>
      </c>
      <c r="D1134" s="35">
        <v>202118.38</v>
      </c>
      <c r="E1134" s="2" t="s">
        <v>19</v>
      </c>
      <c r="F1134" s="2" t="s">
        <v>23</v>
      </c>
      <c r="G1134" s="2" t="s">
        <v>24</v>
      </c>
      <c r="H1134">
        <v>11</v>
      </c>
      <c r="I1134" s="2" t="str">
        <f>TEXT(Sheet1[[#This Row],[claim_date]],"mmmm")</f>
        <v>February</v>
      </c>
      <c r="J1134" s="2">
        <f>YEAR(Sheet1[[#This Row],[claim_date]])</f>
        <v>2023</v>
      </c>
      <c r="K1134" s="2" t="str">
        <f>"Q"&amp;ROUNDUP(MONTH(Sheet1[[#This Row],[claim_date]])/3,0)</f>
        <v>Q1</v>
      </c>
      <c r="L1134" s="2" t="str">
        <f>IF(Sheet1[[#This Row],[claim_amount]]&lt;100000,"Low",IF(Sheet1[[#This Row],[claim_amount]]&lt;200000,"Medium","High"))</f>
        <v>High</v>
      </c>
      <c r="M1134" s="2" t="str">
        <f>IF(Sheet1[[#This Row],[days_to_process]]&lt;=30,"Fast","Slow")</f>
        <v>Fast</v>
      </c>
    </row>
    <row r="1135" spans="1:13" x14ac:dyDescent="0.3">
      <c r="A1135" t="s">
        <v>2099</v>
      </c>
      <c r="B1135" s="2" t="s">
        <v>2041</v>
      </c>
      <c r="C1135" s="1">
        <v>44898</v>
      </c>
      <c r="D1135" s="35">
        <v>121717.53</v>
      </c>
      <c r="E1135" s="2" t="s">
        <v>15</v>
      </c>
      <c r="F1135" s="2" t="s">
        <v>16</v>
      </c>
      <c r="G1135" s="2" t="s">
        <v>24</v>
      </c>
      <c r="H1135">
        <v>34</v>
      </c>
      <c r="I1135" s="2" t="str">
        <f>TEXT(Sheet1[[#This Row],[claim_date]],"mmmm")</f>
        <v>December</v>
      </c>
      <c r="J1135" s="2">
        <f>YEAR(Sheet1[[#This Row],[claim_date]])</f>
        <v>2022</v>
      </c>
      <c r="K1135" s="2" t="str">
        <f>"Q"&amp;ROUNDUP(MONTH(Sheet1[[#This Row],[claim_date]])/3,0)</f>
        <v>Q4</v>
      </c>
      <c r="L1135" s="2" t="str">
        <f>IF(Sheet1[[#This Row],[claim_amount]]&lt;100000,"Low",IF(Sheet1[[#This Row],[claim_amount]]&lt;200000,"Medium","High"))</f>
        <v>Medium</v>
      </c>
      <c r="M1135" s="2" t="str">
        <f>IF(Sheet1[[#This Row],[days_to_process]]&lt;=30,"Fast","Slow")</f>
        <v>Slow</v>
      </c>
    </row>
    <row r="1136" spans="1:13" x14ac:dyDescent="0.3">
      <c r="A1136" t="s">
        <v>2100</v>
      </c>
      <c r="B1136" s="2" t="s">
        <v>543</v>
      </c>
      <c r="C1136" s="1">
        <v>45384</v>
      </c>
      <c r="D1136" s="35">
        <v>211735.29</v>
      </c>
      <c r="E1136" s="2" t="s">
        <v>10</v>
      </c>
      <c r="F1136" s="2" t="s">
        <v>16</v>
      </c>
      <c r="G1136" s="2" t="s">
        <v>24</v>
      </c>
      <c r="H1136">
        <v>43</v>
      </c>
      <c r="I1136" s="2" t="str">
        <f>TEXT(Sheet1[[#This Row],[claim_date]],"mmmm")</f>
        <v>April</v>
      </c>
      <c r="J1136" s="2">
        <f>YEAR(Sheet1[[#This Row],[claim_date]])</f>
        <v>2024</v>
      </c>
      <c r="K1136" s="2" t="str">
        <f>"Q"&amp;ROUNDUP(MONTH(Sheet1[[#This Row],[claim_date]])/3,0)</f>
        <v>Q2</v>
      </c>
      <c r="L1136" s="2" t="str">
        <f>IF(Sheet1[[#This Row],[claim_amount]]&lt;100000,"Low",IF(Sheet1[[#This Row],[claim_amount]]&lt;200000,"Medium","High"))</f>
        <v>High</v>
      </c>
      <c r="M1136" s="2" t="str">
        <f>IF(Sheet1[[#This Row],[days_to_process]]&lt;=30,"Fast","Slow")</f>
        <v>Slow</v>
      </c>
    </row>
    <row r="1137" spans="1:13" x14ac:dyDescent="0.3">
      <c r="A1137" t="s">
        <v>2101</v>
      </c>
      <c r="B1137" s="2" t="s">
        <v>2102</v>
      </c>
      <c r="C1137" s="1">
        <v>44959</v>
      </c>
      <c r="D1137" s="35">
        <v>23992.67</v>
      </c>
      <c r="E1137" s="2" t="s">
        <v>15</v>
      </c>
      <c r="F1137" s="2" t="s">
        <v>16</v>
      </c>
      <c r="G1137" s="2" t="s">
        <v>24</v>
      </c>
      <c r="H1137">
        <v>48</v>
      </c>
      <c r="I1137" s="2" t="str">
        <f>TEXT(Sheet1[[#This Row],[claim_date]],"mmmm")</f>
        <v>February</v>
      </c>
      <c r="J1137" s="2">
        <f>YEAR(Sheet1[[#This Row],[claim_date]])</f>
        <v>2023</v>
      </c>
      <c r="K1137" s="2" t="str">
        <f>"Q"&amp;ROUNDUP(MONTH(Sheet1[[#This Row],[claim_date]])/3,0)</f>
        <v>Q1</v>
      </c>
      <c r="L1137" s="2" t="str">
        <f>IF(Sheet1[[#This Row],[claim_amount]]&lt;100000,"Low",IF(Sheet1[[#This Row],[claim_amount]]&lt;200000,"Medium","High"))</f>
        <v>Low</v>
      </c>
      <c r="M1137" s="2" t="str">
        <f>IF(Sheet1[[#This Row],[days_to_process]]&lt;=30,"Fast","Slow")</f>
        <v>Slow</v>
      </c>
    </row>
    <row r="1138" spans="1:13" x14ac:dyDescent="0.3">
      <c r="A1138" t="s">
        <v>2103</v>
      </c>
      <c r="B1138" s="2" t="s">
        <v>2104</v>
      </c>
      <c r="C1138" s="1">
        <v>45564</v>
      </c>
      <c r="D1138" s="35">
        <v>378216.45</v>
      </c>
      <c r="E1138" s="2" t="s">
        <v>15</v>
      </c>
      <c r="F1138" s="2" t="s">
        <v>34</v>
      </c>
      <c r="G1138" s="2" t="s">
        <v>24</v>
      </c>
      <c r="H1138">
        <v>52</v>
      </c>
      <c r="I1138" s="2" t="str">
        <f>TEXT(Sheet1[[#This Row],[claim_date]],"mmmm")</f>
        <v>September</v>
      </c>
      <c r="J1138" s="2">
        <f>YEAR(Sheet1[[#This Row],[claim_date]])</f>
        <v>2024</v>
      </c>
      <c r="K1138" s="2" t="str">
        <f>"Q"&amp;ROUNDUP(MONTH(Sheet1[[#This Row],[claim_date]])/3,0)</f>
        <v>Q3</v>
      </c>
      <c r="L1138" s="2" t="str">
        <f>IF(Sheet1[[#This Row],[claim_amount]]&lt;100000,"Low",IF(Sheet1[[#This Row],[claim_amount]]&lt;200000,"Medium","High"))</f>
        <v>High</v>
      </c>
      <c r="M1138" s="2" t="str">
        <f>IF(Sheet1[[#This Row],[days_to_process]]&lt;=30,"Fast","Slow")</f>
        <v>Slow</v>
      </c>
    </row>
    <row r="1139" spans="1:13" x14ac:dyDescent="0.3">
      <c r="A1139" t="s">
        <v>2105</v>
      </c>
      <c r="B1139" s="2" t="s">
        <v>1122</v>
      </c>
      <c r="C1139" s="1">
        <v>45196</v>
      </c>
      <c r="D1139" s="35">
        <v>359282.94</v>
      </c>
      <c r="E1139" s="2" t="s">
        <v>15</v>
      </c>
      <c r="F1139" s="2" t="s">
        <v>11</v>
      </c>
      <c r="G1139" s="2" t="s">
        <v>12</v>
      </c>
      <c r="H1139">
        <v>29</v>
      </c>
      <c r="I1139" s="2" t="str">
        <f>TEXT(Sheet1[[#This Row],[claim_date]],"mmmm")</f>
        <v>September</v>
      </c>
      <c r="J1139" s="2">
        <f>YEAR(Sheet1[[#This Row],[claim_date]])</f>
        <v>2023</v>
      </c>
      <c r="K1139" s="2" t="str">
        <f>"Q"&amp;ROUNDUP(MONTH(Sheet1[[#This Row],[claim_date]])/3,0)</f>
        <v>Q3</v>
      </c>
      <c r="L1139" s="2" t="str">
        <f>IF(Sheet1[[#This Row],[claim_amount]]&lt;100000,"Low",IF(Sheet1[[#This Row],[claim_amount]]&lt;200000,"Medium","High"))</f>
        <v>High</v>
      </c>
      <c r="M1139" s="2" t="str">
        <f>IF(Sheet1[[#This Row],[days_to_process]]&lt;=30,"Fast","Slow")</f>
        <v>Fast</v>
      </c>
    </row>
    <row r="1140" spans="1:13" x14ac:dyDescent="0.3">
      <c r="A1140" t="s">
        <v>2106</v>
      </c>
      <c r="B1140" s="2" t="s">
        <v>2107</v>
      </c>
      <c r="C1140" s="1">
        <v>45176</v>
      </c>
      <c r="D1140" s="35">
        <v>418247.11</v>
      </c>
      <c r="E1140" s="2" t="s">
        <v>10</v>
      </c>
      <c r="F1140" s="2" t="s">
        <v>34</v>
      </c>
      <c r="G1140" s="2" t="s">
        <v>24</v>
      </c>
      <c r="H1140">
        <v>58</v>
      </c>
      <c r="I1140" s="2" t="str">
        <f>TEXT(Sheet1[[#This Row],[claim_date]],"mmmm")</f>
        <v>September</v>
      </c>
      <c r="J1140" s="2">
        <f>YEAR(Sheet1[[#This Row],[claim_date]])</f>
        <v>2023</v>
      </c>
      <c r="K1140" s="2" t="str">
        <f>"Q"&amp;ROUNDUP(MONTH(Sheet1[[#This Row],[claim_date]])/3,0)</f>
        <v>Q3</v>
      </c>
      <c r="L1140" s="2" t="str">
        <f>IF(Sheet1[[#This Row],[claim_amount]]&lt;100000,"Low",IF(Sheet1[[#This Row],[claim_amount]]&lt;200000,"Medium","High"))</f>
        <v>High</v>
      </c>
      <c r="M1140" s="2" t="str">
        <f>IF(Sheet1[[#This Row],[days_to_process]]&lt;=30,"Fast","Slow")</f>
        <v>Slow</v>
      </c>
    </row>
    <row r="1141" spans="1:13" x14ac:dyDescent="0.3">
      <c r="A1141" t="s">
        <v>2108</v>
      </c>
      <c r="B1141" s="2" t="s">
        <v>2109</v>
      </c>
      <c r="C1141" s="1">
        <v>45361</v>
      </c>
      <c r="D1141" s="35">
        <v>99976.74</v>
      </c>
      <c r="E1141" s="2" t="s">
        <v>10</v>
      </c>
      <c r="F1141" s="2" t="s">
        <v>11</v>
      </c>
      <c r="G1141" s="2" t="s">
        <v>12</v>
      </c>
      <c r="H1141">
        <v>42</v>
      </c>
      <c r="I1141" s="2" t="str">
        <f>TEXT(Sheet1[[#This Row],[claim_date]],"mmmm")</f>
        <v>March</v>
      </c>
      <c r="J1141" s="2">
        <f>YEAR(Sheet1[[#This Row],[claim_date]])</f>
        <v>2024</v>
      </c>
      <c r="K1141" s="2" t="str">
        <f>"Q"&amp;ROUNDUP(MONTH(Sheet1[[#This Row],[claim_date]])/3,0)</f>
        <v>Q1</v>
      </c>
      <c r="L1141" s="2" t="str">
        <f>IF(Sheet1[[#This Row],[claim_amount]]&lt;100000,"Low",IF(Sheet1[[#This Row],[claim_amount]]&lt;200000,"Medium","High"))</f>
        <v>Low</v>
      </c>
      <c r="M1141" s="2" t="str">
        <f>IF(Sheet1[[#This Row],[days_to_process]]&lt;=30,"Fast","Slow")</f>
        <v>Slow</v>
      </c>
    </row>
    <row r="1142" spans="1:13" x14ac:dyDescent="0.3">
      <c r="A1142" t="s">
        <v>2110</v>
      </c>
      <c r="B1142" s="2" t="s">
        <v>2111</v>
      </c>
      <c r="C1142" s="1">
        <v>45512</v>
      </c>
      <c r="D1142" s="35">
        <v>271668.07</v>
      </c>
      <c r="E1142" s="2" t="s">
        <v>15</v>
      </c>
      <c r="F1142" s="2" t="s">
        <v>11</v>
      </c>
      <c r="G1142" s="2" t="s">
        <v>12</v>
      </c>
      <c r="H1142">
        <v>56</v>
      </c>
      <c r="I1142" s="2" t="str">
        <f>TEXT(Sheet1[[#This Row],[claim_date]],"mmmm")</f>
        <v>August</v>
      </c>
      <c r="J1142" s="2">
        <f>YEAR(Sheet1[[#This Row],[claim_date]])</f>
        <v>2024</v>
      </c>
      <c r="K1142" s="2" t="str">
        <f>"Q"&amp;ROUNDUP(MONTH(Sheet1[[#This Row],[claim_date]])/3,0)</f>
        <v>Q3</v>
      </c>
      <c r="L1142" s="2" t="str">
        <f>IF(Sheet1[[#This Row],[claim_amount]]&lt;100000,"Low",IF(Sheet1[[#This Row],[claim_amount]]&lt;200000,"Medium","High"))</f>
        <v>High</v>
      </c>
      <c r="M1142" s="2" t="str">
        <f>IF(Sheet1[[#This Row],[days_to_process]]&lt;=30,"Fast","Slow")</f>
        <v>Slow</v>
      </c>
    </row>
    <row r="1143" spans="1:13" x14ac:dyDescent="0.3">
      <c r="A1143" t="s">
        <v>2112</v>
      </c>
      <c r="B1143" s="2" t="s">
        <v>1422</v>
      </c>
      <c r="C1143" s="1">
        <v>45230</v>
      </c>
      <c r="D1143" s="35">
        <v>154772.56</v>
      </c>
      <c r="E1143" s="2" t="s">
        <v>19</v>
      </c>
      <c r="F1143" s="2" t="s">
        <v>34</v>
      </c>
      <c r="G1143" s="2" t="s">
        <v>12</v>
      </c>
      <c r="H1143">
        <v>49</v>
      </c>
      <c r="I1143" s="2" t="str">
        <f>TEXT(Sheet1[[#This Row],[claim_date]],"mmmm")</f>
        <v>October</v>
      </c>
      <c r="J1143" s="2">
        <f>YEAR(Sheet1[[#This Row],[claim_date]])</f>
        <v>2023</v>
      </c>
      <c r="K1143" s="2" t="str">
        <f>"Q"&amp;ROUNDUP(MONTH(Sheet1[[#This Row],[claim_date]])/3,0)</f>
        <v>Q4</v>
      </c>
      <c r="L1143" s="2" t="str">
        <f>IF(Sheet1[[#This Row],[claim_amount]]&lt;100000,"Low",IF(Sheet1[[#This Row],[claim_amount]]&lt;200000,"Medium","High"))</f>
        <v>Medium</v>
      </c>
      <c r="M1143" s="2" t="str">
        <f>IF(Sheet1[[#This Row],[days_to_process]]&lt;=30,"Fast","Slow")</f>
        <v>Slow</v>
      </c>
    </row>
    <row r="1144" spans="1:13" x14ac:dyDescent="0.3">
      <c r="A1144" t="s">
        <v>2113</v>
      </c>
      <c r="B1144" s="2" t="s">
        <v>1183</v>
      </c>
      <c r="C1144" s="1">
        <v>45240</v>
      </c>
      <c r="D1144" s="35">
        <v>311514.21999999997</v>
      </c>
      <c r="E1144" s="2" t="s">
        <v>15</v>
      </c>
      <c r="F1144" s="2" t="s">
        <v>23</v>
      </c>
      <c r="G1144" s="2" t="s">
        <v>24</v>
      </c>
      <c r="H1144">
        <v>14</v>
      </c>
      <c r="I1144" s="2" t="str">
        <f>TEXT(Sheet1[[#This Row],[claim_date]],"mmmm")</f>
        <v>November</v>
      </c>
      <c r="J1144" s="2">
        <f>YEAR(Sheet1[[#This Row],[claim_date]])</f>
        <v>2023</v>
      </c>
      <c r="K1144" s="2" t="str">
        <f>"Q"&amp;ROUNDUP(MONTH(Sheet1[[#This Row],[claim_date]])/3,0)</f>
        <v>Q4</v>
      </c>
      <c r="L1144" s="2" t="str">
        <f>IF(Sheet1[[#This Row],[claim_amount]]&lt;100000,"Low",IF(Sheet1[[#This Row],[claim_amount]]&lt;200000,"Medium","High"))</f>
        <v>High</v>
      </c>
      <c r="M1144" s="2" t="str">
        <f>IF(Sheet1[[#This Row],[days_to_process]]&lt;=30,"Fast","Slow")</f>
        <v>Fast</v>
      </c>
    </row>
    <row r="1145" spans="1:13" x14ac:dyDescent="0.3">
      <c r="A1145" t="s">
        <v>2114</v>
      </c>
      <c r="B1145" s="2" t="s">
        <v>1896</v>
      </c>
      <c r="C1145" s="1">
        <v>45620</v>
      </c>
      <c r="D1145" s="35">
        <v>465987.92</v>
      </c>
      <c r="E1145" s="2" t="s">
        <v>19</v>
      </c>
      <c r="F1145" s="2" t="s">
        <v>20</v>
      </c>
      <c r="G1145" s="2" t="s">
        <v>24</v>
      </c>
      <c r="H1145">
        <v>21</v>
      </c>
      <c r="I1145" s="2" t="str">
        <f>TEXT(Sheet1[[#This Row],[claim_date]],"mmmm")</f>
        <v>November</v>
      </c>
      <c r="J1145" s="2">
        <f>YEAR(Sheet1[[#This Row],[claim_date]])</f>
        <v>2024</v>
      </c>
      <c r="K1145" s="2" t="str">
        <f>"Q"&amp;ROUNDUP(MONTH(Sheet1[[#This Row],[claim_date]])/3,0)</f>
        <v>Q4</v>
      </c>
      <c r="L1145" s="2" t="str">
        <f>IF(Sheet1[[#This Row],[claim_amount]]&lt;100000,"Low",IF(Sheet1[[#This Row],[claim_amount]]&lt;200000,"Medium","High"))</f>
        <v>High</v>
      </c>
      <c r="M1145" s="2" t="str">
        <f>IF(Sheet1[[#This Row],[days_to_process]]&lt;=30,"Fast","Slow")</f>
        <v>Fast</v>
      </c>
    </row>
    <row r="1146" spans="1:13" x14ac:dyDescent="0.3">
      <c r="A1146" t="s">
        <v>2115</v>
      </c>
      <c r="B1146" s="2" t="s">
        <v>1120</v>
      </c>
      <c r="C1146" s="1">
        <v>45347</v>
      </c>
      <c r="D1146" s="35">
        <v>333149.71000000002</v>
      </c>
      <c r="E1146" s="2" t="s">
        <v>15</v>
      </c>
      <c r="F1146" s="2" t="s">
        <v>34</v>
      </c>
      <c r="G1146" s="2" t="s">
        <v>24</v>
      </c>
      <c r="H1146">
        <v>20</v>
      </c>
      <c r="I1146" s="2" t="str">
        <f>TEXT(Sheet1[[#This Row],[claim_date]],"mmmm")</f>
        <v>February</v>
      </c>
      <c r="J1146" s="2">
        <f>YEAR(Sheet1[[#This Row],[claim_date]])</f>
        <v>2024</v>
      </c>
      <c r="K1146" s="2" t="str">
        <f>"Q"&amp;ROUNDUP(MONTH(Sheet1[[#This Row],[claim_date]])/3,0)</f>
        <v>Q1</v>
      </c>
      <c r="L1146" s="2" t="str">
        <f>IF(Sheet1[[#This Row],[claim_amount]]&lt;100000,"Low",IF(Sheet1[[#This Row],[claim_amount]]&lt;200000,"Medium","High"))</f>
        <v>High</v>
      </c>
      <c r="M1146" s="2" t="str">
        <f>IF(Sheet1[[#This Row],[days_to_process]]&lt;=30,"Fast","Slow")</f>
        <v>Fast</v>
      </c>
    </row>
    <row r="1147" spans="1:13" x14ac:dyDescent="0.3">
      <c r="A1147" t="s">
        <v>2116</v>
      </c>
      <c r="B1147" s="2" t="s">
        <v>2117</v>
      </c>
      <c r="C1147" s="1">
        <v>45496</v>
      </c>
      <c r="D1147" s="35">
        <v>156384.72</v>
      </c>
      <c r="E1147" s="2" t="s">
        <v>10</v>
      </c>
      <c r="F1147" s="2" t="s">
        <v>23</v>
      </c>
      <c r="G1147" s="2" t="s">
        <v>12</v>
      </c>
      <c r="H1147">
        <v>56</v>
      </c>
      <c r="I1147" s="2" t="str">
        <f>TEXT(Sheet1[[#This Row],[claim_date]],"mmmm")</f>
        <v>July</v>
      </c>
      <c r="J1147" s="2">
        <f>YEAR(Sheet1[[#This Row],[claim_date]])</f>
        <v>2024</v>
      </c>
      <c r="K1147" s="2" t="str">
        <f>"Q"&amp;ROUNDUP(MONTH(Sheet1[[#This Row],[claim_date]])/3,0)</f>
        <v>Q3</v>
      </c>
      <c r="L1147" s="2" t="str">
        <f>IF(Sheet1[[#This Row],[claim_amount]]&lt;100000,"Low",IF(Sheet1[[#This Row],[claim_amount]]&lt;200000,"Medium","High"))</f>
        <v>Medium</v>
      </c>
      <c r="M1147" s="2" t="str">
        <f>IF(Sheet1[[#This Row],[days_to_process]]&lt;=30,"Fast","Slow")</f>
        <v>Slow</v>
      </c>
    </row>
    <row r="1148" spans="1:13" x14ac:dyDescent="0.3">
      <c r="A1148" t="s">
        <v>2118</v>
      </c>
      <c r="B1148" s="2" t="s">
        <v>722</v>
      </c>
      <c r="C1148" s="1">
        <v>44657</v>
      </c>
      <c r="D1148" s="35">
        <v>314973.28000000003</v>
      </c>
      <c r="E1148" s="2" t="s">
        <v>15</v>
      </c>
      <c r="F1148" s="2" t="s">
        <v>20</v>
      </c>
      <c r="G1148" s="2" t="s">
        <v>24</v>
      </c>
      <c r="H1148">
        <v>53</v>
      </c>
      <c r="I1148" s="2" t="str">
        <f>TEXT(Sheet1[[#This Row],[claim_date]],"mmmm")</f>
        <v>April</v>
      </c>
      <c r="J1148" s="2">
        <f>YEAR(Sheet1[[#This Row],[claim_date]])</f>
        <v>2022</v>
      </c>
      <c r="K1148" s="2" t="str">
        <f>"Q"&amp;ROUNDUP(MONTH(Sheet1[[#This Row],[claim_date]])/3,0)</f>
        <v>Q2</v>
      </c>
      <c r="L1148" s="2" t="str">
        <f>IF(Sheet1[[#This Row],[claim_amount]]&lt;100000,"Low",IF(Sheet1[[#This Row],[claim_amount]]&lt;200000,"Medium","High"))</f>
        <v>High</v>
      </c>
      <c r="M1148" s="2" t="str">
        <f>IF(Sheet1[[#This Row],[days_to_process]]&lt;=30,"Fast","Slow")</f>
        <v>Slow</v>
      </c>
    </row>
    <row r="1149" spans="1:13" x14ac:dyDescent="0.3">
      <c r="A1149" t="s">
        <v>2119</v>
      </c>
      <c r="B1149" s="2" t="s">
        <v>2120</v>
      </c>
      <c r="C1149" s="1">
        <v>44779</v>
      </c>
      <c r="D1149" s="35">
        <v>93470.1</v>
      </c>
      <c r="E1149" s="2" t="s">
        <v>15</v>
      </c>
      <c r="F1149" s="2" t="s">
        <v>20</v>
      </c>
      <c r="G1149" s="2" t="s">
        <v>24</v>
      </c>
      <c r="H1149">
        <v>3</v>
      </c>
      <c r="I1149" s="2" t="str">
        <f>TEXT(Sheet1[[#This Row],[claim_date]],"mmmm")</f>
        <v>August</v>
      </c>
      <c r="J1149" s="2">
        <f>YEAR(Sheet1[[#This Row],[claim_date]])</f>
        <v>2022</v>
      </c>
      <c r="K1149" s="2" t="str">
        <f>"Q"&amp;ROUNDUP(MONTH(Sheet1[[#This Row],[claim_date]])/3,0)</f>
        <v>Q3</v>
      </c>
      <c r="L1149" s="2" t="str">
        <f>IF(Sheet1[[#This Row],[claim_amount]]&lt;100000,"Low",IF(Sheet1[[#This Row],[claim_amount]]&lt;200000,"Medium","High"))</f>
        <v>Low</v>
      </c>
      <c r="M1149" s="2" t="str">
        <f>IF(Sheet1[[#This Row],[days_to_process]]&lt;=30,"Fast","Slow")</f>
        <v>Fast</v>
      </c>
    </row>
    <row r="1150" spans="1:13" x14ac:dyDescent="0.3">
      <c r="A1150" t="s">
        <v>2121</v>
      </c>
      <c r="B1150" s="2" t="s">
        <v>2122</v>
      </c>
      <c r="C1150" s="1">
        <v>44479</v>
      </c>
      <c r="D1150" s="35">
        <v>370572.45</v>
      </c>
      <c r="E1150" s="2" t="s">
        <v>19</v>
      </c>
      <c r="F1150" s="2" t="s">
        <v>20</v>
      </c>
      <c r="G1150" s="2" t="s">
        <v>24</v>
      </c>
      <c r="H1150">
        <v>39</v>
      </c>
      <c r="I1150" s="2" t="str">
        <f>TEXT(Sheet1[[#This Row],[claim_date]],"mmmm")</f>
        <v>October</v>
      </c>
      <c r="J1150" s="2">
        <f>YEAR(Sheet1[[#This Row],[claim_date]])</f>
        <v>2021</v>
      </c>
      <c r="K1150" s="2" t="str">
        <f>"Q"&amp;ROUNDUP(MONTH(Sheet1[[#This Row],[claim_date]])/3,0)</f>
        <v>Q4</v>
      </c>
      <c r="L1150" s="2" t="str">
        <f>IF(Sheet1[[#This Row],[claim_amount]]&lt;100000,"Low",IF(Sheet1[[#This Row],[claim_amount]]&lt;200000,"Medium","High"))</f>
        <v>High</v>
      </c>
      <c r="M1150" s="2" t="str">
        <f>IF(Sheet1[[#This Row],[days_to_process]]&lt;=30,"Fast","Slow")</f>
        <v>Slow</v>
      </c>
    </row>
    <row r="1151" spans="1:13" x14ac:dyDescent="0.3">
      <c r="A1151" t="s">
        <v>2123</v>
      </c>
      <c r="B1151" s="2" t="s">
        <v>2124</v>
      </c>
      <c r="C1151" s="1">
        <v>44534</v>
      </c>
      <c r="D1151" s="35">
        <v>24573.64</v>
      </c>
      <c r="E1151" s="2" t="s">
        <v>10</v>
      </c>
      <c r="F1151" s="2" t="s">
        <v>23</v>
      </c>
      <c r="G1151" s="2" t="s">
        <v>12</v>
      </c>
      <c r="H1151">
        <v>2</v>
      </c>
      <c r="I1151" s="2" t="str">
        <f>TEXT(Sheet1[[#This Row],[claim_date]],"mmmm")</f>
        <v>December</v>
      </c>
      <c r="J1151" s="2">
        <f>YEAR(Sheet1[[#This Row],[claim_date]])</f>
        <v>2021</v>
      </c>
      <c r="K1151" s="2" t="str">
        <f>"Q"&amp;ROUNDUP(MONTH(Sheet1[[#This Row],[claim_date]])/3,0)</f>
        <v>Q4</v>
      </c>
      <c r="L1151" s="2" t="str">
        <f>IF(Sheet1[[#This Row],[claim_amount]]&lt;100000,"Low",IF(Sheet1[[#This Row],[claim_amount]]&lt;200000,"Medium","High"))</f>
        <v>Low</v>
      </c>
      <c r="M1151" s="2" t="str">
        <f>IF(Sheet1[[#This Row],[days_to_process]]&lt;=30,"Fast","Slow")</f>
        <v>Fast</v>
      </c>
    </row>
    <row r="1152" spans="1:13" x14ac:dyDescent="0.3">
      <c r="A1152" t="s">
        <v>2125</v>
      </c>
      <c r="B1152" s="2" t="s">
        <v>2126</v>
      </c>
      <c r="C1152" s="1">
        <v>44157</v>
      </c>
      <c r="D1152" s="35">
        <v>263894.78999999998</v>
      </c>
      <c r="E1152" s="2" t="s">
        <v>19</v>
      </c>
      <c r="F1152" s="2" t="s">
        <v>34</v>
      </c>
      <c r="G1152" s="2" t="s">
        <v>12</v>
      </c>
      <c r="H1152">
        <v>57</v>
      </c>
      <c r="I1152" s="2" t="str">
        <f>TEXT(Sheet1[[#This Row],[claim_date]],"mmmm")</f>
        <v>November</v>
      </c>
      <c r="J1152" s="2">
        <f>YEAR(Sheet1[[#This Row],[claim_date]])</f>
        <v>2020</v>
      </c>
      <c r="K1152" s="2" t="str">
        <f>"Q"&amp;ROUNDUP(MONTH(Sheet1[[#This Row],[claim_date]])/3,0)</f>
        <v>Q4</v>
      </c>
      <c r="L1152" s="2" t="str">
        <f>IF(Sheet1[[#This Row],[claim_amount]]&lt;100000,"Low",IF(Sheet1[[#This Row],[claim_amount]]&lt;200000,"Medium","High"))</f>
        <v>High</v>
      </c>
      <c r="M1152" s="2" t="str">
        <f>IF(Sheet1[[#This Row],[days_to_process]]&lt;=30,"Fast","Slow")</f>
        <v>Slow</v>
      </c>
    </row>
    <row r="1153" spans="1:13" x14ac:dyDescent="0.3">
      <c r="A1153" t="s">
        <v>2127</v>
      </c>
      <c r="B1153" s="2" t="s">
        <v>2128</v>
      </c>
      <c r="C1153" s="1">
        <v>44841</v>
      </c>
      <c r="D1153" s="35">
        <v>137507.91</v>
      </c>
      <c r="E1153" s="2" t="s">
        <v>15</v>
      </c>
      <c r="F1153" s="2" t="s">
        <v>34</v>
      </c>
      <c r="G1153" s="2" t="s">
        <v>12</v>
      </c>
      <c r="H1153">
        <v>43</v>
      </c>
      <c r="I1153" s="2" t="str">
        <f>TEXT(Sheet1[[#This Row],[claim_date]],"mmmm")</f>
        <v>October</v>
      </c>
      <c r="J1153" s="2">
        <f>YEAR(Sheet1[[#This Row],[claim_date]])</f>
        <v>2022</v>
      </c>
      <c r="K1153" s="2" t="str">
        <f>"Q"&amp;ROUNDUP(MONTH(Sheet1[[#This Row],[claim_date]])/3,0)</f>
        <v>Q4</v>
      </c>
      <c r="L1153" s="2" t="str">
        <f>IF(Sheet1[[#This Row],[claim_amount]]&lt;100000,"Low",IF(Sheet1[[#This Row],[claim_amount]]&lt;200000,"Medium","High"))</f>
        <v>Medium</v>
      </c>
      <c r="M1153" s="2" t="str">
        <f>IF(Sheet1[[#This Row],[days_to_process]]&lt;=30,"Fast","Slow")</f>
        <v>Slow</v>
      </c>
    </row>
    <row r="1154" spans="1:13" x14ac:dyDescent="0.3">
      <c r="A1154" t="s">
        <v>2129</v>
      </c>
      <c r="B1154" s="2" t="s">
        <v>2130</v>
      </c>
      <c r="C1154" s="1">
        <v>45349</v>
      </c>
      <c r="D1154" s="35">
        <v>88536.13</v>
      </c>
      <c r="E1154" s="2" t="s">
        <v>19</v>
      </c>
      <c r="F1154" s="2" t="s">
        <v>34</v>
      </c>
      <c r="G1154" s="2" t="s">
        <v>24</v>
      </c>
      <c r="H1154">
        <v>8</v>
      </c>
      <c r="I1154" s="2" t="str">
        <f>TEXT(Sheet1[[#This Row],[claim_date]],"mmmm")</f>
        <v>February</v>
      </c>
      <c r="J1154" s="2">
        <f>YEAR(Sheet1[[#This Row],[claim_date]])</f>
        <v>2024</v>
      </c>
      <c r="K1154" s="2" t="str">
        <f>"Q"&amp;ROUNDUP(MONTH(Sheet1[[#This Row],[claim_date]])/3,0)</f>
        <v>Q1</v>
      </c>
      <c r="L1154" s="2" t="str">
        <f>IF(Sheet1[[#This Row],[claim_amount]]&lt;100000,"Low",IF(Sheet1[[#This Row],[claim_amount]]&lt;200000,"Medium","High"))</f>
        <v>Low</v>
      </c>
      <c r="M1154" s="2" t="str">
        <f>IF(Sheet1[[#This Row],[days_to_process]]&lt;=30,"Fast","Slow")</f>
        <v>Fast</v>
      </c>
    </row>
    <row r="1155" spans="1:13" x14ac:dyDescent="0.3">
      <c r="A1155" t="s">
        <v>2131</v>
      </c>
      <c r="B1155" s="2" t="s">
        <v>447</v>
      </c>
      <c r="C1155" s="1">
        <v>45366</v>
      </c>
      <c r="D1155" s="35">
        <v>73711.850000000006</v>
      </c>
      <c r="E1155" s="2" t="s">
        <v>15</v>
      </c>
      <c r="F1155" s="2" t="s">
        <v>20</v>
      </c>
      <c r="G1155" s="2" t="s">
        <v>24</v>
      </c>
      <c r="H1155">
        <v>9</v>
      </c>
      <c r="I1155" s="2" t="str">
        <f>TEXT(Sheet1[[#This Row],[claim_date]],"mmmm")</f>
        <v>March</v>
      </c>
      <c r="J1155" s="2">
        <f>YEAR(Sheet1[[#This Row],[claim_date]])</f>
        <v>2024</v>
      </c>
      <c r="K1155" s="2" t="str">
        <f>"Q"&amp;ROUNDUP(MONTH(Sheet1[[#This Row],[claim_date]])/3,0)</f>
        <v>Q1</v>
      </c>
      <c r="L1155" s="2" t="str">
        <f>IF(Sheet1[[#This Row],[claim_amount]]&lt;100000,"Low",IF(Sheet1[[#This Row],[claim_amount]]&lt;200000,"Medium","High"))</f>
        <v>Low</v>
      </c>
      <c r="M1155" s="2" t="str">
        <f>IF(Sheet1[[#This Row],[days_to_process]]&lt;=30,"Fast","Slow")</f>
        <v>Fast</v>
      </c>
    </row>
    <row r="1156" spans="1:13" x14ac:dyDescent="0.3">
      <c r="A1156" t="s">
        <v>2132</v>
      </c>
      <c r="B1156" s="2" t="s">
        <v>2133</v>
      </c>
      <c r="C1156" s="1">
        <v>44505</v>
      </c>
      <c r="D1156" s="35">
        <v>363890.85</v>
      </c>
      <c r="E1156" s="2" t="s">
        <v>10</v>
      </c>
      <c r="F1156" s="2" t="s">
        <v>20</v>
      </c>
      <c r="G1156" s="2" t="s">
        <v>12</v>
      </c>
      <c r="H1156">
        <v>21</v>
      </c>
      <c r="I1156" s="2" t="str">
        <f>TEXT(Sheet1[[#This Row],[claim_date]],"mmmm")</f>
        <v>November</v>
      </c>
      <c r="J1156" s="2">
        <f>YEAR(Sheet1[[#This Row],[claim_date]])</f>
        <v>2021</v>
      </c>
      <c r="K1156" s="2" t="str">
        <f>"Q"&amp;ROUNDUP(MONTH(Sheet1[[#This Row],[claim_date]])/3,0)</f>
        <v>Q4</v>
      </c>
      <c r="L1156" s="2" t="str">
        <f>IF(Sheet1[[#This Row],[claim_amount]]&lt;100000,"Low",IF(Sheet1[[#This Row],[claim_amount]]&lt;200000,"Medium","High"))</f>
        <v>High</v>
      </c>
      <c r="M1156" s="2" t="str">
        <f>IF(Sheet1[[#This Row],[days_to_process]]&lt;=30,"Fast","Slow")</f>
        <v>Fast</v>
      </c>
    </row>
    <row r="1157" spans="1:13" x14ac:dyDescent="0.3">
      <c r="A1157" t="s">
        <v>2134</v>
      </c>
      <c r="B1157" s="2" t="s">
        <v>2135</v>
      </c>
      <c r="C1157" s="1">
        <v>45432</v>
      </c>
      <c r="D1157" s="35">
        <v>497532.53</v>
      </c>
      <c r="E1157" s="2" t="s">
        <v>10</v>
      </c>
      <c r="F1157" s="2" t="s">
        <v>11</v>
      </c>
      <c r="G1157" s="2" t="s">
        <v>24</v>
      </c>
      <c r="H1157">
        <v>4</v>
      </c>
      <c r="I1157" s="2" t="str">
        <f>TEXT(Sheet1[[#This Row],[claim_date]],"mmmm")</f>
        <v>May</v>
      </c>
      <c r="J1157" s="2">
        <f>YEAR(Sheet1[[#This Row],[claim_date]])</f>
        <v>2024</v>
      </c>
      <c r="K1157" s="2" t="str">
        <f>"Q"&amp;ROUNDUP(MONTH(Sheet1[[#This Row],[claim_date]])/3,0)</f>
        <v>Q2</v>
      </c>
      <c r="L1157" s="2" t="str">
        <f>IF(Sheet1[[#This Row],[claim_amount]]&lt;100000,"Low",IF(Sheet1[[#This Row],[claim_amount]]&lt;200000,"Medium","High"))</f>
        <v>High</v>
      </c>
      <c r="M1157" s="2" t="str">
        <f>IF(Sheet1[[#This Row],[days_to_process]]&lt;=30,"Fast","Slow")</f>
        <v>Fast</v>
      </c>
    </row>
    <row r="1158" spans="1:13" x14ac:dyDescent="0.3">
      <c r="A1158" t="s">
        <v>2136</v>
      </c>
      <c r="B1158" s="2" t="s">
        <v>2137</v>
      </c>
      <c r="C1158" s="1">
        <v>44877</v>
      </c>
      <c r="D1158" s="35">
        <v>437622.74</v>
      </c>
      <c r="E1158" s="2" t="s">
        <v>15</v>
      </c>
      <c r="F1158" s="2" t="s">
        <v>16</v>
      </c>
      <c r="G1158" s="2" t="s">
        <v>24</v>
      </c>
      <c r="H1158">
        <v>51</v>
      </c>
      <c r="I1158" s="2" t="str">
        <f>TEXT(Sheet1[[#This Row],[claim_date]],"mmmm")</f>
        <v>November</v>
      </c>
      <c r="J1158" s="2">
        <f>YEAR(Sheet1[[#This Row],[claim_date]])</f>
        <v>2022</v>
      </c>
      <c r="K1158" s="2" t="str">
        <f>"Q"&amp;ROUNDUP(MONTH(Sheet1[[#This Row],[claim_date]])/3,0)</f>
        <v>Q4</v>
      </c>
      <c r="L1158" s="2" t="str">
        <f>IF(Sheet1[[#This Row],[claim_amount]]&lt;100000,"Low",IF(Sheet1[[#This Row],[claim_amount]]&lt;200000,"Medium","High"))</f>
        <v>High</v>
      </c>
      <c r="M1158" s="2" t="str">
        <f>IF(Sheet1[[#This Row],[days_to_process]]&lt;=30,"Fast","Slow")</f>
        <v>Slow</v>
      </c>
    </row>
    <row r="1159" spans="1:13" x14ac:dyDescent="0.3">
      <c r="A1159" t="s">
        <v>2138</v>
      </c>
      <c r="B1159" s="2" t="s">
        <v>2139</v>
      </c>
      <c r="C1159" s="1">
        <v>45776</v>
      </c>
      <c r="D1159" s="35">
        <v>170888.84</v>
      </c>
      <c r="E1159" s="2" t="s">
        <v>15</v>
      </c>
      <c r="F1159" s="2" t="s">
        <v>16</v>
      </c>
      <c r="G1159" s="2" t="s">
        <v>24</v>
      </c>
      <c r="H1159">
        <v>29</v>
      </c>
      <c r="I1159" s="2" t="str">
        <f>TEXT(Sheet1[[#This Row],[claim_date]],"mmmm")</f>
        <v>April</v>
      </c>
      <c r="J1159" s="2">
        <f>YEAR(Sheet1[[#This Row],[claim_date]])</f>
        <v>2025</v>
      </c>
      <c r="K1159" s="2" t="str">
        <f>"Q"&amp;ROUNDUP(MONTH(Sheet1[[#This Row],[claim_date]])/3,0)</f>
        <v>Q2</v>
      </c>
      <c r="L1159" s="2" t="str">
        <f>IF(Sheet1[[#This Row],[claim_amount]]&lt;100000,"Low",IF(Sheet1[[#This Row],[claim_amount]]&lt;200000,"Medium","High"))</f>
        <v>Medium</v>
      </c>
      <c r="M1159" s="2" t="str">
        <f>IF(Sheet1[[#This Row],[days_to_process]]&lt;=30,"Fast","Slow")</f>
        <v>Fast</v>
      </c>
    </row>
    <row r="1160" spans="1:13" x14ac:dyDescent="0.3">
      <c r="A1160" t="s">
        <v>2140</v>
      </c>
      <c r="B1160" s="2" t="s">
        <v>2141</v>
      </c>
      <c r="C1160" s="1">
        <v>44724</v>
      </c>
      <c r="D1160" s="35">
        <v>472180.56</v>
      </c>
      <c r="E1160" s="2" t="s">
        <v>10</v>
      </c>
      <c r="F1160" s="2" t="s">
        <v>34</v>
      </c>
      <c r="G1160" s="2" t="s">
        <v>24</v>
      </c>
      <c r="H1160">
        <v>26</v>
      </c>
      <c r="I1160" s="2" t="str">
        <f>TEXT(Sheet1[[#This Row],[claim_date]],"mmmm")</f>
        <v>June</v>
      </c>
      <c r="J1160" s="2">
        <f>YEAR(Sheet1[[#This Row],[claim_date]])</f>
        <v>2022</v>
      </c>
      <c r="K1160" s="2" t="str">
        <f>"Q"&amp;ROUNDUP(MONTH(Sheet1[[#This Row],[claim_date]])/3,0)</f>
        <v>Q2</v>
      </c>
      <c r="L1160" s="2" t="str">
        <f>IF(Sheet1[[#This Row],[claim_amount]]&lt;100000,"Low",IF(Sheet1[[#This Row],[claim_amount]]&lt;200000,"Medium","High"))</f>
        <v>High</v>
      </c>
      <c r="M1160" s="2" t="str">
        <f>IF(Sheet1[[#This Row],[days_to_process]]&lt;=30,"Fast","Slow")</f>
        <v>Fast</v>
      </c>
    </row>
    <row r="1161" spans="1:13" x14ac:dyDescent="0.3">
      <c r="A1161" t="s">
        <v>2142</v>
      </c>
      <c r="B1161" s="2" t="s">
        <v>2143</v>
      </c>
      <c r="C1161" s="1">
        <v>45228</v>
      </c>
      <c r="D1161" s="35">
        <v>281400.21000000002</v>
      </c>
      <c r="E1161" s="2" t="s">
        <v>15</v>
      </c>
      <c r="F1161" s="2" t="s">
        <v>16</v>
      </c>
      <c r="G1161" s="2" t="s">
        <v>12</v>
      </c>
      <c r="H1161">
        <v>30</v>
      </c>
      <c r="I1161" s="2" t="str">
        <f>TEXT(Sheet1[[#This Row],[claim_date]],"mmmm")</f>
        <v>October</v>
      </c>
      <c r="J1161" s="2">
        <f>YEAR(Sheet1[[#This Row],[claim_date]])</f>
        <v>2023</v>
      </c>
      <c r="K1161" s="2" t="str">
        <f>"Q"&amp;ROUNDUP(MONTH(Sheet1[[#This Row],[claim_date]])/3,0)</f>
        <v>Q4</v>
      </c>
      <c r="L1161" s="2" t="str">
        <f>IF(Sheet1[[#This Row],[claim_amount]]&lt;100000,"Low",IF(Sheet1[[#This Row],[claim_amount]]&lt;200000,"Medium","High"))</f>
        <v>High</v>
      </c>
      <c r="M1161" s="2" t="str">
        <f>IF(Sheet1[[#This Row],[days_to_process]]&lt;=30,"Fast","Slow")</f>
        <v>Fast</v>
      </c>
    </row>
    <row r="1162" spans="1:13" x14ac:dyDescent="0.3">
      <c r="A1162" t="s">
        <v>2144</v>
      </c>
      <c r="B1162" s="2" t="s">
        <v>2145</v>
      </c>
      <c r="C1162" s="1">
        <v>44800</v>
      </c>
      <c r="D1162" s="35">
        <v>299149.09000000003</v>
      </c>
      <c r="E1162" s="2" t="s">
        <v>15</v>
      </c>
      <c r="F1162" s="2" t="s">
        <v>34</v>
      </c>
      <c r="G1162" s="2" t="s">
        <v>12</v>
      </c>
      <c r="H1162">
        <v>13</v>
      </c>
      <c r="I1162" s="2" t="str">
        <f>TEXT(Sheet1[[#This Row],[claim_date]],"mmmm")</f>
        <v>August</v>
      </c>
      <c r="J1162" s="2">
        <f>YEAR(Sheet1[[#This Row],[claim_date]])</f>
        <v>2022</v>
      </c>
      <c r="K1162" s="2" t="str">
        <f>"Q"&amp;ROUNDUP(MONTH(Sheet1[[#This Row],[claim_date]])/3,0)</f>
        <v>Q3</v>
      </c>
      <c r="L1162" s="2" t="str">
        <f>IF(Sheet1[[#This Row],[claim_amount]]&lt;100000,"Low",IF(Sheet1[[#This Row],[claim_amount]]&lt;200000,"Medium","High"))</f>
        <v>High</v>
      </c>
      <c r="M1162" s="2" t="str">
        <f>IF(Sheet1[[#This Row],[days_to_process]]&lt;=30,"Fast","Slow")</f>
        <v>Fast</v>
      </c>
    </row>
    <row r="1163" spans="1:13" x14ac:dyDescent="0.3">
      <c r="A1163" t="s">
        <v>2146</v>
      </c>
      <c r="B1163" s="2" t="s">
        <v>2147</v>
      </c>
      <c r="C1163" s="1">
        <v>45542</v>
      </c>
      <c r="D1163" s="35">
        <v>191551.24</v>
      </c>
      <c r="E1163" s="2" t="s">
        <v>19</v>
      </c>
      <c r="F1163" s="2" t="s">
        <v>20</v>
      </c>
      <c r="G1163" s="2" t="s">
        <v>12</v>
      </c>
      <c r="H1163">
        <v>53</v>
      </c>
      <c r="I1163" s="2" t="str">
        <f>TEXT(Sheet1[[#This Row],[claim_date]],"mmmm")</f>
        <v>September</v>
      </c>
      <c r="J1163" s="2">
        <f>YEAR(Sheet1[[#This Row],[claim_date]])</f>
        <v>2024</v>
      </c>
      <c r="K1163" s="2" t="str">
        <f>"Q"&amp;ROUNDUP(MONTH(Sheet1[[#This Row],[claim_date]])/3,0)</f>
        <v>Q3</v>
      </c>
      <c r="L1163" s="2" t="str">
        <f>IF(Sheet1[[#This Row],[claim_amount]]&lt;100000,"Low",IF(Sheet1[[#This Row],[claim_amount]]&lt;200000,"Medium","High"))</f>
        <v>Medium</v>
      </c>
      <c r="M1163" s="2" t="str">
        <f>IF(Sheet1[[#This Row],[days_to_process]]&lt;=30,"Fast","Slow")</f>
        <v>Slow</v>
      </c>
    </row>
    <row r="1164" spans="1:13" x14ac:dyDescent="0.3">
      <c r="A1164" t="s">
        <v>2148</v>
      </c>
      <c r="B1164" s="2" t="s">
        <v>309</v>
      </c>
      <c r="C1164" s="1">
        <v>44869</v>
      </c>
      <c r="D1164" s="35">
        <v>160699.35</v>
      </c>
      <c r="E1164" s="2" t="s">
        <v>19</v>
      </c>
      <c r="F1164" s="2" t="s">
        <v>16</v>
      </c>
      <c r="G1164" s="2" t="s">
        <v>12</v>
      </c>
      <c r="H1164">
        <v>48</v>
      </c>
      <c r="I1164" s="2" t="str">
        <f>TEXT(Sheet1[[#This Row],[claim_date]],"mmmm")</f>
        <v>November</v>
      </c>
      <c r="J1164" s="2">
        <f>YEAR(Sheet1[[#This Row],[claim_date]])</f>
        <v>2022</v>
      </c>
      <c r="K1164" s="2" t="str">
        <f>"Q"&amp;ROUNDUP(MONTH(Sheet1[[#This Row],[claim_date]])/3,0)</f>
        <v>Q4</v>
      </c>
      <c r="L1164" s="2" t="str">
        <f>IF(Sheet1[[#This Row],[claim_amount]]&lt;100000,"Low",IF(Sheet1[[#This Row],[claim_amount]]&lt;200000,"Medium","High"))</f>
        <v>Medium</v>
      </c>
      <c r="M1164" s="2" t="str">
        <f>IF(Sheet1[[#This Row],[days_to_process]]&lt;=30,"Fast","Slow")</f>
        <v>Slow</v>
      </c>
    </row>
    <row r="1165" spans="1:13" x14ac:dyDescent="0.3">
      <c r="A1165" t="s">
        <v>2149</v>
      </c>
      <c r="B1165" s="2" t="s">
        <v>2150</v>
      </c>
      <c r="C1165" s="1">
        <v>44265</v>
      </c>
      <c r="D1165" s="35">
        <v>207532.35</v>
      </c>
      <c r="E1165" s="2" t="s">
        <v>15</v>
      </c>
      <c r="F1165" s="2" t="s">
        <v>20</v>
      </c>
      <c r="G1165" s="2" t="s">
        <v>24</v>
      </c>
      <c r="H1165">
        <v>59</v>
      </c>
      <c r="I1165" s="2" t="str">
        <f>TEXT(Sheet1[[#This Row],[claim_date]],"mmmm")</f>
        <v>March</v>
      </c>
      <c r="J1165" s="2">
        <f>YEAR(Sheet1[[#This Row],[claim_date]])</f>
        <v>2021</v>
      </c>
      <c r="K1165" s="2" t="str">
        <f>"Q"&amp;ROUNDUP(MONTH(Sheet1[[#This Row],[claim_date]])/3,0)</f>
        <v>Q1</v>
      </c>
      <c r="L1165" s="2" t="str">
        <f>IF(Sheet1[[#This Row],[claim_amount]]&lt;100000,"Low",IF(Sheet1[[#This Row],[claim_amount]]&lt;200000,"Medium","High"))</f>
        <v>High</v>
      </c>
      <c r="M1165" s="2" t="str">
        <f>IF(Sheet1[[#This Row],[days_to_process]]&lt;=30,"Fast","Slow")</f>
        <v>Slow</v>
      </c>
    </row>
    <row r="1166" spans="1:13" x14ac:dyDescent="0.3">
      <c r="A1166" t="s">
        <v>2151</v>
      </c>
      <c r="B1166" s="2" t="s">
        <v>2152</v>
      </c>
      <c r="C1166" s="1">
        <v>45218</v>
      </c>
      <c r="D1166" s="35">
        <v>147781.76000000001</v>
      </c>
      <c r="E1166" s="2" t="s">
        <v>19</v>
      </c>
      <c r="F1166" s="2" t="s">
        <v>20</v>
      </c>
      <c r="G1166" s="2" t="s">
        <v>24</v>
      </c>
      <c r="H1166">
        <v>27</v>
      </c>
      <c r="I1166" s="2" t="str">
        <f>TEXT(Sheet1[[#This Row],[claim_date]],"mmmm")</f>
        <v>October</v>
      </c>
      <c r="J1166" s="2">
        <f>YEAR(Sheet1[[#This Row],[claim_date]])</f>
        <v>2023</v>
      </c>
      <c r="K1166" s="2" t="str">
        <f>"Q"&amp;ROUNDUP(MONTH(Sheet1[[#This Row],[claim_date]])/3,0)</f>
        <v>Q4</v>
      </c>
      <c r="L1166" s="2" t="str">
        <f>IF(Sheet1[[#This Row],[claim_amount]]&lt;100000,"Low",IF(Sheet1[[#This Row],[claim_amount]]&lt;200000,"Medium","High"))</f>
        <v>Medium</v>
      </c>
      <c r="M1166" s="2" t="str">
        <f>IF(Sheet1[[#This Row],[days_to_process]]&lt;=30,"Fast","Slow")</f>
        <v>Fast</v>
      </c>
    </row>
    <row r="1167" spans="1:13" x14ac:dyDescent="0.3">
      <c r="A1167" t="s">
        <v>2153</v>
      </c>
      <c r="B1167" s="2" t="s">
        <v>2154</v>
      </c>
      <c r="C1167" s="1">
        <v>44970</v>
      </c>
      <c r="D1167" s="35">
        <v>78301.16</v>
      </c>
      <c r="E1167" s="2" t="s">
        <v>10</v>
      </c>
      <c r="F1167" s="2" t="s">
        <v>16</v>
      </c>
      <c r="G1167" s="2" t="s">
        <v>24</v>
      </c>
      <c r="H1167">
        <v>36</v>
      </c>
      <c r="I1167" s="2" t="str">
        <f>TEXT(Sheet1[[#This Row],[claim_date]],"mmmm")</f>
        <v>February</v>
      </c>
      <c r="J1167" s="2">
        <f>YEAR(Sheet1[[#This Row],[claim_date]])</f>
        <v>2023</v>
      </c>
      <c r="K1167" s="2" t="str">
        <f>"Q"&amp;ROUNDUP(MONTH(Sheet1[[#This Row],[claim_date]])/3,0)</f>
        <v>Q1</v>
      </c>
      <c r="L1167" s="2" t="str">
        <f>IF(Sheet1[[#This Row],[claim_amount]]&lt;100000,"Low",IF(Sheet1[[#This Row],[claim_amount]]&lt;200000,"Medium","High"))</f>
        <v>Low</v>
      </c>
      <c r="M1167" s="2" t="str">
        <f>IF(Sheet1[[#This Row],[days_to_process]]&lt;=30,"Fast","Slow")</f>
        <v>Slow</v>
      </c>
    </row>
    <row r="1168" spans="1:13" x14ac:dyDescent="0.3">
      <c r="A1168" t="s">
        <v>2155</v>
      </c>
      <c r="B1168" s="2" t="s">
        <v>2133</v>
      </c>
      <c r="C1168" s="1">
        <v>45313</v>
      </c>
      <c r="D1168" s="35">
        <v>131785.54999999999</v>
      </c>
      <c r="E1168" s="2" t="s">
        <v>15</v>
      </c>
      <c r="F1168" s="2" t="s">
        <v>34</v>
      </c>
      <c r="G1168" s="2" t="s">
        <v>24</v>
      </c>
      <c r="H1168">
        <v>37</v>
      </c>
      <c r="I1168" s="2" t="str">
        <f>TEXT(Sheet1[[#This Row],[claim_date]],"mmmm")</f>
        <v>January</v>
      </c>
      <c r="J1168" s="2">
        <f>YEAR(Sheet1[[#This Row],[claim_date]])</f>
        <v>2024</v>
      </c>
      <c r="K1168" s="2" t="str">
        <f>"Q"&amp;ROUNDUP(MONTH(Sheet1[[#This Row],[claim_date]])/3,0)</f>
        <v>Q1</v>
      </c>
      <c r="L1168" s="2" t="str">
        <f>IF(Sheet1[[#This Row],[claim_amount]]&lt;100000,"Low",IF(Sheet1[[#This Row],[claim_amount]]&lt;200000,"Medium","High"))</f>
        <v>Medium</v>
      </c>
      <c r="M1168" s="2" t="str">
        <f>IF(Sheet1[[#This Row],[days_to_process]]&lt;=30,"Fast","Slow")</f>
        <v>Slow</v>
      </c>
    </row>
    <row r="1169" spans="1:13" x14ac:dyDescent="0.3">
      <c r="A1169" t="s">
        <v>2156</v>
      </c>
      <c r="B1169" s="2" t="s">
        <v>2157</v>
      </c>
      <c r="C1169" s="1">
        <v>45433</v>
      </c>
      <c r="D1169" s="35">
        <v>93920.99</v>
      </c>
      <c r="E1169" s="2" t="s">
        <v>15</v>
      </c>
      <c r="F1169" s="2" t="s">
        <v>23</v>
      </c>
      <c r="G1169" s="2" t="s">
        <v>12</v>
      </c>
      <c r="H1169">
        <v>53</v>
      </c>
      <c r="I1169" s="2" t="str">
        <f>TEXT(Sheet1[[#This Row],[claim_date]],"mmmm")</f>
        <v>May</v>
      </c>
      <c r="J1169" s="2">
        <f>YEAR(Sheet1[[#This Row],[claim_date]])</f>
        <v>2024</v>
      </c>
      <c r="K1169" s="2" t="str">
        <f>"Q"&amp;ROUNDUP(MONTH(Sheet1[[#This Row],[claim_date]])/3,0)</f>
        <v>Q2</v>
      </c>
      <c r="L1169" s="2" t="str">
        <f>IF(Sheet1[[#This Row],[claim_amount]]&lt;100000,"Low",IF(Sheet1[[#This Row],[claim_amount]]&lt;200000,"Medium","High"))</f>
        <v>Low</v>
      </c>
      <c r="M1169" s="2" t="str">
        <f>IF(Sheet1[[#This Row],[days_to_process]]&lt;=30,"Fast","Slow")</f>
        <v>Slow</v>
      </c>
    </row>
    <row r="1170" spans="1:13" x14ac:dyDescent="0.3">
      <c r="A1170" t="s">
        <v>2158</v>
      </c>
      <c r="B1170" s="2" t="s">
        <v>2159</v>
      </c>
      <c r="C1170" s="1">
        <v>44952</v>
      </c>
      <c r="D1170" s="35">
        <v>305939.76</v>
      </c>
      <c r="E1170" s="2" t="s">
        <v>19</v>
      </c>
      <c r="F1170" s="2" t="s">
        <v>34</v>
      </c>
      <c r="G1170" s="2" t="s">
        <v>24</v>
      </c>
      <c r="H1170">
        <v>54</v>
      </c>
      <c r="I1170" s="2" t="str">
        <f>TEXT(Sheet1[[#This Row],[claim_date]],"mmmm")</f>
        <v>January</v>
      </c>
      <c r="J1170" s="2">
        <f>YEAR(Sheet1[[#This Row],[claim_date]])</f>
        <v>2023</v>
      </c>
      <c r="K1170" s="2" t="str">
        <f>"Q"&amp;ROUNDUP(MONTH(Sheet1[[#This Row],[claim_date]])/3,0)</f>
        <v>Q1</v>
      </c>
      <c r="L1170" s="2" t="str">
        <f>IF(Sheet1[[#This Row],[claim_amount]]&lt;100000,"Low",IF(Sheet1[[#This Row],[claim_amount]]&lt;200000,"Medium","High"))</f>
        <v>High</v>
      </c>
      <c r="M1170" s="2" t="str">
        <f>IF(Sheet1[[#This Row],[days_to_process]]&lt;=30,"Fast","Slow")</f>
        <v>Slow</v>
      </c>
    </row>
    <row r="1171" spans="1:13" x14ac:dyDescent="0.3">
      <c r="A1171" t="s">
        <v>2160</v>
      </c>
      <c r="B1171" s="2" t="s">
        <v>2161</v>
      </c>
      <c r="C1171" s="1">
        <v>45443</v>
      </c>
      <c r="D1171" s="35">
        <v>114792.34</v>
      </c>
      <c r="E1171" s="2" t="s">
        <v>19</v>
      </c>
      <c r="F1171" s="2" t="s">
        <v>34</v>
      </c>
      <c r="G1171" s="2" t="s">
        <v>12</v>
      </c>
      <c r="H1171">
        <v>42</v>
      </c>
      <c r="I1171" s="2" t="str">
        <f>TEXT(Sheet1[[#This Row],[claim_date]],"mmmm")</f>
        <v>May</v>
      </c>
      <c r="J1171" s="2">
        <f>YEAR(Sheet1[[#This Row],[claim_date]])</f>
        <v>2024</v>
      </c>
      <c r="K1171" s="2" t="str">
        <f>"Q"&amp;ROUNDUP(MONTH(Sheet1[[#This Row],[claim_date]])/3,0)</f>
        <v>Q2</v>
      </c>
      <c r="L1171" s="2" t="str">
        <f>IF(Sheet1[[#This Row],[claim_amount]]&lt;100000,"Low",IF(Sheet1[[#This Row],[claim_amount]]&lt;200000,"Medium","High"))</f>
        <v>Medium</v>
      </c>
      <c r="M1171" s="2" t="str">
        <f>IF(Sheet1[[#This Row],[days_to_process]]&lt;=30,"Fast","Slow")</f>
        <v>Slow</v>
      </c>
    </row>
    <row r="1172" spans="1:13" x14ac:dyDescent="0.3">
      <c r="A1172" t="s">
        <v>2162</v>
      </c>
      <c r="B1172" s="2" t="s">
        <v>2163</v>
      </c>
      <c r="C1172" s="1">
        <v>45386</v>
      </c>
      <c r="D1172" s="35">
        <v>131611.45000000001</v>
      </c>
      <c r="E1172" s="2" t="s">
        <v>19</v>
      </c>
      <c r="F1172" s="2" t="s">
        <v>20</v>
      </c>
      <c r="G1172" s="2" t="s">
        <v>24</v>
      </c>
      <c r="H1172">
        <v>19</v>
      </c>
      <c r="I1172" s="2" t="str">
        <f>TEXT(Sheet1[[#This Row],[claim_date]],"mmmm")</f>
        <v>April</v>
      </c>
      <c r="J1172" s="2">
        <f>YEAR(Sheet1[[#This Row],[claim_date]])</f>
        <v>2024</v>
      </c>
      <c r="K1172" s="2" t="str">
        <f>"Q"&amp;ROUNDUP(MONTH(Sheet1[[#This Row],[claim_date]])/3,0)</f>
        <v>Q2</v>
      </c>
      <c r="L1172" s="2" t="str">
        <f>IF(Sheet1[[#This Row],[claim_amount]]&lt;100000,"Low",IF(Sheet1[[#This Row],[claim_amount]]&lt;200000,"Medium","High"))</f>
        <v>Medium</v>
      </c>
      <c r="M1172" s="2" t="str">
        <f>IF(Sheet1[[#This Row],[days_to_process]]&lt;=30,"Fast","Slow")</f>
        <v>Fast</v>
      </c>
    </row>
    <row r="1173" spans="1:13" x14ac:dyDescent="0.3">
      <c r="A1173" t="s">
        <v>2164</v>
      </c>
      <c r="B1173" s="2" t="s">
        <v>2165</v>
      </c>
      <c r="C1173" s="1">
        <v>44433</v>
      </c>
      <c r="D1173" s="35">
        <v>342089.73</v>
      </c>
      <c r="E1173" s="2" t="s">
        <v>19</v>
      </c>
      <c r="F1173" s="2" t="s">
        <v>23</v>
      </c>
      <c r="G1173" s="2" t="s">
        <v>24</v>
      </c>
      <c r="H1173">
        <v>49</v>
      </c>
      <c r="I1173" s="2" t="str">
        <f>TEXT(Sheet1[[#This Row],[claim_date]],"mmmm")</f>
        <v>August</v>
      </c>
      <c r="J1173" s="2">
        <f>YEAR(Sheet1[[#This Row],[claim_date]])</f>
        <v>2021</v>
      </c>
      <c r="K1173" s="2" t="str">
        <f>"Q"&amp;ROUNDUP(MONTH(Sheet1[[#This Row],[claim_date]])/3,0)</f>
        <v>Q3</v>
      </c>
      <c r="L1173" s="2" t="str">
        <f>IF(Sheet1[[#This Row],[claim_amount]]&lt;100000,"Low",IF(Sheet1[[#This Row],[claim_amount]]&lt;200000,"Medium","High"))</f>
        <v>High</v>
      </c>
      <c r="M1173" s="2" t="str">
        <f>IF(Sheet1[[#This Row],[days_to_process]]&lt;=30,"Fast","Slow")</f>
        <v>Slow</v>
      </c>
    </row>
    <row r="1174" spans="1:13" x14ac:dyDescent="0.3">
      <c r="A1174" t="s">
        <v>2166</v>
      </c>
      <c r="B1174" s="2" t="s">
        <v>2167</v>
      </c>
      <c r="C1174" s="1">
        <v>45405</v>
      </c>
      <c r="D1174" s="35">
        <v>439792.36</v>
      </c>
      <c r="E1174" s="2" t="s">
        <v>15</v>
      </c>
      <c r="F1174" s="2" t="s">
        <v>20</v>
      </c>
      <c r="G1174" s="2" t="s">
        <v>24</v>
      </c>
      <c r="H1174">
        <v>36</v>
      </c>
      <c r="I1174" s="2" t="str">
        <f>TEXT(Sheet1[[#This Row],[claim_date]],"mmmm")</f>
        <v>April</v>
      </c>
      <c r="J1174" s="2">
        <f>YEAR(Sheet1[[#This Row],[claim_date]])</f>
        <v>2024</v>
      </c>
      <c r="K1174" s="2" t="str">
        <f>"Q"&amp;ROUNDUP(MONTH(Sheet1[[#This Row],[claim_date]])/3,0)</f>
        <v>Q2</v>
      </c>
      <c r="L1174" s="2" t="str">
        <f>IF(Sheet1[[#This Row],[claim_amount]]&lt;100000,"Low",IF(Sheet1[[#This Row],[claim_amount]]&lt;200000,"Medium","High"))</f>
        <v>High</v>
      </c>
      <c r="M1174" s="2" t="str">
        <f>IF(Sheet1[[#This Row],[days_to_process]]&lt;=30,"Fast","Slow")</f>
        <v>Slow</v>
      </c>
    </row>
    <row r="1175" spans="1:13" x14ac:dyDescent="0.3">
      <c r="A1175" t="s">
        <v>2168</v>
      </c>
      <c r="B1175" s="2" t="s">
        <v>2169</v>
      </c>
      <c r="C1175" s="1">
        <v>45435</v>
      </c>
      <c r="D1175" s="35">
        <v>25378.46</v>
      </c>
      <c r="E1175" s="2" t="s">
        <v>19</v>
      </c>
      <c r="F1175" s="2" t="s">
        <v>23</v>
      </c>
      <c r="G1175" s="2" t="s">
        <v>12</v>
      </c>
      <c r="H1175">
        <v>33</v>
      </c>
      <c r="I1175" s="2" t="str">
        <f>TEXT(Sheet1[[#This Row],[claim_date]],"mmmm")</f>
        <v>May</v>
      </c>
      <c r="J1175" s="2">
        <f>YEAR(Sheet1[[#This Row],[claim_date]])</f>
        <v>2024</v>
      </c>
      <c r="K1175" s="2" t="str">
        <f>"Q"&amp;ROUNDUP(MONTH(Sheet1[[#This Row],[claim_date]])/3,0)</f>
        <v>Q2</v>
      </c>
      <c r="L1175" s="2" t="str">
        <f>IF(Sheet1[[#This Row],[claim_amount]]&lt;100000,"Low",IF(Sheet1[[#This Row],[claim_amount]]&lt;200000,"Medium","High"))</f>
        <v>Low</v>
      </c>
      <c r="M1175" s="2" t="str">
        <f>IF(Sheet1[[#This Row],[days_to_process]]&lt;=30,"Fast","Slow")</f>
        <v>Slow</v>
      </c>
    </row>
    <row r="1176" spans="1:13" x14ac:dyDescent="0.3">
      <c r="A1176" t="s">
        <v>2170</v>
      </c>
      <c r="B1176" s="2" t="s">
        <v>2171</v>
      </c>
      <c r="C1176" s="1">
        <v>45032</v>
      </c>
      <c r="D1176" s="35">
        <v>341288.64</v>
      </c>
      <c r="E1176" s="2" t="s">
        <v>19</v>
      </c>
      <c r="F1176" s="2" t="s">
        <v>20</v>
      </c>
      <c r="G1176" s="2" t="s">
        <v>12</v>
      </c>
      <c r="H1176">
        <v>34</v>
      </c>
      <c r="I1176" s="2" t="str">
        <f>TEXT(Sheet1[[#This Row],[claim_date]],"mmmm")</f>
        <v>April</v>
      </c>
      <c r="J1176" s="2">
        <f>YEAR(Sheet1[[#This Row],[claim_date]])</f>
        <v>2023</v>
      </c>
      <c r="K1176" s="2" t="str">
        <f>"Q"&amp;ROUNDUP(MONTH(Sheet1[[#This Row],[claim_date]])/3,0)</f>
        <v>Q2</v>
      </c>
      <c r="L1176" s="2" t="str">
        <f>IF(Sheet1[[#This Row],[claim_amount]]&lt;100000,"Low",IF(Sheet1[[#This Row],[claim_amount]]&lt;200000,"Medium","High"))</f>
        <v>High</v>
      </c>
      <c r="M1176" s="2" t="str">
        <f>IF(Sheet1[[#This Row],[days_to_process]]&lt;=30,"Fast","Slow")</f>
        <v>Slow</v>
      </c>
    </row>
    <row r="1177" spans="1:13" x14ac:dyDescent="0.3">
      <c r="A1177" t="s">
        <v>2172</v>
      </c>
      <c r="B1177" s="2" t="s">
        <v>533</v>
      </c>
      <c r="C1177" s="1">
        <v>45058</v>
      </c>
      <c r="D1177" s="35">
        <v>349992.65</v>
      </c>
      <c r="E1177" s="2" t="s">
        <v>15</v>
      </c>
      <c r="F1177" s="2" t="s">
        <v>23</v>
      </c>
      <c r="G1177" s="2" t="s">
        <v>12</v>
      </c>
      <c r="H1177">
        <v>47</v>
      </c>
      <c r="I1177" s="2" t="str">
        <f>TEXT(Sheet1[[#This Row],[claim_date]],"mmmm")</f>
        <v>May</v>
      </c>
      <c r="J1177" s="2">
        <f>YEAR(Sheet1[[#This Row],[claim_date]])</f>
        <v>2023</v>
      </c>
      <c r="K1177" s="2" t="str">
        <f>"Q"&amp;ROUNDUP(MONTH(Sheet1[[#This Row],[claim_date]])/3,0)</f>
        <v>Q2</v>
      </c>
      <c r="L1177" s="2" t="str">
        <f>IF(Sheet1[[#This Row],[claim_amount]]&lt;100000,"Low",IF(Sheet1[[#This Row],[claim_amount]]&lt;200000,"Medium","High"))</f>
        <v>High</v>
      </c>
      <c r="M1177" s="2" t="str">
        <f>IF(Sheet1[[#This Row],[days_to_process]]&lt;=30,"Fast","Slow")</f>
        <v>Slow</v>
      </c>
    </row>
    <row r="1178" spans="1:13" x14ac:dyDescent="0.3">
      <c r="A1178" t="s">
        <v>2173</v>
      </c>
      <c r="B1178" s="2" t="s">
        <v>2174</v>
      </c>
      <c r="C1178" s="1">
        <v>45567</v>
      </c>
      <c r="D1178" s="35">
        <v>311040.68</v>
      </c>
      <c r="E1178" s="2" t="s">
        <v>15</v>
      </c>
      <c r="F1178" s="2" t="s">
        <v>20</v>
      </c>
      <c r="G1178" s="2" t="s">
        <v>24</v>
      </c>
      <c r="H1178">
        <v>44</v>
      </c>
      <c r="I1178" s="2" t="str">
        <f>TEXT(Sheet1[[#This Row],[claim_date]],"mmmm")</f>
        <v>October</v>
      </c>
      <c r="J1178" s="2">
        <f>YEAR(Sheet1[[#This Row],[claim_date]])</f>
        <v>2024</v>
      </c>
      <c r="K1178" s="2" t="str">
        <f>"Q"&amp;ROUNDUP(MONTH(Sheet1[[#This Row],[claim_date]])/3,0)</f>
        <v>Q4</v>
      </c>
      <c r="L1178" s="2" t="str">
        <f>IF(Sheet1[[#This Row],[claim_amount]]&lt;100000,"Low",IF(Sheet1[[#This Row],[claim_amount]]&lt;200000,"Medium","High"))</f>
        <v>High</v>
      </c>
      <c r="M1178" s="2" t="str">
        <f>IF(Sheet1[[#This Row],[days_to_process]]&lt;=30,"Fast","Slow")</f>
        <v>Slow</v>
      </c>
    </row>
    <row r="1179" spans="1:13" x14ac:dyDescent="0.3">
      <c r="A1179" t="s">
        <v>2175</v>
      </c>
      <c r="B1179" s="2" t="s">
        <v>2176</v>
      </c>
      <c r="C1179" s="1">
        <v>45637</v>
      </c>
      <c r="D1179" s="35">
        <v>354958.52</v>
      </c>
      <c r="E1179" s="2" t="s">
        <v>19</v>
      </c>
      <c r="F1179" s="2" t="s">
        <v>34</v>
      </c>
      <c r="G1179" s="2" t="s">
        <v>24</v>
      </c>
      <c r="H1179">
        <v>41</v>
      </c>
      <c r="I1179" s="2" t="str">
        <f>TEXT(Sheet1[[#This Row],[claim_date]],"mmmm")</f>
        <v>December</v>
      </c>
      <c r="J1179" s="2">
        <f>YEAR(Sheet1[[#This Row],[claim_date]])</f>
        <v>2024</v>
      </c>
      <c r="K1179" s="2" t="str">
        <f>"Q"&amp;ROUNDUP(MONTH(Sheet1[[#This Row],[claim_date]])/3,0)</f>
        <v>Q4</v>
      </c>
      <c r="L1179" s="2" t="str">
        <f>IF(Sheet1[[#This Row],[claim_amount]]&lt;100000,"Low",IF(Sheet1[[#This Row],[claim_amount]]&lt;200000,"Medium","High"))</f>
        <v>High</v>
      </c>
      <c r="M1179" s="2" t="str">
        <f>IF(Sheet1[[#This Row],[days_to_process]]&lt;=30,"Fast","Slow")</f>
        <v>Slow</v>
      </c>
    </row>
    <row r="1180" spans="1:13" x14ac:dyDescent="0.3">
      <c r="A1180" t="s">
        <v>2177</v>
      </c>
      <c r="B1180" s="2" t="s">
        <v>121</v>
      </c>
      <c r="C1180" s="1">
        <v>44909</v>
      </c>
      <c r="D1180" s="35">
        <v>50670.67</v>
      </c>
      <c r="E1180" s="2" t="s">
        <v>10</v>
      </c>
      <c r="F1180" s="2" t="s">
        <v>16</v>
      </c>
      <c r="G1180" s="2" t="s">
        <v>24</v>
      </c>
      <c r="H1180">
        <v>5</v>
      </c>
      <c r="I1180" s="2" t="str">
        <f>TEXT(Sheet1[[#This Row],[claim_date]],"mmmm")</f>
        <v>December</v>
      </c>
      <c r="J1180" s="2">
        <f>YEAR(Sheet1[[#This Row],[claim_date]])</f>
        <v>2022</v>
      </c>
      <c r="K1180" s="2" t="str">
        <f>"Q"&amp;ROUNDUP(MONTH(Sheet1[[#This Row],[claim_date]])/3,0)</f>
        <v>Q4</v>
      </c>
      <c r="L1180" s="2" t="str">
        <f>IF(Sheet1[[#This Row],[claim_amount]]&lt;100000,"Low",IF(Sheet1[[#This Row],[claim_amount]]&lt;200000,"Medium","High"))</f>
        <v>Low</v>
      </c>
      <c r="M1180" s="2" t="str">
        <f>IF(Sheet1[[#This Row],[days_to_process]]&lt;=30,"Fast","Slow")</f>
        <v>Fast</v>
      </c>
    </row>
    <row r="1181" spans="1:13" x14ac:dyDescent="0.3">
      <c r="A1181" t="s">
        <v>2178</v>
      </c>
      <c r="B1181" s="2" t="s">
        <v>1169</v>
      </c>
      <c r="C1181" s="1">
        <v>44922</v>
      </c>
      <c r="D1181" s="35">
        <v>94163.46</v>
      </c>
      <c r="E1181" s="2" t="s">
        <v>15</v>
      </c>
      <c r="F1181" s="2" t="s">
        <v>16</v>
      </c>
      <c r="G1181" s="2" t="s">
        <v>24</v>
      </c>
      <c r="H1181">
        <v>53</v>
      </c>
      <c r="I1181" s="2" t="str">
        <f>TEXT(Sheet1[[#This Row],[claim_date]],"mmmm")</f>
        <v>December</v>
      </c>
      <c r="J1181" s="2">
        <f>YEAR(Sheet1[[#This Row],[claim_date]])</f>
        <v>2022</v>
      </c>
      <c r="K1181" s="2" t="str">
        <f>"Q"&amp;ROUNDUP(MONTH(Sheet1[[#This Row],[claim_date]])/3,0)</f>
        <v>Q4</v>
      </c>
      <c r="L1181" s="2" t="str">
        <f>IF(Sheet1[[#This Row],[claim_amount]]&lt;100000,"Low",IF(Sheet1[[#This Row],[claim_amount]]&lt;200000,"Medium","High"))</f>
        <v>Low</v>
      </c>
      <c r="M1181" s="2" t="str">
        <f>IF(Sheet1[[#This Row],[days_to_process]]&lt;=30,"Fast","Slow")</f>
        <v>Slow</v>
      </c>
    </row>
    <row r="1182" spans="1:13" x14ac:dyDescent="0.3">
      <c r="A1182" t="s">
        <v>2179</v>
      </c>
      <c r="B1182" s="2" t="s">
        <v>2180</v>
      </c>
      <c r="C1182" s="1">
        <v>45599</v>
      </c>
      <c r="D1182" s="35">
        <v>275497.12</v>
      </c>
      <c r="E1182" s="2" t="s">
        <v>19</v>
      </c>
      <c r="F1182" s="2" t="s">
        <v>23</v>
      </c>
      <c r="G1182" s="2" t="s">
        <v>24</v>
      </c>
      <c r="H1182">
        <v>21</v>
      </c>
      <c r="I1182" s="2" t="str">
        <f>TEXT(Sheet1[[#This Row],[claim_date]],"mmmm")</f>
        <v>November</v>
      </c>
      <c r="J1182" s="2">
        <f>YEAR(Sheet1[[#This Row],[claim_date]])</f>
        <v>2024</v>
      </c>
      <c r="K1182" s="2" t="str">
        <f>"Q"&amp;ROUNDUP(MONTH(Sheet1[[#This Row],[claim_date]])/3,0)</f>
        <v>Q4</v>
      </c>
      <c r="L1182" s="2" t="str">
        <f>IF(Sheet1[[#This Row],[claim_amount]]&lt;100000,"Low",IF(Sheet1[[#This Row],[claim_amount]]&lt;200000,"Medium","High"))</f>
        <v>High</v>
      </c>
      <c r="M1182" s="2" t="str">
        <f>IF(Sheet1[[#This Row],[days_to_process]]&lt;=30,"Fast","Slow")</f>
        <v>Fast</v>
      </c>
    </row>
    <row r="1183" spans="1:13" x14ac:dyDescent="0.3">
      <c r="A1183" t="s">
        <v>2181</v>
      </c>
      <c r="B1183" s="2" t="s">
        <v>2182</v>
      </c>
      <c r="C1183" s="1">
        <v>45505</v>
      </c>
      <c r="D1183" s="35">
        <v>342731.75</v>
      </c>
      <c r="E1183" s="2" t="s">
        <v>15</v>
      </c>
      <c r="F1183" s="2" t="s">
        <v>23</v>
      </c>
      <c r="G1183" s="2" t="s">
        <v>12</v>
      </c>
      <c r="H1183">
        <v>12</v>
      </c>
      <c r="I1183" s="2" t="str">
        <f>TEXT(Sheet1[[#This Row],[claim_date]],"mmmm")</f>
        <v>August</v>
      </c>
      <c r="J1183" s="2">
        <f>YEAR(Sheet1[[#This Row],[claim_date]])</f>
        <v>2024</v>
      </c>
      <c r="K1183" s="2" t="str">
        <f>"Q"&amp;ROUNDUP(MONTH(Sheet1[[#This Row],[claim_date]])/3,0)</f>
        <v>Q3</v>
      </c>
      <c r="L1183" s="2" t="str">
        <f>IF(Sheet1[[#This Row],[claim_amount]]&lt;100000,"Low",IF(Sheet1[[#This Row],[claim_amount]]&lt;200000,"Medium","High"))</f>
        <v>High</v>
      </c>
      <c r="M1183" s="2" t="str">
        <f>IF(Sheet1[[#This Row],[days_to_process]]&lt;=30,"Fast","Slow")</f>
        <v>Fast</v>
      </c>
    </row>
    <row r="1184" spans="1:13" x14ac:dyDescent="0.3">
      <c r="A1184" t="s">
        <v>2183</v>
      </c>
      <c r="B1184" s="2" t="s">
        <v>2184</v>
      </c>
      <c r="C1184" s="1">
        <v>44406</v>
      </c>
      <c r="D1184" s="35">
        <v>373385.59</v>
      </c>
      <c r="E1184" s="2" t="s">
        <v>19</v>
      </c>
      <c r="F1184" s="2" t="s">
        <v>11</v>
      </c>
      <c r="G1184" s="2" t="s">
        <v>24</v>
      </c>
      <c r="H1184">
        <v>31</v>
      </c>
      <c r="I1184" s="2" t="str">
        <f>TEXT(Sheet1[[#This Row],[claim_date]],"mmmm")</f>
        <v>July</v>
      </c>
      <c r="J1184" s="2">
        <f>YEAR(Sheet1[[#This Row],[claim_date]])</f>
        <v>2021</v>
      </c>
      <c r="K1184" s="2" t="str">
        <f>"Q"&amp;ROUNDUP(MONTH(Sheet1[[#This Row],[claim_date]])/3,0)</f>
        <v>Q3</v>
      </c>
      <c r="L1184" s="2" t="str">
        <f>IF(Sheet1[[#This Row],[claim_amount]]&lt;100000,"Low",IF(Sheet1[[#This Row],[claim_amount]]&lt;200000,"Medium","High"))</f>
        <v>High</v>
      </c>
      <c r="M1184" s="2" t="str">
        <f>IF(Sheet1[[#This Row],[days_to_process]]&lt;=30,"Fast","Slow")</f>
        <v>Slow</v>
      </c>
    </row>
    <row r="1185" spans="1:13" x14ac:dyDescent="0.3">
      <c r="A1185" t="s">
        <v>2185</v>
      </c>
      <c r="B1185" s="2" t="s">
        <v>2186</v>
      </c>
      <c r="C1185" s="1">
        <v>44889</v>
      </c>
      <c r="D1185" s="35">
        <v>94472.02</v>
      </c>
      <c r="E1185" s="2" t="s">
        <v>15</v>
      </c>
      <c r="F1185" s="2" t="s">
        <v>23</v>
      </c>
      <c r="G1185" s="2" t="s">
        <v>12</v>
      </c>
      <c r="H1185">
        <v>3</v>
      </c>
      <c r="I1185" s="2" t="str">
        <f>TEXT(Sheet1[[#This Row],[claim_date]],"mmmm")</f>
        <v>November</v>
      </c>
      <c r="J1185" s="2">
        <f>YEAR(Sheet1[[#This Row],[claim_date]])</f>
        <v>2022</v>
      </c>
      <c r="K1185" s="2" t="str">
        <f>"Q"&amp;ROUNDUP(MONTH(Sheet1[[#This Row],[claim_date]])/3,0)</f>
        <v>Q4</v>
      </c>
      <c r="L1185" s="2" t="str">
        <f>IF(Sheet1[[#This Row],[claim_amount]]&lt;100000,"Low",IF(Sheet1[[#This Row],[claim_amount]]&lt;200000,"Medium","High"))</f>
        <v>Low</v>
      </c>
      <c r="M1185" s="2" t="str">
        <f>IF(Sheet1[[#This Row],[days_to_process]]&lt;=30,"Fast","Slow")</f>
        <v>Fast</v>
      </c>
    </row>
    <row r="1186" spans="1:13" x14ac:dyDescent="0.3">
      <c r="A1186" t="s">
        <v>2187</v>
      </c>
      <c r="B1186" s="2" t="s">
        <v>2188</v>
      </c>
      <c r="C1186" s="1">
        <v>45101</v>
      </c>
      <c r="D1186" s="35">
        <v>115651.24</v>
      </c>
      <c r="E1186" s="2" t="s">
        <v>10</v>
      </c>
      <c r="F1186" s="2" t="s">
        <v>20</v>
      </c>
      <c r="G1186" s="2" t="s">
        <v>24</v>
      </c>
      <c r="H1186">
        <v>23</v>
      </c>
      <c r="I1186" s="2" t="str">
        <f>TEXT(Sheet1[[#This Row],[claim_date]],"mmmm")</f>
        <v>June</v>
      </c>
      <c r="J1186" s="2">
        <f>YEAR(Sheet1[[#This Row],[claim_date]])</f>
        <v>2023</v>
      </c>
      <c r="K1186" s="2" t="str">
        <f>"Q"&amp;ROUNDUP(MONTH(Sheet1[[#This Row],[claim_date]])/3,0)</f>
        <v>Q2</v>
      </c>
      <c r="L1186" s="2" t="str">
        <f>IF(Sheet1[[#This Row],[claim_amount]]&lt;100000,"Low",IF(Sheet1[[#This Row],[claim_amount]]&lt;200000,"Medium","High"))</f>
        <v>Medium</v>
      </c>
      <c r="M1186" s="2" t="str">
        <f>IF(Sheet1[[#This Row],[days_to_process]]&lt;=30,"Fast","Slow")</f>
        <v>Fast</v>
      </c>
    </row>
    <row r="1187" spans="1:13" x14ac:dyDescent="0.3">
      <c r="A1187" t="s">
        <v>2189</v>
      </c>
      <c r="B1187" s="2" t="s">
        <v>2190</v>
      </c>
      <c r="C1187" s="1">
        <v>45790</v>
      </c>
      <c r="D1187" s="35">
        <v>282410.64</v>
      </c>
      <c r="E1187" s="2" t="s">
        <v>15</v>
      </c>
      <c r="F1187" s="2" t="s">
        <v>11</v>
      </c>
      <c r="G1187" s="2" t="s">
        <v>24</v>
      </c>
      <c r="H1187">
        <v>6</v>
      </c>
      <c r="I1187" s="2" t="str">
        <f>TEXT(Sheet1[[#This Row],[claim_date]],"mmmm")</f>
        <v>May</v>
      </c>
      <c r="J1187" s="2">
        <f>YEAR(Sheet1[[#This Row],[claim_date]])</f>
        <v>2025</v>
      </c>
      <c r="K1187" s="2" t="str">
        <f>"Q"&amp;ROUNDUP(MONTH(Sheet1[[#This Row],[claim_date]])/3,0)</f>
        <v>Q2</v>
      </c>
      <c r="L1187" s="2" t="str">
        <f>IF(Sheet1[[#This Row],[claim_amount]]&lt;100000,"Low",IF(Sheet1[[#This Row],[claim_amount]]&lt;200000,"Medium","High"))</f>
        <v>High</v>
      </c>
      <c r="M1187" s="2" t="str">
        <f>IF(Sheet1[[#This Row],[days_to_process]]&lt;=30,"Fast","Slow")</f>
        <v>Fast</v>
      </c>
    </row>
    <row r="1188" spans="1:13" x14ac:dyDescent="0.3">
      <c r="A1188" t="s">
        <v>2191</v>
      </c>
      <c r="B1188" s="2" t="s">
        <v>2192</v>
      </c>
      <c r="C1188" s="1">
        <v>44720</v>
      </c>
      <c r="D1188" s="35">
        <v>251374.71</v>
      </c>
      <c r="E1188" s="2" t="s">
        <v>19</v>
      </c>
      <c r="F1188" s="2" t="s">
        <v>20</v>
      </c>
      <c r="G1188" s="2" t="s">
        <v>24</v>
      </c>
      <c r="H1188">
        <v>42</v>
      </c>
      <c r="I1188" s="2" t="str">
        <f>TEXT(Sheet1[[#This Row],[claim_date]],"mmmm")</f>
        <v>June</v>
      </c>
      <c r="J1188" s="2">
        <f>YEAR(Sheet1[[#This Row],[claim_date]])</f>
        <v>2022</v>
      </c>
      <c r="K1188" s="2" t="str">
        <f>"Q"&amp;ROUNDUP(MONTH(Sheet1[[#This Row],[claim_date]])/3,0)</f>
        <v>Q2</v>
      </c>
      <c r="L1188" s="2" t="str">
        <f>IF(Sheet1[[#This Row],[claim_amount]]&lt;100000,"Low",IF(Sheet1[[#This Row],[claim_amount]]&lt;200000,"Medium","High"))</f>
        <v>High</v>
      </c>
      <c r="M1188" s="2" t="str">
        <f>IF(Sheet1[[#This Row],[days_to_process]]&lt;=30,"Fast","Slow")</f>
        <v>Slow</v>
      </c>
    </row>
    <row r="1189" spans="1:13" x14ac:dyDescent="0.3">
      <c r="A1189" t="s">
        <v>2193</v>
      </c>
      <c r="B1189" s="2" t="s">
        <v>897</v>
      </c>
      <c r="C1189" s="1">
        <v>44397</v>
      </c>
      <c r="D1189" s="35">
        <v>367507.52</v>
      </c>
      <c r="E1189" s="2" t="s">
        <v>15</v>
      </c>
      <c r="F1189" s="2" t="s">
        <v>34</v>
      </c>
      <c r="G1189" s="2" t="s">
        <v>12</v>
      </c>
      <c r="H1189">
        <v>38</v>
      </c>
      <c r="I1189" s="2" t="str">
        <f>TEXT(Sheet1[[#This Row],[claim_date]],"mmmm")</f>
        <v>July</v>
      </c>
      <c r="J1189" s="2">
        <f>YEAR(Sheet1[[#This Row],[claim_date]])</f>
        <v>2021</v>
      </c>
      <c r="K1189" s="2" t="str">
        <f>"Q"&amp;ROUNDUP(MONTH(Sheet1[[#This Row],[claim_date]])/3,0)</f>
        <v>Q3</v>
      </c>
      <c r="L1189" s="2" t="str">
        <f>IF(Sheet1[[#This Row],[claim_amount]]&lt;100000,"Low",IF(Sheet1[[#This Row],[claim_amount]]&lt;200000,"Medium","High"))</f>
        <v>High</v>
      </c>
      <c r="M1189" s="2" t="str">
        <f>IF(Sheet1[[#This Row],[days_to_process]]&lt;=30,"Fast","Slow")</f>
        <v>Slow</v>
      </c>
    </row>
    <row r="1190" spans="1:13" x14ac:dyDescent="0.3">
      <c r="A1190" t="s">
        <v>2194</v>
      </c>
      <c r="B1190" s="2" t="s">
        <v>2195</v>
      </c>
      <c r="C1190" s="1">
        <v>45307</v>
      </c>
      <c r="D1190" s="35">
        <v>285921.19</v>
      </c>
      <c r="E1190" s="2" t="s">
        <v>15</v>
      </c>
      <c r="F1190" s="2" t="s">
        <v>11</v>
      </c>
      <c r="G1190" s="2" t="s">
        <v>12</v>
      </c>
      <c r="H1190">
        <v>7</v>
      </c>
      <c r="I1190" s="2" t="str">
        <f>TEXT(Sheet1[[#This Row],[claim_date]],"mmmm")</f>
        <v>January</v>
      </c>
      <c r="J1190" s="2">
        <f>YEAR(Sheet1[[#This Row],[claim_date]])</f>
        <v>2024</v>
      </c>
      <c r="K1190" s="2" t="str">
        <f>"Q"&amp;ROUNDUP(MONTH(Sheet1[[#This Row],[claim_date]])/3,0)</f>
        <v>Q1</v>
      </c>
      <c r="L1190" s="2" t="str">
        <f>IF(Sheet1[[#This Row],[claim_amount]]&lt;100000,"Low",IF(Sheet1[[#This Row],[claim_amount]]&lt;200000,"Medium","High"))</f>
        <v>High</v>
      </c>
      <c r="M1190" s="2" t="str">
        <f>IF(Sheet1[[#This Row],[days_to_process]]&lt;=30,"Fast","Slow")</f>
        <v>Fast</v>
      </c>
    </row>
    <row r="1191" spans="1:13" x14ac:dyDescent="0.3">
      <c r="A1191" t="s">
        <v>2196</v>
      </c>
      <c r="B1191" s="2" t="s">
        <v>2197</v>
      </c>
      <c r="C1191" s="1">
        <v>44599</v>
      </c>
      <c r="D1191" s="35">
        <v>464224.64</v>
      </c>
      <c r="E1191" s="2" t="s">
        <v>10</v>
      </c>
      <c r="F1191" s="2" t="s">
        <v>11</v>
      </c>
      <c r="G1191" s="2" t="s">
        <v>12</v>
      </c>
      <c r="H1191">
        <v>50</v>
      </c>
      <c r="I1191" s="2" t="str">
        <f>TEXT(Sheet1[[#This Row],[claim_date]],"mmmm")</f>
        <v>February</v>
      </c>
      <c r="J1191" s="2">
        <f>YEAR(Sheet1[[#This Row],[claim_date]])</f>
        <v>2022</v>
      </c>
      <c r="K1191" s="2" t="str">
        <f>"Q"&amp;ROUNDUP(MONTH(Sheet1[[#This Row],[claim_date]])/3,0)</f>
        <v>Q1</v>
      </c>
      <c r="L1191" s="2" t="str">
        <f>IF(Sheet1[[#This Row],[claim_amount]]&lt;100000,"Low",IF(Sheet1[[#This Row],[claim_amount]]&lt;200000,"Medium","High"))</f>
        <v>High</v>
      </c>
      <c r="M1191" s="2" t="str">
        <f>IF(Sheet1[[#This Row],[days_to_process]]&lt;=30,"Fast","Slow")</f>
        <v>Slow</v>
      </c>
    </row>
    <row r="1192" spans="1:13" x14ac:dyDescent="0.3">
      <c r="A1192" t="s">
        <v>2198</v>
      </c>
      <c r="B1192" s="2" t="s">
        <v>2199</v>
      </c>
      <c r="C1192" s="1">
        <v>45527</v>
      </c>
      <c r="D1192" s="35">
        <v>303126.92</v>
      </c>
      <c r="E1192" s="2" t="s">
        <v>10</v>
      </c>
      <c r="F1192" s="2" t="s">
        <v>34</v>
      </c>
      <c r="G1192" s="2" t="s">
        <v>24</v>
      </c>
      <c r="H1192">
        <v>4</v>
      </c>
      <c r="I1192" s="2" t="str">
        <f>TEXT(Sheet1[[#This Row],[claim_date]],"mmmm")</f>
        <v>August</v>
      </c>
      <c r="J1192" s="2">
        <f>YEAR(Sheet1[[#This Row],[claim_date]])</f>
        <v>2024</v>
      </c>
      <c r="K1192" s="2" t="str">
        <f>"Q"&amp;ROUNDUP(MONTH(Sheet1[[#This Row],[claim_date]])/3,0)</f>
        <v>Q3</v>
      </c>
      <c r="L1192" s="2" t="str">
        <f>IF(Sheet1[[#This Row],[claim_amount]]&lt;100000,"Low",IF(Sheet1[[#This Row],[claim_amount]]&lt;200000,"Medium","High"))</f>
        <v>High</v>
      </c>
      <c r="M1192" s="2" t="str">
        <f>IF(Sheet1[[#This Row],[days_to_process]]&lt;=30,"Fast","Slow")</f>
        <v>Fast</v>
      </c>
    </row>
    <row r="1193" spans="1:13" x14ac:dyDescent="0.3">
      <c r="A1193" t="s">
        <v>2200</v>
      </c>
      <c r="B1193" s="2" t="s">
        <v>1348</v>
      </c>
      <c r="C1193" s="1">
        <v>45562</v>
      </c>
      <c r="D1193" s="35">
        <v>14985.34</v>
      </c>
      <c r="E1193" s="2" t="s">
        <v>10</v>
      </c>
      <c r="F1193" s="2" t="s">
        <v>23</v>
      </c>
      <c r="G1193" s="2" t="s">
        <v>12</v>
      </c>
      <c r="H1193">
        <v>37</v>
      </c>
      <c r="I1193" s="2" t="str">
        <f>TEXT(Sheet1[[#This Row],[claim_date]],"mmmm")</f>
        <v>September</v>
      </c>
      <c r="J1193" s="2">
        <f>YEAR(Sheet1[[#This Row],[claim_date]])</f>
        <v>2024</v>
      </c>
      <c r="K1193" s="2" t="str">
        <f>"Q"&amp;ROUNDUP(MONTH(Sheet1[[#This Row],[claim_date]])/3,0)</f>
        <v>Q3</v>
      </c>
      <c r="L1193" s="2" t="str">
        <f>IF(Sheet1[[#This Row],[claim_amount]]&lt;100000,"Low",IF(Sheet1[[#This Row],[claim_amount]]&lt;200000,"Medium","High"))</f>
        <v>Low</v>
      </c>
      <c r="M1193" s="2" t="str">
        <f>IF(Sheet1[[#This Row],[days_to_process]]&lt;=30,"Fast","Slow")</f>
        <v>Slow</v>
      </c>
    </row>
    <row r="1194" spans="1:13" x14ac:dyDescent="0.3">
      <c r="A1194" t="s">
        <v>2201</v>
      </c>
      <c r="B1194" s="2" t="s">
        <v>2202</v>
      </c>
      <c r="C1194" s="1">
        <v>45340</v>
      </c>
      <c r="D1194" s="35">
        <v>408243.33</v>
      </c>
      <c r="E1194" s="2" t="s">
        <v>15</v>
      </c>
      <c r="F1194" s="2" t="s">
        <v>20</v>
      </c>
      <c r="G1194" s="2" t="s">
        <v>12</v>
      </c>
      <c r="H1194">
        <v>26</v>
      </c>
      <c r="I1194" s="2" t="str">
        <f>TEXT(Sheet1[[#This Row],[claim_date]],"mmmm")</f>
        <v>February</v>
      </c>
      <c r="J1194" s="2">
        <f>YEAR(Sheet1[[#This Row],[claim_date]])</f>
        <v>2024</v>
      </c>
      <c r="K1194" s="2" t="str">
        <f>"Q"&amp;ROUNDUP(MONTH(Sheet1[[#This Row],[claim_date]])/3,0)</f>
        <v>Q1</v>
      </c>
      <c r="L1194" s="2" t="str">
        <f>IF(Sheet1[[#This Row],[claim_amount]]&lt;100000,"Low",IF(Sheet1[[#This Row],[claim_amount]]&lt;200000,"Medium","High"))</f>
        <v>High</v>
      </c>
      <c r="M1194" s="2" t="str">
        <f>IF(Sheet1[[#This Row],[days_to_process]]&lt;=30,"Fast","Slow")</f>
        <v>Fast</v>
      </c>
    </row>
    <row r="1195" spans="1:13" x14ac:dyDescent="0.3">
      <c r="A1195" t="s">
        <v>2203</v>
      </c>
      <c r="B1195" s="2" t="s">
        <v>2204</v>
      </c>
      <c r="C1195" s="1">
        <v>44448</v>
      </c>
      <c r="D1195" s="35">
        <v>109961.85</v>
      </c>
      <c r="E1195" s="2" t="s">
        <v>10</v>
      </c>
      <c r="F1195" s="2" t="s">
        <v>11</v>
      </c>
      <c r="G1195" s="2" t="s">
        <v>24</v>
      </c>
      <c r="H1195">
        <v>40</v>
      </c>
      <c r="I1195" s="2" t="str">
        <f>TEXT(Sheet1[[#This Row],[claim_date]],"mmmm")</f>
        <v>September</v>
      </c>
      <c r="J1195" s="2">
        <f>YEAR(Sheet1[[#This Row],[claim_date]])</f>
        <v>2021</v>
      </c>
      <c r="K1195" s="2" t="str">
        <f>"Q"&amp;ROUNDUP(MONTH(Sheet1[[#This Row],[claim_date]])/3,0)</f>
        <v>Q3</v>
      </c>
      <c r="L1195" s="2" t="str">
        <f>IF(Sheet1[[#This Row],[claim_amount]]&lt;100000,"Low",IF(Sheet1[[#This Row],[claim_amount]]&lt;200000,"Medium","High"))</f>
        <v>Medium</v>
      </c>
      <c r="M1195" s="2" t="str">
        <f>IF(Sheet1[[#This Row],[days_to_process]]&lt;=30,"Fast","Slow")</f>
        <v>Slow</v>
      </c>
    </row>
    <row r="1196" spans="1:13" x14ac:dyDescent="0.3">
      <c r="A1196" t="s">
        <v>2205</v>
      </c>
      <c r="B1196" s="2" t="s">
        <v>2206</v>
      </c>
      <c r="C1196" s="1">
        <v>45324</v>
      </c>
      <c r="D1196" s="35">
        <v>427669.07</v>
      </c>
      <c r="E1196" s="2" t="s">
        <v>15</v>
      </c>
      <c r="F1196" s="2" t="s">
        <v>23</v>
      </c>
      <c r="G1196" s="2" t="s">
        <v>24</v>
      </c>
      <c r="H1196">
        <v>40</v>
      </c>
      <c r="I1196" s="2" t="str">
        <f>TEXT(Sheet1[[#This Row],[claim_date]],"mmmm")</f>
        <v>February</v>
      </c>
      <c r="J1196" s="2">
        <f>YEAR(Sheet1[[#This Row],[claim_date]])</f>
        <v>2024</v>
      </c>
      <c r="K1196" s="2" t="str">
        <f>"Q"&amp;ROUNDUP(MONTH(Sheet1[[#This Row],[claim_date]])/3,0)</f>
        <v>Q1</v>
      </c>
      <c r="L1196" s="2" t="str">
        <f>IF(Sheet1[[#This Row],[claim_amount]]&lt;100000,"Low",IF(Sheet1[[#This Row],[claim_amount]]&lt;200000,"Medium","High"))</f>
        <v>High</v>
      </c>
      <c r="M1196" s="2" t="str">
        <f>IF(Sheet1[[#This Row],[days_to_process]]&lt;=30,"Fast","Slow")</f>
        <v>Slow</v>
      </c>
    </row>
    <row r="1197" spans="1:13" x14ac:dyDescent="0.3">
      <c r="A1197" t="s">
        <v>2207</v>
      </c>
      <c r="B1197" s="2" t="s">
        <v>533</v>
      </c>
      <c r="C1197" s="1">
        <v>45063</v>
      </c>
      <c r="D1197" s="35">
        <v>419757.76</v>
      </c>
      <c r="E1197" s="2" t="s">
        <v>10</v>
      </c>
      <c r="F1197" s="2" t="s">
        <v>20</v>
      </c>
      <c r="G1197" s="2" t="s">
        <v>24</v>
      </c>
      <c r="H1197">
        <v>18</v>
      </c>
      <c r="I1197" s="2" t="str">
        <f>TEXT(Sheet1[[#This Row],[claim_date]],"mmmm")</f>
        <v>May</v>
      </c>
      <c r="J1197" s="2">
        <f>YEAR(Sheet1[[#This Row],[claim_date]])</f>
        <v>2023</v>
      </c>
      <c r="K1197" s="2" t="str">
        <f>"Q"&amp;ROUNDUP(MONTH(Sheet1[[#This Row],[claim_date]])/3,0)</f>
        <v>Q2</v>
      </c>
      <c r="L1197" s="2" t="str">
        <f>IF(Sheet1[[#This Row],[claim_amount]]&lt;100000,"Low",IF(Sheet1[[#This Row],[claim_amount]]&lt;200000,"Medium","High"))</f>
        <v>High</v>
      </c>
      <c r="M1197" s="2" t="str">
        <f>IF(Sheet1[[#This Row],[days_to_process]]&lt;=30,"Fast","Slow")</f>
        <v>Fast</v>
      </c>
    </row>
    <row r="1198" spans="1:13" x14ac:dyDescent="0.3">
      <c r="A1198" t="s">
        <v>2208</v>
      </c>
      <c r="B1198" s="2" t="s">
        <v>1654</v>
      </c>
      <c r="C1198" s="1">
        <v>45593</v>
      </c>
      <c r="D1198" s="35">
        <v>444058.43</v>
      </c>
      <c r="E1198" s="2" t="s">
        <v>10</v>
      </c>
      <c r="F1198" s="2" t="s">
        <v>34</v>
      </c>
      <c r="G1198" s="2" t="s">
        <v>12</v>
      </c>
      <c r="H1198">
        <v>23</v>
      </c>
      <c r="I1198" s="2" t="str">
        <f>TEXT(Sheet1[[#This Row],[claim_date]],"mmmm")</f>
        <v>October</v>
      </c>
      <c r="J1198" s="2">
        <f>YEAR(Sheet1[[#This Row],[claim_date]])</f>
        <v>2024</v>
      </c>
      <c r="K1198" s="2" t="str">
        <f>"Q"&amp;ROUNDUP(MONTH(Sheet1[[#This Row],[claim_date]])/3,0)</f>
        <v>Q4</v>
      </c>
      <c r="L1198" s="2" t="str">
        <f>IF(Sheet1[[#This Row],[claim_amount]]&lt;100000,"Low",IF(Sheet1[[#This Row],[claim_amount]]&lt;200000,"Medium","High"))</f>
        <v>High</v>
      </c>
      <c r="M1198" s="2" t="str">
        <f>IF(Sheet1[[#This Row],[days_to_process]]&lt;=30,"Fast","Slow")</f>
        <v>Fast</v>
      </c>
    </row>
    <row r="1199" spans="1:13" x14ac:dyDescent="0.3">
      <c r="A1199" t="s">
        <v>2209</v>
      </c>
      <c r="B1199" s="2" t="s">
        <v>868</v>
      </c>
      <c r="C1199" s="1">
        <v>45186</v>
      </c>
      <c r="D1199" s="35">
        <v>279253.83</v>
      </c>
      <c r="E1199" s="2" t="s">
        <v>10</v>
      </c>
      <c r="F1199" s="2" t="s">
        <v>23</v>
      </c>
      <c r="G1199" s="2" t="s">
        <v>12</v>
      </c>
      <c r="H1199">
        <v>34</v>
      </c>
      <c r="I1199" s="2" t="str">
        <f>TEXT(Sheet1[[#This Row],[claim_date]],"mmmm")</f>
        <v>September</v>
      </c>
      <c r="J1199" s="2">
        <f>YEAR(Sheet1[[#This Row],[claim_date]])</f>
        <v>2023</v>
      </c>
      <c r="K1199" s="2" t="str">
        <f>"Q"&amp;ROUNDUP(MONTH(Sheet1[[#This Row],[claim_date]])/3,0)</f>
        <v>Q3</v>
      </c>
      <c r="L1199" s="2" t="str">
        <f>IF(Sheet1[[#This Row],[claim_amount]]&lt;100000,"Low",IF(Sheet1[[#This Row],[claim_amount]]&lt;200000,"Medium","High"))</f>
        <v>High</v>
      </c>
      <c r="M1199" s="2" t="str">
        <f>IF(Sheet1[[#This Row],[days_to_process]]&lt;=30,"Fast","Slow")</f>
        <v>Slow</v>
      </c>
    </row>
    <row r="1200" spans="1:13" x14ac:dyDescent="0.3">
      <c r="A1200" t="s">
        <v>2210</v>
      </c>
      <c r="B1200" s="2" t="s">
        <v>1114</v>
      </c>
      <c r="C1200" s="1">
        <v>44279</v>
      </c>
      <c r="D1200" s="35">
        <v>353851.39</v>
      </c>
      <c r="E1200" s="2" t="s">
        <v>10</v>
      </c>
      <c r="F1200" s="2" t="s">
        <v>23</v>
      </c>
      <c r="G1200" s="2" t="s">
        <v>12</v>
      </c>
      <c r="H1200">
        <v>43</v>
      </c>
      <c r="I1200" s="2" t="str">
        <f>TEXT(Sheet1[[#This Row],[claim_date]],"mmmm")</f>
        <v>March</v>
      </c>
      <c r="J1200" s="2">
        <f>YEAR(Sheet1[[#This Row],[claim_date]])</f>
        <v>2021</v>
      </c>
      <c r="K1200" s="2" t="str">
        <f>"Q"&amp;ROUNDUP(MONTH(Sheet1[[#This Row],[claim_date]])/3,0)</f>
        <v>Q1</v>
      </c>
      <c r="L1200" s="2" t="str">
        <f>IF(Sheet1[[#This Row],[claim_amount]]&lt;100000,"Low",IF(Sheet1[[#This Row],[claim_amount]]&lt;200000,"Medium","High"))</f>
        <v>High</v>
      </c>
      <c r="M1200" s="2" t="str">
        <f>IF(Sheet1[[#This Row],[days_to_process]]&lt;=30,"Fast","Slow")</f>
        <v>Slow</v>
      </c>
    </row>
    <row r="1201" spans="1:13" x14ac:dyDescent="0.3">
      <c r="A1201" t="s">
        <v>2211</v>
      </c>
      <c r="B1201" s="2" t="s">
        <v>1439</v>
      </c>
      <c r="C1201" s="1">
        <v>45206</v>
      </c>
      <c r="D1201" s="35">
        <v>385031.95</v>
      </c>
      <c r="E1201" s="2" t="s">
        <v>19</v>
      </c>
      <c r="F1201" s="2" t="s">
        <v>20</v>
      </c>
      <c r="G1201" s="2" t="s">
        <v>12</v>
      </c>
      <c r="H1201">
        <v>16</v>
      </c>
      <c r="I1201" s="2" t="str">
        <f>TEXT(Sheet1[[#This Row],[claim_date]],"mmmm")</f>
        <v>October</v>
      </c>
      <c r="J1201" s="2">
        <f>YEAR(Sheet1[[#This Row],[claim_date]])</f>
        <v>2023</v>
      </c>
      <c r="K1201" s="2" t="str">
        <f>"Q"&amp;ROUNDUP(MONTH(Sheet1[[#This Row],[claim_date]])/3,0)</f>
        <v>Q4</v>
      </c>
      <c r="L1201" s="2" t="str">
        <f>IF(Sheet1[[#This Row],[claim_amount]]&lt;100000,"Low",IF(Sheet1[[#This Row],[claim_amount]]&lt;200000,"Medium","High"))</f>
        <v>High</v>
      </c>
      <c r="M1201" s="2" t="str">
        <f>IF(Sheet1[[#This Row],[days_to_process]]&lt;=30,"Fast","Slow")</f>
        <v>Fast</v>
      </c>
    </row>
    <row r="1202" spans="1:13" x14ac:dyDescent="0.3">
      <c r="A1202" t="s">
        <v>2212</v>
      </c>
      <c r="B1202" s="2" t="s">
        <v>2213</v>
      </c>
      <c r="C1202" s="1">
        <v>45162</v>
      </c>
      <c r="D1202" s="35">
        <v>243804.02</v>
      </c>
      <c r="E1202" s="2" t="s">
        <v>15</v>
      </c>
      <c r="F1202" s="2" t="s">
        <v>20</v>
      </c>
      <c r="G1202" s="2" t="s">
        <v>12</v>
      </c>
      <c r="H1202">
        <v>23</v>
      </c>
      <c r="I1202" s="2" t="str">
        <f>TEXT(Sheet1[[#This Row],[claim_date]],"mmmm")</f>
        <v>August</v>
      </c>
      <c r="J1202" s="2">
        <f>YEAR(Sheet1[[#This Row],[claim_date]])</f>
        <v>2023</v>
      </c>
      <c r="K1202" s="2" t="str">
        <f>"Q"&amp;ROUNDUP(MONTH(Sheet1[[#This Row],[claim_date]])/3,0)</f>
        <v>Q3</v>
      </c>
      <c r="L1202" s="2" t="str">
        <f>IF(Sheet1[[#This Row],[claim_amount]]&lt;100000,"Low",IF(Sheet1[[#This Row],[claim_amount]]&lt;200000,"Medium","High"))</f>
        <v>High</v>
      </c>
      <c r="M1202" s="2" t="str">
        <f>IF(Sheet1[[#This Row],[days_to_process]]&lt;=30,"Fast","Slow")</f>
        <v>Fast</v>
      </c>
    </row>
    <row r="1203" spans="1:13" x14ac:dyDescent="0.3">
      <c r="A1203" t="s">
        <v>2214</v>
      </c>
      <c r="B1203" s="2" t="s">
        <v>2215</v>
      </c>
      <c r="C1203" s="1">
        <v>45470</v>
      </c>
      <c r="D1203" s="35">
        <v>115133.03</v>
      </c>
      <c r="E1203" s="2" t="s">
        <v>19</v>
      </c>
      <c r="F1203" s="2" t="s">
        <v>11</v>
      </c>
      <c r="G1203" s="2" t="s">
        <v>12</v>
      </c>
      <c r="H1203">
        <v>50</v>
      </c>
      <c r="I1203" s="2" t="str">
        <f>TEXT(Sheet1[[#This Row],[claim_date]],"mmmm")</f>
        <v>June</v>
      </c>
      <c r="J1203" s="2">
        <f>YEAR(Sheet1[[#This Row],[claim_date]])</f>
        <v>2024</v>
      </c>
      <c r="K1203" s="2" t="str">
        <f>"Q"&amp;ROUNDUP(MONTH(Sheet1[[#This Row],[claim_date]])/3,0)</f>
        <v>Q2</v>
      </c>
      <c r="L1203" s="2" t="str">
        <f>IF(Sheet1[[#This Row],[claim_amount]]&lt;100000,"Low",IF(Sheet1[[#This Row],[claim_amount]]&lt;200000,"Medium","High"))</f>
        <v>Medium</v>
      </c>
      <c r="M1203" s="2" t="str">
        <f>IF(Sheet1[[#This Row],[days_to_process]]&lt;=30,"Fast","Slow")</f>
        <v>Slow</v>
      </c>
    </row>
    <row r="1204" spans="1:13" x14ac:dyDescent="0.3">
      <c r="A1204" t="s">
        <v>2216</v>
      </c>
      <c r="B1204" s="2" t="s">
        <v>2217</v>
      </c>
      <c r="C1204" s="1">
        <v>45553</v>
      </c>
      <c r="D1204" s="35">
        <v>235904.58</v>
      </c>
      <c r="E1204" s="2" t="s">
        <v>10</v>
      </c>
      <c r="F1204" s="2" t="s">
        <v>11</v>
      </c>
      <c r="G1204" s="2" t="s">
        <v>12</v>
      </c>
      <c r="H1204">
        <v>43</v>
      </c>
      <c r="I1204" s="2" t="str">
        <f>TEXT(Sheet1[[#This Row],[claim_date]],"mmmm")</f>
        <v>September</v>
      </c>
      <c r="J1204" s="2">
        <f>YEAR(Sheet1[[#This Row],[claim_date]])</f>
        <v>2024</v>
      </c>
      <c r="K1204" s="2" t="str">
        <f>"Q"&amp;ROUNDUP(MONTH(Sheet1[[#This Row],[claim_date]])/3,0)</f>
        <v>Q3</v>
      </c>
      <c r="L1204" s="2" t="str">
        <f>IF(Sheet1[[#This Row],[claim_amount]]&lt;100000,"Low",IF(Sheet1[[#This Row],[claim_amount]]&lt;200000,"Medium","High"))</f>
        <v>High</v>
      </c>
      <c r="M1204" s="2" t="str">
        <f>IF(Sheet1[[#This Row],[days_to_process]]&lt;=30,"Fast","Slow")</f>
        <v>Slow</v>
      </c>
    </row>
    <row r="1205" spans="1:13" x14ac:dyDescent="0.3">
      <c r="A1205" t="s">
        <v>2218</v>
      </c>
      <c r="B1205" s="2" t="s">
        <v>2219</v>
      </c>
      <c r="C1205" s="1">
        <v>44768</v>
      </c>
      <c r="D1205" s="35">
        <v>46093.64</v>
      </c>
      <c r="E1205" s="2" t="s">
        <v>15</v>
      </c>
      <c r="F1205" s="2" t="s">
        <v>16</v>
      </c>
      <c r="G1205" s="2" t="s">
        <v>24</v>
      </c>
      <c r="H1205">
        <v>21</v>
      </c>
      <c r="I1205" s="2" t="str">
        <f>TEXT(Sheet1[[#This Row],[claim_date]],"mmmm")</f>
        <v>July</v>
      </c>
      <c r="J1205" s="2">
        <f>YEAR(Sheet1[[#This Row],[claim_date]])</f>
        <v>2022</v>
      </c>
      <c r="K1205" s="2" t="str">
        <f>"Q"&amp;ROUNDUP(MONTH(Sheet1[[#This Row],[claim_date]])/3,0)</f>
        <v>Q3</v>
      </c>
      <c r="L1205" s="2" t="str">
        <f>IF(Sheet1[[#This Row],[claim_amount]]&lt;100000,"Low",IF(Sheet1[[#This Row],[claim_amount]]&lt;200000,"Medium","High"))</f>
        <v>Low</v>
      </c>
      <c r="M1205" s="2" t="str">
        <f>IF(Sheet1[[#This Row],[days_to_process]]&lt;=30,"Fast","Slow")</f>
        <v>Fast</v>
      </c>
    </row>
    <row r="1206" spans="1:13" x14ac:dyDescent="0.3">
      <c r="A1206" t="s">
        <v>2220</v>
      </c>
      <c r="B1206" s="2" t="s">
        <v>2221</v>
      </c>
      <c r="C1206" s="1">
        <v>45116</v>
      </c>
      <c r="D1206" s="35">
        <v>49557.08</v>
      </c>
      <c r="E1206" s="2" t="s">
        <v>15</v>
      </c>
      <c r="F1206" s="2" t="s">
        <v>16</v>
      </c>
      <c r="G1206" s="2" t="s">
        <v>24</v>
      </c>
      <c r="H1206">
        <v>16</v>
      </c>
      <c r="I1206" s="2" t="str">
        <f>TEXT(Sheet1[[#This Row],[claim_date]],"mmmm")</f>
        <v>July</v>
      </c>
      <c r="J1206" s="2">
        <f>YEAR(Sheet1[[#This Row],[claim_date]])</f>
        <v>2023</v>
      </c>
      <c r="K1206" s="2" t="str">
        <f>"Q"&amp;ROUNDUP(MONTH(Sheet1[[#This Row],[claim_date]])/3,0)</f>
        <v>Q3</v>
      </c>
      <c r="L1206" s="2" t="str">
        <f>IF(Sheet1[[#This Row],[claim_amount]]&lt;100000,"Low",IF(Sheet1[[#This Row],[claim_amount]]&lt;200000,"Medium","High"))</f>
        <v>Low</v>
      </c>
      <c r="M1206" s="2" t="str">
        <f>IF(Sheet1[[#This Row],[days_to_process]]&lt;=30,"Fast","Slow")</f>
        <v>Fast</v>
      </c>
    </row>
    <row r="1207" spans="1:13" x14ac:dyDescent="0.3">
      <c r="A1207" t="s">
        <v>2222</v>
      </c>
      <c r="B1207" s="2" t="s">
        <v>2058</v>
      </c>
      <c r="C1207" s="1">
        <v>44758</v>
      </c>
      <c r="D1207" s="35">
        <v>256108.24</v>
      </c>
      <c r="E1207" s="2" t="s">
        <v>10</v>
      </c>
      <c r="F1207" s="2" t="s">
        <v>34</v>
      </c>
      <c r="G1207" s="2" t="s">
        <v>24</v>
      </c>
      <c r="H1207">
        <v>46</v>
      </c>
      <c r="I1207" s="2" t="str">
        <f>TEXT(Sheet1[[#This Row],[claim_date]],"mmmm")</f>
        <v>July</v>
      </c>
      <c r="J1207" s="2">
        <f>YEAR(Sheet1[[#This Row],[claim_date]])</f>
        <v>2022</v>
      </c>
      <c r="K1207" s="2" t="str">
        <f>"Q"&amp;ROUNDUP(MONTH(Sheet1[[#This Row],[claim_date]])/3,0)</f>
        <v>Q3</v>
      </c>
      <c r="L1207" s="2" t="str">
        <f>IF(Sheet1[[#This Row],[claim_amount]]&lt;100000,"Low",IF(Sheet1[[#This Row],[claim_amount]]&lt;200000,"Medium","High"))</f>
        <v>High</v>
      </c>
      <c r="M1207" s="2" t="str">
        <f>IF(Sheet1[[#This Row],[days_to_process]]&lt;=30,"Fast","Slow")</f>
        <v>Slow</v>
      </c>
    </row>
    <row r="1208" spans="1:13" x14ac:dyDescent="0.3">
      <c r="A1208" t="s">
        <v>2223</v>
      </c>
      <c r="B1208" s="2" t="s">
        <v>2224</v>
      </c>
      <c r="C1208" s="1">
        <v>44764</v>
      </c>
      <c r="D1208" s="35">
        <v>254711.93</v>
      </c>
      <c r="E1208" s="2" t="s">
        <v>15</v>
      </c>
      <c r="F1208" s="2" t="s">
        <v>23</v>
      </c>
      <c r="G1208" s="2" t="s">
        <v>12</v>
      </c>
      <c r="H1208">
        <v>15</v>
      </c>
      <c r="I1208" s="2" t="str">
        <f>TEXT(Sheet1[[#This Row],[claim_date]],"mmmm")</f>
        <v>July</v>
      </c>
      <c r="J1208" s="2">
        <f>YEAR(Sheet1[[#This Row],[claim_date]])</f>
        <v>2022</v>
      </c>
      <c r="K1208" s="2" t="str">
        <f>"Q"&amp;ROUNDUP(MONTH(Sheet1[[#This Row],[claim_date]])/3,0)</f>
        <v>Q3</v>
      </c>
      <c r="L1208" s="2" t="str">
        <f>IF(Sheet1[[#This Row],[claim_amount]]&lt;100000,"Low",IF(Sheet1[[#This Row],[claim_amount]]&lt;200000,"Medium","High"))</f>
        <v>High</v>
      </c>
      <c r="M1208" s="2" t="str">
        <f>IF(Sheet1[[#This Row],[days_to_process]]&lt;=30,"Fast","Slow")</f>
        <v>Fast</v>
      </c>
    </row>
    <row r="1209" spans="1:13" x14ac:dyDescent="0.3">
      <c r="A1209" t="s">
        <v>2225</v>
      </c>
      <c r="B1209" s="2" t="s">
        <v>1153</v>
      </c>
      <c r="C1209" s="1">
        <v>44782</v>
      </c>
      <c r="D1209" s="35">
        <v>153674.6</v>
      </c>
      <c r="E1209" s="2" t="s">
        <v>10</v>
      </c>
      <c r="F1209" s="2" t="s">
        <v>34</v>
      </c>
      <c r="G1209" s="2" t="s">
        <v>12</v>
      </c>
      <c r="H1209">
        <v>50</v>
      </c>
      <c r="I1209" s="2" t="str">
        <f>TEXT(Sheet1[[#This Row],[claim_date]],"mmmm")</f>
        <v>August</v>
      </c>
      <c r="J1209" s="2">
        <f>YEAR(Sheet1[[#This Row],[claim_date]])</f>
        <v>2022</v>
      </c>
      <c r="K1209" s="2" t="str">
        <f>"Q"&amp;ROUNDUP(MONTH(Sheet1[[#This Row],[claim_date]])/3,0)</f>
        <v>Q3</v>
      </c>
      <c r="L1209" s="2" t="str">
        <f>IF(Sheet1[[#This Row],[claim_amount]]&lt;100000,"Low",IF(Sheet1[[#This Row],[claim_amount]]&lt;200000,"Medium","High"))</f>
        <v>Medium</v>
      </c>
      <c r="M1209" s="2" t="str">
        <f>IF(Sheet1[[#This Row],[days_to_process]]&lt;=30,"Fast","Slow")</f>
        <v>Slow</v>
      </c>
    </row>
    <row r="1210" spans="1:13" x14ac:dyDescent="0.3">
      <c r="A1210" t="s">
        <v>2226</v>
      </c>
      <c r="B1210" s="2" t="s">
        <v>2227</v>
      </c>
      <c r="C1210" s="1">
        <v>45181</v>
      </c>
      <c r="D1210" s="35">
        <v>35974.949999999997</v>
      </c>
      <c r="E1210" s="2" t="s">
        <v>19</v>
      </c>
      <c r="F1210" s="2" t="s">
        <v>16</v>
      </c>
      <c r="G1210" s="2" t="s">
        <v>24</v>
      </c>
      <c r="H1210">
        <v>14</v>
      </c>
      <c r="I1210" s="2" t="str">
        <f>TEXT(Sheet1[[#This Row],[claim_date]],"mmmm")</f>
        <v>September</v>
      </c>
      <c r="J1210" s="2">
        <f>YEAR(Sheet1[[#This Row],[claim_date]])</f>
        <v>2023</v>
      </c>
      <c r="K1210" s="2" t="str">
        <f>"Q"&amp;ROUNDUP(MONTH(Sheet1[[#This Row],[claim_date]])/3,0)</f>
        <v>Q3</v>
      </c>
      <c r="L1210" s="2" t="str">
        <f>IF(Sheet1[[#This Row],[claim_amount]]&lt;100000,"Low",IF(Sheet1[[#This Row],[claim_amount]]&lt;200000,"Medium","High"))</f>
        <v>Low</v>
      </c>
      <c r="M1210" s="2" t="str">
        <f>IF(Sheet1[[#This Row],[days_to_process]]&lt;=30,"Fast","Slow")</f>
        <v>Fast</v>
      </c>
    </row>
    <row r="1211" spans="1:13" x14ac:dyDescent="0.3">
      <c r="A1211" t="s">
        <v>2228</v>
      </c>
      <c r="B1211" s="2" t="s">
        <v>342</v>
      </c>
      <c r="C1211" s="1">
        <v>45173</v>
      </c>
      <c r="D1211" s="35">
        <v>155552.24</v>
      </c>
      <c r="E1211" s="2" t="s">
        <v>15</v>
      </c>
      <c r="F1211" s="2" t="s">
        <v>23</v>
      </c>
      <c r="G1211" s="2" t="s">
        <v>24</v>
      </c>
      <c r="H1211">
        <v>38</v>
      </c>
      <c r="I1211" s="2" t="str">
        <f>TEXT(Sheet1[[#This Row],[claim_date]],"mmmm")</f>
        <v>September</v>
      </c>
      <c r="J1211" s="2">
        <f>YEAR(Sheet1[[#This Row],[claim_date]])</f>
        <v>2023</v>
      </c>
      <c r="K1211" s="2" t="str">
        <f>"Q"&amp;ROUNDUP(MONTH(Sheet1[[#This Row],[claim_date]])/3,0)</f>
        <v>Q3</v>
      </c>
      <c r="L1211" s="2" t="str">
        <f>IF(Sheet1[[#This Row],[claim_amount]]&lt;100000,"Low",IF(Sheet1[[#This Row],[claim_amount]]&lt;200000,"Medium","High"))</f>
        <v>Medium</v>
      </c>
      <c r="M1211" s="2" t="str">
        <f>IF(Sheet1[[#This Row],[days_to_process]]&lt;=30,"Fast","Slow")</f>
        <v>Slow</v>
      </c>
    </row>
    <row r="1212" spans="1:13" x14ac:dyDescent="0.3">
      <c r="A1212" t="s">
        <v>2229</v>
      </c>
      <c r="B1212" s="2" t="s">
        <v>1415</v>
      </c>
      <c r="C1212" s="1">
        <v>44999</v>
      </c>
      <c r="D1212" s="35">
        <v>137691.39000000001</v>
      </c>
      <c r="E1212" s="2" t="s">
        <v>19</v>
      </c>
      <c r="F1212" s="2" t="s">
        <v>16</v>
      </c>
      <c r="G1212" s="2" t="s">
        <v>24</v>
      </c>
      <c r="H1212">
        <v>55</v>
      </c>
      <c r="I1212" s="2" t="str">
        <f>TEXT(Sheet1[[#This Row],[claim_date]],"mmmm")</f>
        <v>March</v>
      </c>
      <c r="J1212" s="2">
        <f>YEAR(Sheet1[[#This Row],[claim_date]])</f>
        <v>2023</v>
      </c>
      <c r="K1212" s="2" t="str">
        <f>"Q"&amp;ROUNDUP(MONTH(Sheet1[[#This Row],[claim_date]])/3,0)</f>
        <v>Q1</v>
      </c>
      <c r="L1212" s="2" t="str">
        <f>IF(Sheet1[[#This Row],[claim_amount]]&lt;100000,"Low",IF(Sheet1[[#This Row],[claim_amount]]&lt;200000,"Medium","High"))</f>
        <v>Medium</v>
      </c>
      <c r="M1212" s="2" t="str">
        <f>IF(Sheet1[[#This Row],[days_to_process]]&lt;=30,"Fast","Slow")</f>
        <v>Slow</v>
      </c>
    </row>
    <row r="1213" spans="1:13" x14ac:dyDescent="0.3">
      <c r="A1213" t="s">
        <v>2230</v>
      </c>
      <c r="B1213" s="2" t="s">
        <v>2231</v>
      </c>
      <c r="C1213" s="1">
        <v>44249</v>
      </c>
      <c r="D1213" s="35">
        <v>262069.9</v>
      </c>
      <c r="E1213" s="2" t="s">
        <v>15</v>
      </c>
      <c r="F1213" s="2" t="s">
        <v>34</v>
      </c>
      <c r="G1213" s="2" t="s">
        <v>12</v>
      </c>
      <c r="H1213">
        <v>44</v>
      </c>
      <c r="I1213" s="2" t="str">
        <f>TEXT(Sheet1[[#This Row],[claim_date]],"mmmm")</f>
        <v>February</v>
      </c>
      <c r="J1213" s="2">
        <f>YEAR(Sheet1[[#This Row],[claim_date]])</f>
        <v>2021</v>
      </c>
      <c r="K1213" s="2" t="str">
        <f>"Q"&amp;ROUNDUP(MONTH(Sheet1[[#This Row],[claim_date]])/3,0)</f>
        <v>Q1</v>
      </c>
      <c r="L1213" s="2" t="str">
        <f>IF(Sheet1[[#This Row],[claim_amount]]&lt;100000,"Low",IF(Sheet1[[#This Row],[claim_amount]]&lt;200000,"Medium","High"))</f>
        <v>High</v>
      </c>
      <c r="M1213" s="2" t="str">
        <f>IF(Sheet1[[#This Row],[days_to_process]]&lt;=30,"Fast","Slow")</f>
        <v>Slow</v>
      </c>
    </row>
    <row r="1214" spans="1:13" x14ac:dyDescent="0.3">
      <c r="A1214" t="s">
        <v>2232</v>
      </c>
      <c r="B1214" s="2" t="s">
        <v>2233</v>
      </c>
      <c r="C1214" s="1">
        <v>44641</v>
      </c>
      <c r="D1214" s="35">
        <v>403048.99</v>
      </c>
      <c r="E1214" s="2" t="s">
        <v>10</v>
      </c>
      <c r="F1214" s="2" t="s">
        <v>23</v>
      </c>
      <c r="G1214" s="2" t="s">
        <v>24</v>
      </c>
      <c r="H1214">
        <v>10</v>
      </c>
      <c r="I1214" s="2" t="str">
        <f>TEXT(Sheet1[[#This Row],[claim_date]],"mmmm")</f>
        <v>March</v>
      </c>
      <c r="J1214" s="2">
        <f>YEAR(Sheet1[[#This Row],[claim_date]])</f>
        <v>2022</v>
      </c>
      <c r="K1214" s="2" t="str">
        <f>"Q"&amp;ROUNDUP(MONTH(Sheet1[[#This Row],[claim_date]])/3,0)</f>
        <v>Q1</v>
      </c>
      <c r="L1214" s="2" t="str">
        <f>IF(Sheet1[[#This Row],[claim_amount]]&lt;100000,"Low",IF(Sheet1[[#This Row],[claim_amount]]&lt;200000,"Medium","High"))</f>
        <v>High</v>
      </c>
      <c r="M1214" s="2" t="str">
        <f>IF(Sheet1[[#This Row],[days_to_process]]&lt;=30,"Fast","Slow")</f>
        <v>Fast</v>
      </c>
    </row>
    <row r="1215" spans="1:13" x14ac:dyDescent="0.3">
      <c r="A1215" t="s">
        <v>2234</v>
      </c>
      <c r="B1215" s="2" t="s">
        <v>662</v>
      </c>
      <c r="C1215" s="1">
        <v>45468</v>
      </c>
      <c r="D1215" s="35">
        <v>253382.41</v>
      </c>
      <c r="E1215" s="2" t="s">
        <v>15</v>
      </c>
      <c r="F1215" s="2" t="s">
        <v>16</v>
      </c>
      <c r="G1215" s="2" t="s">
        <v>12</v>
      </c>
      <c r="H1215">
        <v>25</v>
      </c>
      <c r="I1215" s="2" t="str">
        <f>TEXT(Sheet1[[#This Row],[claim_date]],"mmmm")</f>
        <v>June</v>
      </c>
      <c r="J1215" s="2">
        <f>YEAR(Sheet1[[#This Row],[claim_date]])</f>
        <v>2024</v>
      </c>
      <c r="K1215" s="2" t="str">
        <f>"Q"&amp;ROUNDUP(MONTH(Sheet1[[#This Row],[claim_date]])/3,0)</f>
        <v>Q2</v>
      </c>
      <c r="L1215" s="2" t="str">
        <f>IF(Sheet1[[#This Row],[claim_amount]]&lt;100000,"Low",IF(Sheet1[[#This Row],[claim_amount]]&lt;200000,"Medium","High"))</f>
        <v>High</v>
      </c>
      <c r="M1215" s="2" t="str">
        <f>IF(Sheet1[[#This Row],[days_to_process]]&lt;=30,"Fast","Slow")</f>
        <v>Fast</v>
      </c>
    </row>
    <row r="1216" spans="1:13" x14ac:dyDescent="0.3">
      <c r="A1216" t="s">
        <v>2235</v>
      </c>
      <c r="B1216" s="2" t="s">
        <v>1643</v>
      </c>
      <c r="C1216" s="1">
        <v>45732</v>
      </c>
      <c r="D1216" s="35">
        <v>429472</v>
      </c>
      <c r="E1216" s="2" t="s">
        <v>15</v>
      </c>
      <c r="F1216" s="2" t="s">
        <v>20</v>
      </c>
      <c r="G1216" s="2" t="s">
        <v>12</v>
      </c>
      <c r="H1216">
        <v>15</v>
      </c>
      <c r="I1216" s="2" t="str">
        <f>TEXT(Sheet1[[#This Row],[claim_date]],"mmmm")</f>
        <v>March</v>
      </c>
      <c r="J1216" s="2">
        <f>YEAR(Sheet1[[#This Row],[claim_date]])</f>
        <v>2025</v>
      </c>
      <c r="K1216" s="2" t="str">
        <f>"Q"&amp;ROUNDUP(MONTH(Sheet1[[#This Row],[claim_date]])/3,0)</f>
        <v>Q1</v>
      </c>
      <c r="L1216" s="2" t="str">
        <f>IF(Sheet1[[#This Row],[claim_amount]]&lt;100000,"Low",IF(Sheet1[[#This Row],[claim_amount]]&lt;200000,"Medium","High"))</f>
        <v>High</v>
      </c>
      <c r="M1216" s="2" t="str">
        <f>IF(Sheet1[[#This Row],[days_to_process]]&lt;=30,"Fast","Slow")</f>
        <v>Fast</v>
      </c>
    </row>
    <row r="1217" spans="1:13" x14ac:dyDescent="0.3">
      <c r="A1217" t="s">
        <v>2236</v>
      </c>
      <c r="B1217" s="2" t="s">
        <v>2237</v>
      </c>
      <c r="C1217" s="1">
        <v>45106</v>
      </c>
      <c r="D1217" s="35">
        <v>94691.42</v>
      </c>
      <c r="E1217" s="2" t="s">
        <v>15</v>
      </c>
      <c r="F1217" s="2" t="s">
        <v>11</v>
      </c>
      <c r="G1217" s="2" t="s">
        <v>24</v>
      </c>
      <c r="H1217">
        <v>7</v>
      </c>
      <c r="I1217" s="2" t="str">
        <f>TEXT(Sheet1[[#This Row],[claim_date]],"mmmm")</f>
        <v>June</v>
      </c>
      <c r="J1217" s="2">
        <f>YEAR(Sheet1[[#This Row],[claim_date]])</f>
        <v>2023</v>
      </c>
      <c r="K1217" s="2" t="str">
        <f>"Q"&amp;ROUNDUP(MONTH(Sheet1[[#This Row],[claim_date]])/3,0)</f>
        <v>Q2</v>
      </c>
      <c r="L1217" s="2" t="str">
        <f>IF(Sheet1[[#This Row],[claim_amount]]&lt;100000,"Low",IF(Sheet1[[#This Row],[claim_amount]]&lt;200000,"Medium","High"))</f>
        <v>Low</v>
      </c>
      <c r="M1217" s="2" t="str">
        <f>IF(Sheet1[[#This Row],[days_to_process]]&lt;=30,"Fast","Slow")</f>
        <v>Fast</v>
      </c>
    </row>
    <row r="1218" spans="1:13" x14ac:dyDescent="0.3">
      <c r="A1218" t="s">
        <v>2238</v>
      </c>
      <c r="B1218" s="2" t="s">
        <v>352</v>
      </c>
      <c r="C1218" s="1">
        <v>44186</v>
      </c>
      <c r="D1218" s="35">
        <v>275904.92</v>
      </c>
      <c r="E1218" s="2" t="s">
        <v>15</v>
      </c>
      <c r="F1218" s="2" t="s">
        <v>34</v>
      </c>
      <c r="G1218" s="2" t="s">
        <v>24</v>
      </c>
      <c r="H1218">
        <v>24</v>
      </c>
      <c r="I1218" s="2" t="str">
        <f>TEXT(Sheet1[[#This Row],[claim_date]],"mmmm")</f>
        <v>December</v>
      </c>
      <c r="J1218" s="2">
        <f>YEAR(Sheet1[[#This Row],[claim_date]])</f>
        <v>2020</v>
      </c>
      <c r="K1218" s="2" t="str">
        <f>"Q"&amp;ROUNDUP(MONTH(Sheet1[[#This Row],[claim_date]])/3,0)</f>
        <v>Q4</v>
      </c>
      <c r="L1218" s="2" t="str">
        <f>IF(Sheet1[[#This Row],[claim_amount]]&lt;100000,"Low",IF(Sheet1[[#This Row],[claim_amount]]&lt;200000,"Medium","High"))</f>
        <v>High</v>
      </c>
      <c r="M1218" s="2" t="str">
        <f>IF(Sheet1[[#This Row],[days_to_process]]&lt;=30,"Fast","Slow")</f>
        <v>Fast</v>
      </c>
    </row>
    <row r="1219" spans="1:13" x14ac:dyDescent="0.3">
      <c r="A1219" t="s">
        <v>2239</v>
      </c>
      <c r="B1219" s="2" t="s">
        <v>2240</v>
      </c>
      <c r="C1219" s="1">
        <v>45356</v>
      </c>
      <c r="D1219" s="35">
        <v>209896.9</v>
      </c>
      <c r="E1219" s="2" t="s">
        <v>15</v>
      </c>
      <c r="F1219" s="2" t="s">
        <v>23</v>
      </c>
      <c r="G1219" s="2" t="s">
        <v>12</v>
      </c>
      <c r="H1219">
        <v>31</v>
      </c>
      <c r="I1219" s="2" t="str">
        <f>TEXT(Sheet1[[#This Row],[claim_date]],"mmmm")</f>
        <v>March</v>
      </c>
      <c r="J1219" s="2">
        <f>YEAR(Sheet1[[#This Row],[claim_date]])</f>
        <v>2024</v>
      </c>
      <c r="K1219" s="2" t="str">
        <f>"Q"&amp;ROUNDUP(MONTH(Sheet1[[#This Row],[claim_date]])/3,0)</f>
        <v>Q1</v>
      </c>
      <c r="L1219" s="2" t="str">
        <f>IF(Sheet1[[#This Row],[claim_amount]]&lt;100000,"Low",IF(Sheet1[[#This Row],[claim_amount]]&lt;200000,"Medium","High"))</f>
        <v>High</v>
      </c>
      <c r="M1219" s="2" t="str">
        <f>IF(Sheet1[[#This Row],[days_to_process]]&lt;=30,"Fast","Slow")</f>
        <v>Slow</v>
      </c>
    </row>
    <row r="1220" spans="1:13" x14ac:dyDescent="0.3">
      <c r="A1220" t="s">
        <v>2241</v>
      </c>
      <c r="B1220" s="2" t="s">
        <v>2242</v>
      </c>
      <c r="C1220" s="1">
        <v>45493</v>
      </c>
      <c r="D1220" s="35">
        <v>301290.64</v>
      </c>
      <c r="E1220" s="2" t="s">
        <v>10</v>
      </c>
      <c r="F1220" s="2" t="s">
        <v>20</v>
      </c>
      <c r="G1220" s="2" t="s">
        <v>12</v>
      </c>
      <c r="H1220">
        <v>40</v>
      </c>
      <c r="I1220" s="2" t="str">
        <f>TEXT(Sheet1[[#This Row],[claim_date]],"mmmm")</f>
        <v>July</v>
      </c>
      <c r="J1220" s="2">
        <f>YEAR(Sheet1[[#This Row],[claim_date]])</f>
        <v>2024</v>
      </c>
      <c r="K1220" s="2" t="str">
        <f>"Q"&amp;ROUNDUP(MONTH(Sheet1[[#This Row],[claim_date]])/3,0)</f>
        <v>Q3</v>
      </c>
      <c r="L1220" s="2" t="str">
        <f>IF(Sheet1[[#This Row],[claim_amount]]&lt;100000,"Low",IF(Sheet1[[#This Row],[claim_amount]]&lt;200000,"Medium","High"))</f>
        <v>High</v>
      </c>
      <c r="M1220" s="2" t="str">
        <f>IF(Sheet1[[#This Row],[days_to_process]]&lt;=30,"Fast","Slow")</f>
        <v>Slow</v>
      </c>
    </row>
    <row r="1221" spans="1:13" x14ac:dyDescent="0.3">
      <c r="A1221" t="s">
        <v>2243</v>
      </c>
      <c r="B1221" s="2" t="s">
        <v>2244</v>
      </c>
      <c r="C1221" s="1">
        <v>45020</v>
      </c>
      <c r="D1221" s="35">
        <v>74828.429999999993</v>
      </c>
      <c r="E1221" s="2" t="s">
        <v>15</v>
      </c>
      <c r="F1221" s="2" t="s">
        <v>23</v>
      </c>
      <c r="G1221" s="2" t="s">
        <v>24</v>
      </c>
      <c r="H1221">
        <v>55</v>
      </c>
      <c r="I1221" s="2" t="str">
        <f>TEXT(Sheet1[[#This Row],[claim_date]],"mmmm")</f>
        <v>April</v>
      </c>
      <c r="J1221" s="2">
        <f>YEAR(Sheet1[[#This Row],[claim_date]])</f>
        <v>2023</v>
      </c>
      <c r="K1221" s="2" t="str">
        <f>"Q"&amp;ROUNDUP(MONTH(Sheet1[[#This Row],[claim_date]])/3,0)</f>
        <v>Q2</v>
      </c>
      <c r="L1221" s="2" t="str">
        <f>IF(Sheet1[[#This Row],[claim_amount]]&lt;100000,"Low",IF(Sheet1[[#This Row],[claim_amount]]&lt;200000,"Medium","High"))</f>
        <v>Low</v>
      </c>
      <c r="M1221" s="2" t="str">
        <f>IF(Sheet1[[#This Row],[days_to_process]]&lt;=30,"Fast","Slow")</f>
        <v>Slow</v>
      </c>
    </row>
    <row r="1222" spans="1:13" x14ac:dyDescent="0.3">
      <c r="A1222" t="s">
        <v>2245</v>
      </c>
      <c r="B1222" s="2" t="s">
        <v>654</v>
      </c>
      <c r="C1222" s="1">
        <v>44592</v>
      </c>
      <c r="D1222" s="35">
        <v>217849.99</v>
      </c>
      <c r="E1222" s="2" t="s">
        <v>15</v>
      </c>
      <c r="F1222" s="2" t="s">
        <v>11</v>
      </c>
      <c r="G1222" s="2" t="s">
        <v>12</v>
      </c>
      <c r="H1222">
        <v>33</v>
      </c>
      <c r="I1222" s="2" t="str">
        <f>TEXT(Sheet1[[#This Row],[claim_date]],"mmmm")</f>
        <v>January</v>
      </c>
      <c r="J1222" s="2">
        <f>YEAR(Sheet1[[#This Row],[claim_date]])</f>
        <v>2022</v>
      </c>
      <c r="K1222" s="2" t="str">
        <f>"Q"&amp;ROUNDUP(MONTH(Sheet1[[#This Row],[claim_date]])/3,0)</f>
        <v>Q1</v>
      </c>
      <c r="L1222" s="2" t="str">
        <f>IF(Sheet1[[#This Row],[claim_amount]]&lt;100000,"Low",IF(Sheet1[[#This Row],[claim_amount]]&lt;200000,"Medium","High"))</f>
        <v>High</v>
      </c>
      <c r="M1222" s="2" t="str">
        <f>IF(Sheet1[[#This Row],[days_to_process]]&lt;=30,"Fast","Slow")</f>
        <v>Slow</v>
      </c>
    </row>
    <row r="1223" spans="1:13" x14ac:dyDescent="0.3">
      <c r="A1223" t="s">
        <v>2246</v>
      </c>
      <c r="B1223" s="2" t="s">
        <v>2247</v>
      </c>
      <c r="C1223" s="1">
        <v>45566</v>
      </c>
      <c r="D1223" s="35">
        <v>234019.38</v>
      </c>
      <c r="E1223" s="2" t="s">
        <v>10</v>
      </c>
      <c r="F1223" s="2" t="s">
        <v>20</v>
      </c>
      <c r="G1223" s="2" t="s">
        <v>12</v>
      </c>
      <c r="H1223">
        <v>42</v>
      </c>
      <c r="I1223" s="2" t="str">
        <f>TEXT(Sheet1[[#This Row],[claim_date]],"mmmm")</f>
        <v>October</v>
      </c>
      <c r="J1223" s="2">
        <f>YEAR(Sheet1[[#This Row],[claim_date]])</f>
        <v>2024</v>
      </c>
      <c r="K1223" s="2" t="str">
        <f>"Q"&amp;ROUNDUP(MONTH(Sheet1[[#This Row],[claim_date]])/3,0)</f>
        <v>Q4</v>
      </c>
      <c r="L1223" s="2" t="str">
        <f>IF(Sheet1[[#This Row],[claim_amount]]&lt;100000,"Low",IF(Sheet1[[#This Row],[claim_amount]]&lt;200000,"Medium","High"))</f>
        <v>High</v>
      </c>
      <c r="M1223" s="2" t="str">
        <f>IF(Sheet1[[#This Row],[days_to_process]]&lt;=30,"Fast","Slow")</f>
        <v>Slow</v>
      </c>
    </row>
    <row r="1224" spans="1:13" x14ac:dyDescent="0.3">
      <c r="A1224" t="s">
        <v>2248</v>
      </c>
      <c r="B1224" s="2" t="s">
        <v>2249</v>
      </c>
      <c r="C1224" s="1">
        <v>45144</v>
      </c>
      <c r="D1224" s="35">
        <v>35811.94</v>
      </c>
      <c r="E1224" s="2" t="s">
        <v>19</v>
      </c>
      <c r="F1224" s="2" t="s">
        <v>20</v>
      </c>
      <c r="G1224" s="2" t="s">
        <v>12</v>
      </c>
      <c r="H1224">
        <v>2</v>
      </c>
      <c r="I1224" s="2" t="str">
        <f>TEXT(Sheet1[[#This Row],[claim_date]],"mmmm")</f>
        <v>August</v>
      </c>
      <c r="J1224" s="2">
        <f>YEAR(Sheet1[[#This Row],[claim_date]])</f>
        <v>2023</v>
      </c>
      <c r="K1224" s="2" t="str">
        <f>"Q"&amp;ROUNDUP(MONTH(Sheet1[[#This Row],[claim_date]])/3,0)</f>
        <v>Q3</v>
      </c>
      <c r="L1224" s="2" t="str">
        <f>IF(Sheet1[[#This Row],[claim_amount]]&lt;100000,"Low",IF(Sheet1[[#This Row],[claim_amount]]&lt;200000,"Medium","High"))</f>
        <v>Low</v>
      </c>
      <c r="M1224" s="2" t="str">
        <f>IF(Sheet1[[#This Row],[days_to_process]]&lt;=30,"Fast","Slow")</f>
        <v>Fast</v>
      </c>
    </row>
    <row r="1225" spans="1:13" x14ac:dyDescent="0.3">
      <c r="A1225" t="s">
        <v>2250</v>
      </c>
      <c r="B1225" s="2" t="s">
        <v>2251</v>
      </c>
      <c r="C1225" s="1">
        <v>44812</v>
      </c>
      <c r="D1225" s="35">
        <v>463428.48</v>
      </c>
      <c r="E1225" s="2" t="s">
        <v>10</v>
      </c>
      <c r="F1225" s="2" t="s">
        <v>16</v>
      </c>
      <c r="G1225" s="2" t="s">
        <v>12</v>
      </c>
      <c r="H1225">
        <v>14</v>
      </c>
      <c r="I1225" s="2" t="str">
        <f>TEXT(Sheet1[[#This Row],[claim_date]],"mmmm")</f>
        <v>September</v>
      </c>
      <c r="J1225" s="2">
        <f>YEAR(Sheet1[[#This Row],[claim_date]])</f>
        <v>2022</v>
      </c>
      <c r="K1225" s="2" t="str">
        <f>"Q"&amp;ROUNDUP(MONTH(Sheet1[[#This Row],[claim_date]])/3,0)</f>
        <v>Q3</v>
      </c>
      <c r="L1225" s="2" t="str">
        <f>IF(Sheet1[[#This Row],[claim_amount]]&lt;100000,"Low",IF(Sheet1[[#This Row],[claim_amount]]&lt;200000,"Medium","High"))</f>
        <v>High</v>
      </c>
      <c r="M1225" s="2" t="str">
        <f>IF(Sheet1[[#This Row],[days_to_process]]&lt;=30,"Fast","Slow")</f>
        <v>Fast</v>
      </c>
    </row>
    <row r="1226" spans="1:13" x14ac:dyDescent="0.3">
      <c r="A1226" t="s">
        <v>2252</v>
      </c>
      <c r="B1226" s="2" t="s">
        <v>2253</v>
      </c>
      <c r="C1226" s="1">
        <v>44808</v>
      </c>
      <c r="D1226" s="35">
        <v>298414.78999999998</v>
      </c>
      <c r="E1226" s="2" t="s">
        <v>10</v>
      </c>
      <c r="F1226" s="2" t="s">
        <v>34</v>
      </c>
      <c r="G1226" s="2" t="s">
        <v>24</v>
      </c>
      <c r="H1226">
        <v>58</v>
      </c>
      <c r="I1226" s="2" t="str">
        <f>TEXT(Sheet1[[#This Row],[claim_date]],"mmmm")</f>
        <v>September</v>
      </c>
      <c r="J1226" s="2">
        <f>YEAR(Sheet1[[#This Row],[claim_date]])</f>
        <v>2022</v>
      </c>
      <c r="K1226" s="2" t="str">
        <f>"Q"&amp;ROUNDUP(MONTH(Sheet1[[#This Row],[claim_date]])/3,0)</f>
        <v>Q3</v>
      </c>
      <c r="L1226" s="2" t="str">
        <f>IF(Sheet1[[#This Row],[claim_amount]]&lt;100000,"Low",IF(Sheet1[[#This Row],[claim_amount]]&lt;200000,"Medium","High"))</f>
        <v>High</v>
      </c>
      <c r="M1226" s="2" t="str">
        <f>IF(Sheet1[[#This Row],[days_to_process]]&lt;=30,"Fast","Slow")</f>
        <v>Slow</v>
      </c>
    </row>
    <row r="1227" spans="1:13" x14ac:dyDescent="0.3">
      <c r="A1227" t="s">
        <v>2254</v>
      </c>
      <c r="B1227" s="2" t="s">
        <v>356</v>
      </c>
      <c r="C1227" s="1">
        <v>45157</v>
      </c>
      <c r="D1227" s="35">
        <v>142522.76</v>
      </c>
      <c r="E1227" s="2" t="s">
        <v>15</v>
      </c>
      <c r="F1227" s="2" t="s">
        <v>34</v>
      </c>
      <c r="G1227" s="2" t="s">
        <v>12</v>
      </c>
      <c r="H1227">
        <v>43</v>
      </c>
      <c r="I1227" s="2" t="str">
        <f>TEXT(Sheet1[[#This Row],[claim_date]],"mmmm")</f>
        <v>August</v>
      </c>
      <c r="J1227" s="2">
        <f>YEAR(Sheet1[[#This Row],[claim_date]])</f>
        <v>2023</v>
      </c>
      <c r="K1227" s="2" t="str">
        <f>"Q"&amp;ROUNDUP(MONTH(Sheet1[[#This Row],[claim_date]])/3,0)</f>
        <v>Q3</v>
      </c>
      <c r="L1227" s="2" t="str">
        <f>IF(Sheet1[[#This Row],[claim_amount]]&lt;100000,"Low",IF(Sheet1[[#This Row],[claim_amount]]&lt;200000,"Medium","High"))</f>
        <v>Medium</v>
      </c>
      <c r="M1227" s="2" t="str">
        <f>IF(Sheet1[[#This Row],[days_to_process]]&lt;=30,"Fast","Slow")</f>
        <v>Slow</v>
      </c>
    </row>
    <row r="1228" spans="1:13" x14ac:dyDescent="0.3">
      <c r="A1228" t="s">
        <v>2255</v>
      </c>
      <c r="B1228" s="2" t="s">
        <v>2256</v>
      </c>
      <c r="C1228" s="1">
        <v>45413</v>
      </c>
      <c r="D1228" s="35">
        <v>366431.28</v>
      </c>
      <c r="E1228" s="2" t="s">
        <v>19</v>
      </c>
      <c r="F1228" s="2" t="s">
        <v>23</v>
      </c>
      <c r="G1228" s="2" t="s">
        <v>24</v>
      </c>
      <c r="H1228">
        <v>54</v>
      </c>
      <c r="I1228" s="2" t="str">
        <f>TEXT(Sheet1[[#This Row],[claim_date]],"mmmm")</f>
        <v>May</v>
      </c>
      <c r="J1228" s="2">
        <f>YEAR(Sheet1[[#This Row],[claim_date]])</f>
        <v>2024</v>
      </c>
      <c r="K1228" s="2" t="str">
        <f>"Q"&amp;ROUNDUP(MONTH(Sheet1[[#This Row],[claim_date]])/3,0)</f>
        <v>Q2</v>
      </c>
      <c r="L1228" s="2" t="str">
        <f>IF(Sheet1[[#This Row],[claim_amount]]&lt;100000,"Low",IF(Sheet1[[#This Row],[claim_amount]]&lt;200000,"Medium","High"))</f>
        <v>High</v>
      </c>
      <c r="M1228" s="2" t="str">
        <f>IF(Sheet1[[#This Row],[days_to_process]]&lt;=30,"Fast","Slow")</f>
        <v>Slow</v>
      </c>
    </row>
    <row r="1229" spans="1:13" x14ac:dyDescent="0.3">
      <c r="A1229" t="s">
        <v>2257</v>
      </c>
      <c r="B1229" s="2" t="s">
        <v>2258</v>
      </c>
      <c r="C1229" s="1">
        <v>45461</v>
      </c>
      <c r="D1229" s="35">
        <v>89491.21</v>
      </c>
      <c r="E1229" s="2" t="s">
        <v>15</v>
      </c>
      <c r="F1229" s="2" t="s">
        <v>23</v>
      </c>
      <c r="G1229" s="2" t="s">
        <v>12</v>
      </c>
      <c r="H1229">
        <v>44</v>
      </c>
      <c r="I1229" s="2" t="str">
        <f>TEXT(Sheet1[[#This Row],[claim_date]],"mmmm")</f>
        <v>June</v>
      </c>
      <c r="J1229" s="2">
        <f>YEAR(Sheet1[[#This Row],[claim_date]])</f>
        <v>2024</v>
      </c>
      <c r="K1229" s="2" t="str">
        <f>"Q"&amp;ROUNDUP(MONTH(Sheet1[[#This Row],[claim_date]])/3,0)</f>
        <v>Q2</v>
      </c>
      <c r="L1229" s="2" t="str">
        <f>IF(Sheet1[[#This Row],[claim_amount]]&lt;100000,"Low",IF(Sheet1[[#This Row],[claim_amount]]&lt;200000,"Medium","High"))</f>
        <v>Low</v>
      </c>
      <c r="M1229" s="2" t="str">
        <f>IF(Sheet1[[#This Row],[days_to_process]]&lt;=30,"Fast","Slow")</f>
        <v>Slow</v>
      </c>
    </row>
    <row r="1230" spans="1:13" x14ac:dyDescent="0.3">
      <c r="A1230" t="s">
        <v>2259</v>
      </c>
      <c r="B1230" s="2" t="s">
        <v>2260</v>
      </c>
      <c r="C1230" s="1">
        <v>44621</v>
      </c>
      <c r="D1230" s="35">
        <v>427000.54</v>
      </c>
      <c r="E1230" s="2" t="s">
        <v>19</v>
      </c>
      <c r="F1230" s="2" t="s">
        <v>23</v>
      </c>
      <c r="G1230" s="2" t="s">
        <v>24</v>
      </c>
      <c r="H1230">
        <v>9</v>
      </c>
      <c r="I1230" s="2" t="str">
        <f>TEXT(Sheet1[[#This Row],[claim_date]],"mmmm")</f>
        <v>March</v>
      </c>
      <c r="J1230" s="2">
        <f>YEAR(Sheet1[[#This Row],[claim_date]])</f>
        <v>2022</v>
      </c>
      <c r="K1230" s="2" t="str">
        <f>"Q"&amp;ROUNDUP(MONTH(Sheet1[[#This Row],[claim_date]])/3,0)</f>
        <v>Q1</v>
      </c>
      <c r="L1230" s="2" t="str">
        <f>IF(Sheet1[[#This Row],[claim_amount]]&lt;100000,"Low",IF(Sheet1[[#This Row],[claim_amount]]&lt;200000,"Medium","High"))</f>
        <v>High</v>
      </c>
      <c r="M1230" s="2" t="str">
        <f>IF(Sheet1[[#This Row],[days_to_process]]&lt;=30,"Fast","Slow")</f>
        <v>Fast</v>
      </c>
    </row>
    <row r="1231" spans="1:13" x14ac:dyDescent="0.3">
      <c r="A1231" t="s">
        <v>2261</v>
      </c>
      <c r="B1231" s="2" t="s">
        <v>2262</v>
      </c>
      <c r="C1231" s="1">
        <v>45035</v>
      </c>
      <c r="D1231" s="35">
        <v>293357.32</v>
      </c>
      <c r="E1231" s="2" t="s">
        <v>15</v>
      </c>
      <c r="F1231" s="2" t="s">
        <v>11</v>
      </c>
      <c r="G1231" s="2" t="s">
        <v>12</v>
      </c>
      <c r="H1231">
        <v>59</v>
      </c>
      <c r="I1231" s="2" t="str">
        <f>TEXT(Sheet1[[#This Row],[claim_date]],"mmmm")</f>
        <v>April</v>
      </c>
      <c r="J1231" s="2">
        <f>YEAR(Sheet1[[#This Row],[claim_date]])</f>
        <v>2023</v>
      </c>
      <c r="K1231" s="2" t="str">
        <f>"Q"&amp;ROUNDUP(MONTH(Sheet1[[#This Row],[claim_date]])/3,0)</f>
        <v>Q2</v>
      </c>
      <c r="L1231" s="2" t="str">
        <f>IF(Sheet1[[#This Row],[claim_amount]]&lt;100000,"Low",IF(Sheet1[[#This Row],[claim_amount]]&lt;200000,"Medium","High"))</f>
        <v>High</v>
      </c>
      <c r="M1231" s="2" t="str">
        <f>IF(Sheet1[[#This Row],[days_to_process]]&lt;=30,"Fast","Slow")</f>
        <v>Slow</v>
      </c>
    </row>
    <row r="1232" spans="1:13" x14ac:dyDescent="0.3">
      <c r="A1232" t="s">
        <v>2263</v>
      </c>
      <c r="B1232" s="2" t="s">
        <v>650</v>
      </c>
      <c r="C1232" s="1">
        <v>45432</v>
      </c>
      <c r="D1232" s="35">
        <v>341418.85</v>
      </c>
      <c r="E1232" s="2" t="s">
        <v>19</v>
      </c>
      <c r="F1232" s="2" t="s">
        <v>16</v>
      </c>
      <c r="G1232" s="2" t="s">
        <v>24</v>
      </c>
      <c r="H1232">
        <v>24</v>
      </c>
      <c r="I1232" s="2" t="str">
        <f>TEXT(Sheet1[[#This Row],[claim_date]],"mmmm")</f>
        <v>May</v>
      </c>
      <c r="J1232" s="2">
        <f>YEAR(Sheet1[[#This Row],[claim_date]])</f>
        <v>2024</v>
      </c>
      <c r="K1232" s="2" t="str">
        <f>"Q"&amp;ROUNDUP(MONTH(Sheet1[[#This Row],[claim_date]])/3,0)</f>
        <v>Q2</v>
      </c>
      <c r="L1232" s="2" t="str">
        <f>IF(Sheet1[[#This Row],[claim_amount]]&lt;100000,"Low",IF(Sheet1[[#This Row],[claim_amount]]&lt;200000,"Medium","High"))</f>
        <v>High</v>
      </c>
      <c r="M1232" s="2" t="str">
        <f>IF(Sheet1[[#This Row],[days_to_process]]&lt;=30,"Fast","Slow")</f>
        <v>Fast</v>
      </c>
    </row>
    <row r="1233" spans="1:13" x14ac:dyDescent="0.3">
      <c r="A1233" t="s">
        <v>2264</v>
      </c>
      <c r="B1233" s="2" t="s">
        <v>2265</v>
      </c>
      <c r="C1233" s="1">
        <v>45479</v>
      </c>
      <c r="D1233" s="35">
        <v>131561.73000000001</v>
      </c>
      <c r="E1233" s="2" t="s">
        <v>19</v>
      </c>
      <c r="F1233" s="2" t="s">
        <v>20</v>
      </c>
      <c r="G1233" s="2" t="s">
        <v>24</v>
      </c>
      <c r="H1233">
        <v>7</v>
      </c>
      <c r="I1233" s="2" t="str">
        <f>TEXT(Sheet1[[#This Row],[claim_date]],"mmmm")</f>
        <v>July</v>
      </c>
      <c r="J1233" s="2">
        <f>YEAR(Sheet1[[#This Row],[claim_date]])</f>
        <v>2024</v>
      </c>
      <c r="K1233" s="2" t="str">
        <f>"Q"&amp;ROUNDUP(MONTH(Sheet1[[#This Row],[claim_date]])/3,0)</f>
        <v>Q3</v>
      </c>
      <c r="L1233" s="2" t="str">
        <f>IF(Sheet1[[#This Row],[claim_amount]]&lt;100000,"Low",IF(Sheet1[[#This Row],[claim_amount]]&lt;200000,"Medium","High"))</f>
        <v>Medium</v>
      </c>
      <c r="M1233" s="2" t="str">
        <f>IF(Sheet1[[#This Row],[days_to_process]]&lt;=30,"Fast","Slow")</f>
        <v>Fast</v>
      </c>
    </row>
    <row r="1234" spans="1:13" x14ac:dyDescent="0.3">
      <c r="A1234" t="s">
        <v>2266</v>
      </c>
      <c r="B1234" s="2" t="s">
        <v>241</v>
      </c>
      <c r="C1234" s="1">
        <v>45118</v>
      </c>
      <c r="D1234" s="35">
        <v>11374.37</v>
      </c>
      <c r="E1234" s="2" t="s">
        <v>10</v>
      </c>
      <c r="F1234" s="2" t="s">
        <v>23</v>
      </c>
      <c r="G1234" s="2" t="s">
        <v>24</v>
      </c>
      <c r="H1234">
        <v>41</v>
      </c>
      <c r="I1234" s="2" t="str">
        <f>TEXT(Sheet1[[#This Row],[claim_date]],"mmmm")</f>
        <v>July</v>
      </c>
      <c r="J1234" s="2">
        <f>YEAR(Sheet1[[#This Row],[claim_date]])</f>
        <v>2023</v>
      </c>
      <c r="K1234" s="2" t="str">
        <f>"Q"&amp;ROUNDUP(MONTH(Sheet1[[#This Row],[claim_date]])/3,0)</f>
        <v>Q3</v>
      </c>
      <c r="L1234" s="2" t="str">
        <f>IF(Sheet1[[#This Row],[claim_amount]]&lt;100000,"Low",IF(Sheet1[[#This Row],[claim_amount]]&lt;200000,"Medium","High"))</f>
        <v>Low</v>
      </c>
      <c r="M1234" s="2" t="str">
        <f>IF(Sheet1[[#This Row],[days_to_process]]&lt;=30,"Fast","Slow")</f>
        <v>Slow</v>
      </c>
    </row>
    <row r="1235" spans="1:13" x14ac:dyDescent="0.3">
      <c r="A1235" t="s">
        <v>2267</v>
      </c>
      <c r="B1235" s="2" t="s">
        <v>2268</v>
      </c>
      <c r="C1235" s="1">
        <v>44965</v>
      </c>
      <c r="D1235" s="35">
        <v>490030.61</v>
      </c>
      <c r="E1235" s="2" t="s">
        <v>15</v>
      </c>
      <c r="F1235" s="2" t="s">
        <v>16</v>
      </c>
      <c r="G1235" s="2" t="s">
        <v>12</v>
      </c>
      <c r="H1235">
        <v>15</v>
      </c>
      <c r="I1235" s="2" t="str">
        <f>TEXT(Sheet1[[#This Row],[claim_date]],"mmmm")</f>
        <v>February</v>
      </c>
      <c r="J1235" s="2">
        <f>YEAR(Sheet1[[#This Row],[claim_date]])</f>
        <v>2023</v>
      </c>
      <c r="K1235" s="2" t="str">
        <f>"Q"&amp;ROUNDUP(MONTH(Sheet1[[#This Row],[claim_date]])/3,0)</f>
        <v>Q1</v>
      </c>
      <c r="L1235" s="2" t="str">
        <f>IF(Sheet1[[#This Row],[claim_amount]]&lt;100000,"Low",IF(Sheet1[[#This Row],[claim_amount]]&lt;200000,"Medium","High"))</f>
        <v>High</v>
      </c>
      <c r="M1235" s="2" t="str">
        <f>IF(Sheet1[[#This Row],[days_to_process]]&lt;=30,"Fast","Slow")</f>
        <v>Fast</v>
      </c>
    </row>
    <row r="1236" spans="1:13" x14ac:dyDescent="0.3">
      <c r="A1236" t="s">
        <v>2269</v>
      </c>
      <c r="B1236" s="2" t="s">
        <v>2270</v>
      </c>
      <c r="C1236" s="1">
        <v>45248</v>
      </c>
      <c r="D1236" s="35">
        <v>472743.73</v>
      </c>
      <c r="E1236" s="2" t="s">
        <v>10</v>
      </c>
      <c r="F1236" s="2" t="s">
        <v>11</v>
      </c>
      <c r="G1236" s="2" t="s">
        <v>24</v>
      </c>
      <c r="H1236">
        <v>25</v>
      </c>
      <c r="I1236" s="2" t="str">
        <f>TEXT(Sheet1[[#This Row],[claim_date]],"mmmm")</f>
        <v>November</v>
      </c>
      <c r="J1236" s="2">
        <f>YEAR(Sheet1[[#This Row],[claim_date]])</f>
        <v>2023</v>
      </c>
      <c r="K1236" s="2" t="str">
        <f>"Q"&amp;ROUNDUP(MONTH(Sheet1[[#This Row],[claim_date]])/3,0)</f>
        <v>Q4</v>
      </c>
      <c r="L1236" s="2" t="str">
        <f>IF(Sheet1[[#This Row],[claim_amount]]&lt;100000,"Low",IF(Sheet1[[#This Row],[claim_amount]]&lt;200000,"Medium","High"))</f>
        <v>High</v>
      </c>
      <c r="M1236" s="2" t="str">
        <f>IF(Sheet1[[#This Row],[days_to_process]]&lt;=30,"Fast","Slow")</f>
        <v>Fast</v>
      </c>
    </row>
    <row r="1237" spans="1:13" x14ac:dyDescent="0.3">
      <c r="A1237" t="s">
        <v>2271</v>
      </c>
      <c r="B1237" s="2" t="s">
        <v>2272</v>
      </c>
      <c r="C1237" s="1">
        <v>44579</v>
      </c>
      <c r="D1237" s="35">
        <v>344345.47</v>
      </c>
      <c r="E1237" s="2" t="s">
        <v>10</v>
      </c>
      <c r="F1237" s="2" t="s">
        <v>34</v>
      </c>
      <c r="G1237" s="2" t="s">
        <v>24</v>
      </c>
      <c r="H1237">
        <v>44</v>
      </c>
      <c r="I1237" s="2" t="str">
        <f>TEXT(Sheet1[[#This Row],[claim_date]],"mmmm")</f>
        <v>January</v>
      </c>
      <c r="J1237" s="2">
        <f>YEAR(Sheet1[[#This Row],[claim_date]])</f>
        <v>2022</v>
      </c>
      <c r="K1237" s="2" t="str">
        <f>"Q"&amp;ROUNDUP(MONTH(Sheet1[[#This Row],[claim_date]])/3,0)</f>
        <v>Q1</v>
      </c>
      <c r="L1237" s="2" t="str">
        <f>IF(Sheet1[[#This Row],[claim_amount]]&lt;100000,"Low",IF(Sheet1[[#This Row],[claim_amount]]&lt;200000,"Medium","High"))</f>
        <v>High</v>
      </c>
      <c r="M1237" s="2" t="str">
        <f>IF(Sheet1[[#This Row],[days_to_process]]&lt;=30,"Fast","Slow")</f>
        <v>Slow</v>
      </c>
    </row>
    <row r="1238" spans="1:13" x14ac:dyDescent="0.3">
      <c r="A1238" t="s">
        <v>2273</v>
      </c>
      <c r="B1238" s="2" t="s">
        <v>2274</v>
      </c>
      <c r="C1238" s="1">
        <v>45357</v>
      </c>
      <c r="D1238" s="35">
        <v>277463.26</v>
      </c>
      <c r="E1238" s="2" t="s">
        <v>10</v>
      </c>
      <c r="F1238" s="2" t="s">
        <v>34</v>
      </c>
      <c r="G1238" s="2" t="s">
        <v>12</v>
      </c>
      <c r="H1238">
        <v>14</v>
      </c>
      <c r="I1238" s="2" t="str">
        <f>TEXT(Sheet1[[#This Row],[claim_date]],"mmmm")</f>
        <v>March</v>
      </c>
      <c r="J1238" s="2">
        <f>YEAR(Sheet1[[#This Row],[claim_date]])</f>
        <v>2024</v>
      </c>
      <c r="K1238" s="2" t="str">
        <f>"Q"&amp;ROUNDUP(MONTH(Sheet1[[#This Row],[claim_date]])/3,0)</f>
        <v>Q1</v>
      </c>
      <c r="L1238" s="2" t="str">
        <f>IF(Sheet1[[#This Row],[claim_amount]]&lt;100000,"Low",IF(Sheet1[[#This Row],[claim_amount]]&lt;200000,"Medium","High"))</f>
        <v>High</v>
      </c>
      <c r="M1238" s="2" t="str">
        <f>IF(Sheet1[[#This Row],[days_to_process]]&lt;=30,"Fast","Slow")</f>
        <v>Fast</v>
      </c>
    </row>
    <row r="1239" spans="1:13" x14ac:dyDescent="0.3">
      <c r="A1239" t="s">
        <v>2275</v>
      </c>
      <c r="B1239" s="2" t="s">
        <v>1788</v>
      </c>
      <c r="C1239" s="1">
        <v>45286</v>
      </c>
      <c r="D1239" s="35">
        <v>266795.21999999997</v>
      </c>
      <c r="E1239" s="2" t="s">
        <v>10</v>
      </c>
      <c r="F1239" s="2" t="s">
        <v>34</v>
      </c>
      <c r="G1239" s="2" t="s">
        <v>12</v>
      </c>
      <c r="H1239">
        <v>44</v>
      </c>
      <c r="I1239" s="2" t="str">
        <f>TEXT(Sheet1[[#This Row],[claim_date]],"mmmm")</f>
        <v>December</v>
      </c>
      <c r="J1239" s="2">
        <f>YEAR(Sheet1[[#This Row],[claim_date]])</f>
        <v>2023</v>
      </c>
      <c r="K1239" s="2" t="str">
        <f>"Q"&amp;ROUNDUP(MONTH(Sheet1[[#This Row],[claim_date]])/3,0)</f>
        <v>Q4</v>
      </c>
      <c r="L1239" s="2" t="str">
        <f>IF(Sheet1[[#This Row],[claim_amount]]&lt;100000,"Low",IF(Sheet1[[#This Row],[claim_amount]]&lt;200000,"Medium","High"))</f>
        <v>High</v>
      </c>
      <c r="M1239" s="2" t="str">
        <f>IF(Sheet1[[#This Row],[days_to_process]]&lt;=30,"Fast","Slow")</f>
        <v>Slow</v>
      </c>
    </row>
    <row r="1240" spans="1:13" x14ac:dyDescent="0.3">
      <c r="A1240" t="s">
        <v>2276</v>
      </c>
      <c r="B1240" s="2" t="s">
        <v>2277</v>
      </c>
      <c r="C1240" s="1">
        <v>45494</v>
      </c>
      <c r="D1240" s="35">
        <v>141236.97</v>
      </c>
      <c r="E1240" s="2" t="s">
        <v>19</v>
      </c>
      <c r="F1240" s="2" t="s">
        <v>34</v>
      </c>
      <c r="G1240" s="2" t="s">
        <v>24</v>
      </c>
      <c r="H1240">
        <v>37</v>
      </c>
      <c r="I1240" s="2" t="str">
        <f>TEXT(Sheet1[[#This Row],[claim_date]],"mmmm")</f>
        <v>July</v>
      </c>
      <c r="J1240" s="2">
        <f>YEAR(Sheet1[[#This Row],[claim_date]])</f>
        <v>2024</v>
      </c>
      <c r="K1240" s="2" t="str">
        <f>"Q"&amp;ROUNDUP(MONTH(Sheet1[[#This Row],[claim_date]])/3,0)</f>
        <v>Q3</v>
      </c>
      <c r="L1240" s="2" t="str">
        <f>IF(Sheet1[[#This Row],[claim_amount]]&lt;100000,"Low",IF(Sheet1[[#This Row],[claim_amount]]&lt;200000,"Medium","High"))</f>
        <v>Medium</v>
      </c>
      <c r="M1240" s="2" t="str">
        <f>IF(Sheet1[[#This Row],[days_to_process]]&lt;=30,"Fast","Slow")</f>
        <v>Slow</v>
      </c>
    </row>
    <row r="1241" spans="1:13" x14ac:dyDescent="0.3">
      <c r="A1241" t="s">
        <v>2278</v>
      </c>
      <c r="B1241" s="2" t="s">
        <v>2279</v>
      </c>
      <c r="C1241" s="1">
        <v>45484</v>
      </c>
      <c r="D1241" s="35">
        <v>78020.649999999994</v>
      </c>
      <c r="E1241" s="2" t="s">
        <v>15</v>
      </c>
      <c r="F1241" s="2" t="s">
        <v>16</v>
      </c>
      <c r="G1241" s="2" t="s">
        <v>24</v>
      </c>
      <c r="H1241">
        <v>35</v>
      </c>
      <c r="I1241" s="2" t="str">
        <f>TEXT(Sheet1[[#This Row],[claim_date]],"mmmm")</f>
        <v>July</v>
      </c>
      <c r="J1241" s="2">
        <f>YEAR(Sheet1[[#This Row],[claim_date]])</f>
        <v>2024</v>
      </c>
      <c r="K1241" s="2" t="str">
        <f>"Q"&amp;ROUNDUP(MONTH(Sheet1[[#This Row],[claim_date]])/3,0)</f>
        <v>Q3</v>
      </c>
      <c r="L1241" s="2" t="str">
        <f>IF(Sheet1[[#This Row],[claim_amount]]&lt;100000,"Low",IF(Sheet1[[#This Row],[claim_amount]]&lt;200000,"Medium","High"))</f>
        <v>Low</v>
      </c>
      <c r="M1241" s="2" t="str">
        <f>IF(Sheet1[[#This Row],[days_to_process]]&lt;=30,"Fast","Slow")</f>
        <v>Slow</v>
      </c>
    </row>
    <row r="1242" spans="1:13" x14ac:dyDescent="0.3">
      <c r="A1242" t="s">
        <v>2280</v>
      </c>
      <c r="B1242" s="2" t="s">
        <v>2071</v>
      </c>
      <c r="C1242" s="1">
        <v>45160</v>
      </c>
      <c r="D1242" s="35">
        <v>101693.45</v>
      </c>
      <c r="E1242" s="2" t="s">
        <v>10</v>
      </c>
      <c r="F1242" s="2" t="s">
        <v>11</v>
      </c>
      <c r="G1242" s="2" t="s">
        <v>24</v>
      </c>
      <c r="H1242">
        <v>53</v>
      </c>
      <c r="I1242" s="2" t="str">
        <f>TEXT(Sheet1[[#This Row],[claim_date]],"mmmm")</f>
        <v>August</v>
      </c>
      <c r="J1242" s="2">
        <f>YEAR(Sheet1[[#This Row],[claim_date]])</f>
        <v>2023</v>
      </c>
      <c r="K1242" s="2" t="str">
        <f>"Q"&amp;ROUNDUP(MONTH(Sheet1[[#This Row],[claim_date]])/3,0)</f>
        <v>Q3</v>
      </c>
      <c r="L1242" s="2" t="str">
        <f>IF(Sheet1[[#This Row],[claim_amount]]&lt;100000,"Low",IF(Sheet1[[#This Row],[claim_amount]]&lt;200000,"Medium","High"))</f>
        <v>Medium</v>
      </c>
      <c r="M1242" s="2" t="str">
        <f>IF(Sheet1[[#This Row],[days_to_process]]&lt;=30,"Fast","Slow")</f>
        <v>Slow</v>
      </c>
    </row>
    <row r="1243" spans="1:13" x14ac:dyDescent="0.3">
      <c r="A1243" t="s">
        <v>2281</v>
      </c>
      <c r="B1243" s="2" t="s">
        <v>2282</v>
      </c>
      <c r="C1243" s="1">
        <v>44718</v>
      </c>
      <c r="D1243" s="35">
        <v>488889.85</v>
      </c>
      <c r="E1243" s="2" t="s">
        <v>10</v>
      </c>
      <c r="F1243" s="2" t="s">
        <v>16</v>
      </c>
      <c r="G1243" s="2" t="s">
        <v>12</v>
      </c>
      <c r="H1243">
        <v>26</v>
      </c>
      <c r="I1243" s="2" t="str">
        <f>TEXT(Sheet1[[#This Row],[claim_date]],"mmmm")</f>
        <v>June</v>
      </c>
      <c r="J1243" s="2">
        <f>YEAR(Sheet1[[#This Row],[claim_date]])</f>
        <v>2022</v>
      </c>
      <c r="K1243" s="2" t="str">
        <f>"Q"&amp;ROUNDUP(MONTH(Sheet1[[#This Row],[claim_date]])/3,0)</f>
        <v>Q2</v>
      </c>
      <c r="L1243" s="2" t="str">
        <f>IF(Sheet1[[#This Row],[claim_amount]]&lt;100000,"Low",IF(Sheet1[[#This Row],[claim_amount]]&lt;200000,"Medium","High"))</f>
        <v>High</v>
      </c>
      <c r="M1243" s="2" t="str">
        <f>IF(Sheet1[[#This Row],[days_to_process]]&lt;=30,"Fast","Slow")</f>
        <v>Fast</v>
      </c>
    </row>
    <row r="1244" spans="1:13" x14ac:dyDescent="0.3">
      <c r="A1244" t="s">
        <v>2283</v>
      </c>
      <c r="B1244" s="2" t="s">
        <v>2284</v>
      </c>
      <c r="C1244" s="1">
        <v>44512</v>
      </c>
      <c r="D1244" s="35">
        <v>176626.44</v>
      </c>
      <c r="E1244" s="2" t="s">
        <v>19</v>
      </c>
      <c r="F1244" s="2" t="s">
        <v>20</v>
      </c>
      <c r="G1244" s="2" t="s">
        <v>24</v>
      </c>
      <c r="H1244">
        <v>58</v>
      </c>
      <c r="I1244" s="2" t="str">
        <f>TEXT(Sheet1[[#This Row],[claim_date]],"mmmm")</f>
        <v>November</v>
      </c>
      <c r="J1244" s="2">
        <f>YEAR(Sheet1[[#This Row],[claim_date]])</f>
        <v>2021</v>
      </c>
      <c r="K1244" s="2" t="str">
        <f>"Q"&amp;ROUNDUP(MONTH(Sheet1[[#This Row],[claim_date]])/3,0)</f>
        <v>Q4</v>
      </c>
      <c r="L1244" s="2" t="str">
        <f>IF(Sheet1[[#This Row],[claim_amount]]&lt;100000,"Low",IF(Sheet1[[#This Row],[claim_amount]]&lt;200000,"Medium","High"))</f>
        <v>Medium</v>
      </c>
      <c r="M1244" s="2" t="str">
        <f>IF(Sheet1[[#This Row],[days_to_process]]&lt;=30,"Fast","Slow")</f>
        <v>Slow</v>
      </c>
    </row>
    <row r="1245" spans="1:13" x14ac:dyDescent="0.3">
      <c r="A1245" t="s">
        <v>2285</v>
      </c>
      <c r="B1245" s="2" t="s">
        <v>2286</v>
      </c>
      <c r="C1245" s="1">
        <v>44774</v>
      </c>
      <c r="D1245" s="35">
        <v>313617.17</v>
      </c>
      <c r="E1245" s="2" t="s">
        <v>19</v>
      </c>
      <c r="F1245" s="2" t="s">
        <v>20</v>
      </c>
      <c r="G1245" s="2" t="s">
        <v>12</v>
      </c>
      <c r="H1245">
        <v>26</v>
      </c>
      <c r="I1245" s="2" t="str">
        <f>TEXT(Sheet1[[#This Row],[claim_date]],"mmmm")</f>
        <v>August</v>
      </c>
      <c r="J1245" s="2">
        <f>YEAR(Sheet1[[#This Row],[claim_date]])</f>
        <v>2022</v>
      </c>
      <c r="K1245" s="2" t="str">
        <f>"Q"&amp;ROUNDUP(MONTH(Sheet1[[#This Row],[claim_date]])/3,0)</f>
        <v>Q3</v>
      </c>
      <c r="L1245" s="2" t="str">
        <f>IF(Sheet1[[#This Row],[claim_amount]]&lt;100000,"Low",IF(Sheet1[[#This Row],[claim_amount]]&lt;200000,"Medium","High"))</f>
        <v>High</v>
      </c>
      <c r="M1245" s="2" t="str">
        <f>IF(Sheet1[[#This Row],[days_to_process]]&lt;=30,"Fast","Slow")</f>
        <v>Fast</v>
      </c>
    </row>
    <row r="1246" spans="1:13" x14ac:dyDescent="0.3">
      <c r="A1246" t="s">
        <v>2287</v>
      </c>
      <c r="B1246" s="2" t="s">
        <v>2288</v>
      </c>
      <c r="C1246" s="1">
        <v>45237</v>
      </c>
      <c r="D1246" s="35">
        <v>285711.37</v>
      </c>
      <c r="E1246" s="2" t="s">
        <v>19</v>
      </c>
      <c r="F1246" s="2" t="s">
        <v>11</v>
      </c>
      <c r="G1246" s="2" t="s">
        <v>12</v>
      </c>
      <c r="H1246">
        <v>29</v>
      </c>
      <c r="I1246" s="2" t="str">
        <f>TEXT(Sheet1[[#This Row],[claim_date]],"mmmm")</f>
        <v>November</v>
      </c>
      <c r="J1246" s="2">
        <f>YEAR(Sheet1[[#This Row],[claim_date]])</f>
        <v>2023</v>
      </c>
      <c r="K1246" s="2" t="str">
        <f>"Q"&amp;ROUNDUP(MONTH(Sheet1[[#This Row],[claim_date]])/3,0)</f>
        <v>Q4</v>
      </c>
      <c r="L1246" s="2" t="str">
        <f>IF(Sheet1[[#This Row],[claim_amount]]&lt;100000,"Low",IF(Sheet1[[#This Row],[claim_amount]]&lt;200000,"Medium","High"))</f>
        <v>High</v>
      </c>
      <c r="M1246" s="2" t="str">
        <f>IF(Sheet1[[#This Row],[days_to_process]]&lt;=30,"Fast","Slow")</f>
        <v>Fast</v>
      </c>
    </row>
    <row r="1247" spans="1:13" x14ac:dyDescent="0.3">
      <c r="A1247" t="s">
        <v>2289</v>
      </c>
      <c r="B1247" s="2" t="s">
        <v>2290</v>
      </c>
      <c r="C1247" s="1">
        <v>45383</v>
      </c>
      <c r="D1247" s="35">
        <v>12382.59</v>
      </c>
      <c r="E1247" s="2" t="s">
        <v>15</v>
      </c>
      <c r="F1247" s="2" t="s">
        <v>11</v>
      </c>
      <c r="G1247" s="2" t="s">
        <v>24</v>
      </c>
      <c r="H1247">
        <v>4</v>
      </c>
      <c r="I1247" s="2" t="str">
        <f>TEXT(Sheet1[[#This Row],[claim_date]],"mmmm")</f>
        <v>April</v>
      </c>
      <c r="J1247" s="2">
        <f>YEAR(Sheet1[[#This Row],[claim_date]])</f>
        <v>2024</v>
      </c>
      <c r="K1247" s="2" t="str">
        <f>"Q"&amp;ROUNDUP(MONTH(Sheet1[[#This Row],[claim_date]])/3,0)</f>
        <v>Q2</v>
      </c>
      <c r="L1247" s="2" t="str">
        <f>IF(Sheet1[[#This Row],[claim_amount]]&lt;100000,"Low",IF(Sheet1[[#This Row],[claim_amount]]&lt;200000,"Medium","High"))</f>
        <v>Low</v>
      </c>
      <c r="M1247" s="2" t="str">
        <f>IF(Sheet1[[#This Row],[days_to_process]]&lt;=30,"Fast","Slow")</f>
        <v>Fast</v>
      </c>
    </row>
    <row r="1248" spans="1:13" x14ac:dyDescent="0.3">
      <c r="A1248" t="s">
        <v>2291</v>
      </c>
      <c r="B1248" s="2" t="s">
        <v>2292</v>
      </c>
      <c r="C1248" s="1">
        <v>45703</v>
      </c>
      <c r="D1248" s="35">
        <v>207657.94</v>
      </c>
      <c r="E1248" s="2" t="s">
        <v>15</v>
      </c>
      <c r="F1248" s="2" t="s">
        <v>23</v>
      </c>
      <c r="G1248" s="2" t="s">
        <v>12</v>
      </c>
      <c r="H1248">
        <v>19</v>
      </c>
      <c r="I1248" s="2" t="str">
        <f>TEXT(Sheet1[[#This Row],[claim_date]],"mmmm")</f>
        <v>February</v>
      </c>
      <c r="J1248" s="2">
        <f>YEAR(Sheet1[[#This Row],[claim_date]])</f>
        <v>2025</v>
      </c>
      <c r="K1248" s="2" t="str">
        <f>"Q"&amp;ROUNDUP(MONTH(Sheet1[[#This Row],[claim_date]])/3,0)</f>
        <v>Q1</v>
      </c>
      <c r="L1248" s="2" t="str">
        <f>IF(Sheet1[[#This Row],[claim_amount]]&lt;100000,"Low",IF(Sheet1[[#This Row],[claim_amount]]&lt;200000,"Medium","High"))</f>
        <v>High</v>
      </c>
      <c r="M1248" s="2" t="str">
        <f>IF(Sheet1[[#This Row],[days_to_process]]&lt;=30,"Fast","Slow")</f>
        <v>Fast</v>
      </c>
    </row>
    <row r="1249" spans="1:13" x14ac:dyDescent="0.3">
      <c r="A1249" t="s">
        <v>2293</v>
      </c>
      <c r="B1249" s="2" t="s">
        <v>547</v>
      </c>
      <c r="C1249" s="1">
        <v>45114</v>
      </c>
      <c r="D1249" s="35">
        <v>139978.70000000001</v>
      </c>
      <c r="E1249" s="2" t="s">
        <v>15</v>
      </c>
      <c r="F1249" s="2" t="s">
        <v>34</v>
      </c>
      <c r="G1249" s="2" t="s">
        <v>12</v>
      </c>
      <c r="H1249">
        <v>32</v>
      </c>
      <c r="I1249" s="2" t="str">
        <f>TEXT(Sheet1[[#This Row],[claim_date]],"mmmm")</f>
        <v>July</v>
      </c>
      <c r="J1249" s="2">
        <f>YEAR(Sheet1[[#This Row],[claim_date]])</f>
        <v>2023</v>
      </c>
      <c r="K1249" s="2" t="str">
        <f>"Q"&amp;ROUNDUP(MONTH(Sheet1[[#This Row],[claim_date]])/3,0)</f>
        <v>Q3</v>
      </c>
      <c r="L1249" s="2" t="str">
        <f>IF(Sheet1[[#This Row],[claim_amount]]&lt;100000,"Low",IF(Sheet1[[#This Row],[claim_amount]]&lt;200000,"Medium","High"))</f>
        <v>Medium</v>
      </c>
      <c r="M1249" s="2" t="str">
        <f>IF(Sheet1[[#This Row],[days_to_process]]&lt;=30,"Fast","Slow")</f>
        <v>Slow</v>
      </c>
    </row>
    <row r="1250" spans="1:13" x14ac:dyDescent="0.3">
      <c r="A1250" t="s">
        <v>2294</v>
      </c>
      <c r="B1250" s="2" t="s">
        <v>2295</v>
      </c>
      <c r="C1250" s="1">
        <v>45230</v>
      </c>
      <c r="D1250" s="35">
        <v>377533.92</v>
      </c>
      <c r="E1250" s="2" t="s">
        <v>19</v>
      </c>
      <c r="F1250" s="2" t="s">
        <v>34</v>
      </c>
      <c r="G1250" s="2" t="s">
        <v>12</v>
      </c>
      <c r="H1250">
        <v>35</v>
      </c>
      <c r="I1250" s="2" t="str">
        <f>TEXT(Sheet1[[#This Row],[claim_date]],"mmmm")</f>
        <v>October</v>
      </c>
      <c r="J1250" s="2">
        <f>YEAR(Sheet1[[#This Row],[claim_date]])</f>
        <v>2023</v>
      </c>
      <c r="K1250" s="2" t="str">
        <f>"Q"&amp;ROUNDUP(MONTH(Sheet1[[#This Row],[claim_date]])/3,0)</f>
        <v>Q4</v>
      </c>
      <c r="L1250" s="2" t="str">
        <f>IF(Sheet1[[#This Row],[claim_amount]]&lt;100000,"Low",IF(Sheet1[[#This Row],[claim_amount]]&lt;200000,"Medium","High"))</f>
        <v>High</v>
      </c>
      <c r="M1250" s="2" t="str">
        <f>IF(Sheet1[[#This Row],[days_to_process]]&lt;=30,"Fast","Slow")</f>
        <v>Slow</v>
      </c>
    </row>
    <row r="1251" spans="1:13" x14ac:dyDescent="0.3">
      <c r="A1251" t="s">
        <v>2296</v>
      </c>
      <c r="B1251" s="2" t="s">
        <v>2297</v>
      </c>
      <c r="C1251" s="1">
        <v>44809</v>
      </c>
      <c r="D1251" s="35">
        <v>280802.52</v>
      </c>
      <c r="E1251" s="2" t="s">
        <v>19</v>
      </c>
      <c r="F1251" s="2" t="s">
        <v>16</v>
      </c>
      <c r="G1251" s="2" t="s">
        <v>12</v>
      </c>
      <c r="H1251">
        <v>11</v>
      </c>
      <c r="I1251" s="2" t="str">
        <f>TEXT(Sheet1[[#This Row],[claim_date]],"mmmm")</f>
        <v>September</v>
      </c>
      <c r="J1251" s="2">
        <f>YEAR(Sheet1[[#This Row],[claim_date]])</f>
        <v>2022</v>
      </c>
      <c r="K1251" s="2" t="str">
        <f>"Q"&amp;ROUNDUP(MONTH(Sheet1[[#This Row],[claim_date]])/3,0)</f>
        <v>Q3</v>
      </c>
      <c r="L1251" s="2" t="str">
        <f>IF(Sheet1[[#This Row],[claim_amount]]&lt;100000,"Low",IF(Sheet1[[#This Row],[claim_amount]]&lt;200000,"Medium","High"))</f>
        <v>High</v>
      </c>
      <c r="M1251" s="2" t="str">
        <f>IF(Sheet1[[#This Row],[days_to_process]]&lt;=30,"Fast","Slow")</f>
        <v>Fast</v>
      </c>
    </row>
    <row r="1252" spans="1:13" x14ac:dyDescent="0.3">
      <c r="A1252" t="s">
        <v>2298</v>
      </c>
      <c r="B1252" s="2" t="s">
        <v>2299</v>
      </c>
      <c r="C1252" s="1">
        <v>45484</v>
      </c>
      <c r="D1252" s="35">
        <v>213618.84</v>
      </c>
      <c r="E1252" s="2" t="s">
        <v>15</v>
      </c>
      <c r="F1252" s="2" t="s">
        <v>16</v>
      </c>
      <c r="G1252" s="2" t="s">
        <v>24</v>
      </c>
      <c r="H1252">
        <v>54</v>
      </c>
      <c r="I1252" s="2" t="str">
        <f>TEXT(Sheet1[[#This Row],[claim_date]],"mmmm")</f>
        <v>July</v>
      </c>
      <c r="J1252" s="2">
        <f>YEAR(Sheet1[[#This Row],[claim_date]])</f>
        <v>2024</v>
      </c>
      <c r="K1252" s="2" t="str">
        <f>"Q"&amp;ROUNDUP(MONTH(Sheet1[[#This Row],[claim_date]])/3,0)</f>
        <v>Q3</v>
      </c>
      <c r="L1252" s="2" t="str">
        <f>IF(Sheet1[[#This Row],[claim_amount]]&lt;100000,"Low",IF(Sheet1[[#This Row],[claim_amount]]&lt;200000,"Medium","High"))</f>
        <v>High</v>
      </c>
      <c r="M1252" s="2" t="str">
        <f>IF(Sheet1[[#This Row],[days_to_process]]&lt;=30,"Fast","Slow")</f>
        <v>Slow</v>
      </c>
    </row>
    <row r="1253" spans="1:13" x14ac:dyDescent="0.3">
      <c r="A1253" t="s">
        <v>2300</v>
      </c>
      <c r="B1253" s="2" t="s">
        <v>504</v>
      </c>
      <c r="C1253" s="1">
        <v>45176</v>
      </c>
      <c r="D1253" s="35">
        <v>362827.64</v>
      </c>
      <c r="E1253" s="2" t="s">
        <v>15</v>
      </c>
      <c r="F1253" s="2" t="s">
        <v>11</v>
      </c>
      <c r="G1253" s="2" t="s">
        <v>12</v>
      </c>
      <c r="H1253">
        <v>8</v>
      </c>
      <c r="I1253" s="2" t="str">
        <f>TEXT(Sheet1[[#This Row],[claim_date]],"mmmm")</f>
        <v>September</v>
      </c>
      <c r="J1253" s="2">
        <f>YEAR(Sheet1[[#This Row],[claim_date]])</f>
        <v>2023</v>
      </c>
      <c r="K1253" s="2" t="str">
        <f>"Q"&amp;ROUNDUP(MONTH(Sheet1[[#This Row],[claim_date]])/3,0)</f>
        <v>Q3</v>
      </c>
      <c r="L1253" s="2" t="str">
        <f>IF(Sheet1[[#This Row],[claim_amount]]&lt;100000,"Low",IF(Sheet1[[#This Row],[claim_amount]]&lt;200000,"Medium","High"))</f>
        <v>High</v>
      </c>
      <c r="M1253" s="2" t="str">
        <f>IF(Sheet1[[#This Row],[days_to_process]]&lt;=30,"Fast","Slow")</f>
        <v>Fast</v>
      </c>
    </row>
    <row r="1254" spans="1:13" x14ac:dyDescent="0.3">
      <c r="A1254" t="s">
        <v>2301</v>
      </c>
      <c r="B1254" s="2" t="s">
        <v>726</v>
      </c>
      <c r="C1254" s="1">
        <v>44838</v>
      </c>
      <c r="D1254" s="35">
        <v>25919.17</v>
      </c>
      <c r="E1254" s="2" t="s">
        <v>19</v>
      </c>
      <c r="F1254" s="2" t="s">
        <v>34</v>
      </c>
      <c r="G1254" s="2" t="s">
        <v>24</v>
      </c>
      <c r="H1254">
        <v>41</v>
      </c>
      <c r="I1254" s="2" t="str">
        <f>TEXT(Sheet1[[#This Row],[claim_date]],"mmmm")</f>
        <v>October</v>
      </c>
      <c r="J1254" s="2">
        <f>YEAR(Sheet1[[#This Row],[claim_date]])</f>
        <v>2022</v>
      </c>
      <c r="K1254" s="2" t="str">
        <f>"Q"&amp;ROUNDUP(MONTH(Sheet1[[#This Row],[claim_date]])/3,0)</f>
        <v>Q4</v>
      </c>
      <c r="L1254" s="2" t="str">
        <f>IF(Sheet1[[#This Row],[claim_amount]]&lt;100000,"Low",IF(Sheet1[[#This Row],[claim_amount]]&lt;200000,"Medium","High"))</f>
        <v>Low</v>
      </c>
      <c r="M1254" s="2" t="str">
        <f>IF(Sheet1[[#This Row],[days_to_process]]&lt;=30,"Fast","Slow")</f>
        <v>Slow</v>
      </c>
    </row>
    <row r="1255" spans="1:13" x14ac:dyDescent="0.3">
      <c r="A1255" t="s">
        <v>2302</v>
      </c>
      <c r="B1255" s="2" t="s">
        <v>2303</v>
      </c>
      <c r="C1255" s="1">
        <v>45795</v>
      </c>
      <c r="D1255" s="35">
        <v>155508.51</v>
      </c>
      <c r="E1255" s="2" t="s">
        <v>10</v>
      </c>
      <c r="F1255" s="2" t="s">
        <v>20</v>
      </c>
      <c r="G1255" s="2" t="s">
        <v>24</v>
      </c>
      <c r="H1255">
        <v>56</v>
      </c>
      <c r="I1255" s="2" t="str">
        <f>TEXT(Sheet1[[#This Row],[claim_date]],"mmmm")</f>
        <v>May</v>
      </c>
      <c r="J1255" s="2">
        <f>YEAR(Sheet1[[#This Row],[claim_date]])</f>
        <v>2025</v>
      </c>
      <c r="K1255" s="2" t="str">
        <f>"Q"&amp;ROUNDUP(MONTH(Sheet1[[#This Row],[claim_date]])/3,0)</f>
        <v>Q2</v>
      </c>
      <c r="L1255" s="2" t="str">
        <f>IF(Sheet1[[#This Row],[claim_amount]]&lt;100000,"Low",IF(Sheet1[[#This Row],[claim_amount]]&lt;200000,"Medium","High"))</f>
        <v>Medium</v>
      </c>
      <c r="M1255" s="2" t="str">
        <f>IF(Sheet1[[#This Row],[days_to_process]]&lt;=30,"Fast","Slow")</f>
        <v>Slow</v>
      </c>
    </row>
    <row r="1256" spans="1:13" x14ac:dyDescent="0.3">
      <c r="A1256" t="s">
        <v>2304</v>
      </c>
      <c r="B1256" s="2" t="s">
        <v>2305</v>
      </c>
      <c r="C1256" s="1">
        <v>45280</v>
      </c>
      <c r="D1256" s="35">
        <v>26521.78</v>
      </c>
      <c r="E1256" s="2" t="s">
        <v>10</v>
      </c>
      <c r="F1256" s="2" t="s">
        <v>20</v>
      </c>
      <c r="G1256" s="2" t="s">
        <v>12</v>
      </c>
      <c r="H1256">
        <v>53</v>
      </c>
      <c r="I1256" s="2" t="str">
        <f>TEXT(Sheet1[[#This Row],[claim_date]],"mmmm")</f>
        <v>December</v>
      </c>
      <c r="J1256" s="2">
        <f>YEAR(Sheet1[[#This Row],[claim_date]])</f>
        <v>2023</v>
      </c>
      <c r="K1256" s="2" t="str">
        <f>"Q"&amp;ROUNDUP(MONTH(Sheet1[[#This Row],[claim_date]])/3,0)</f>
        <v>Q4</v>
      </c>
      <c r="L1256" s="2" t="str">
        <f>IF(Sheet1[[#This Row],[claim_amount]]&lt;100000,"Low",IF(Sheet1[[#This Row],[claim_amount]]&lt;200000,"Medium","High"))</f>
        <v>Low</v>
      </c>
      <c r="M1256" s="2" t="str">
        <f>IF(Sheet1[[#This Row],[days_to_process]]&lt;=30,"Fast","Slow")</f>
        <v>Slow</v>
      </c>
    </row>
    <row r="1257" spans="1:13" x14ac:dyDescent="0.3">
      <c r="A1257" t="s">
        <v>2306</v>
      </c>
      <c r="B1257" s="2" t="s">
        <v>2307</v>
      </c>
      <c r="C1257" s="1">
        <v>45409</v>
      </c>
      <c r="D1257" s="35">
        <v>73843.17</v>
      </c>
      <c r="E1257" s="2" t="s">
        <v>19</v>
      </c>
      <c r="F1257" s="2" t="s">
        <v>11</v>
      </c>
      <c r="G1257" s="2" t="s">
        <v>12</v>
      </c>
      <c r="H1257">
        <v>4</v>
      </c>
      <c r="I1257" s="2" t="str">
        <f>TEXT(Sheet1[[#This Row],[claim_date]],"mmmm")</f>
        <v>April</v>
      </c>
      <c r="J1257" s="2">
        <f>YEAR(Sheet1[[#This Row],[claim_date]])</f>
        <v>2024</v>
      </c>
      <c r="K1257" s="2" t="str">
        <f>"Q"&amp;ROUNDUP(MONTH(Sheet1[[#This Row],[claim_date]])/3,0)</f>
        <v>Q2</v>
      </c>
      <c r="L1257" s="2" t="str">
        <f>IF(Sheet1[[#This Row],[claim_amount]]&lt;100000,"Low",IF(Sheet1[[#This Row],[claim_amount]]&lt;200000,"Medium","High"))</f>
        <v>Low</v>
      </c>
      <c r="M1257" s="2" t="str">
        <f>IF(Sheet1[[#This Row],[days_to_process]]&lt;=30,"Fast","Slow")</f>
        <v>Fast</v>
      </c>
    </row>
    <row r="1258" spans="1:13" x14ac:dyDescent="0.3">
      <c r="A1258" t="s">
        <v>2308</v>
      </c>
      <c r="B1258" s="2" t="s">
        <v>2309</v>
      </c>
      <c r="C1258" s="1">
        <v>45147</v>
      </c>
      <c r="D1258" s="35">
        <v>376216.73</v>
      </c>
      <c r="E1258" s="2" t="s">
        <v>19</v>
      </c>
      <c r="F1258" s="2" t="s">
        <v>16</v>
      </c>
      <c r="G1258" s="2" t="s">
        <v>12</v>
      </c>
      <c r="H1258">
        <v>3</v>
      </c>
      <c r="I1258" s="2" t="str">
        <f>TEXT(Sheet1[[#This Row],[claim_date]],"mmmm")</f>
        <v>August</v>
      </c>
      <c r="J1258" s="2">
        <f>YEAR(Sheet1[[#This Row],[claim_date]])</f>
        <v>2023</v>
      </c>
      <c r="K1258" s="2" t="str">
        <f>"Q"&amp;ROUNDUP(MONTH(Sheet1[[#This Row],[claim_date]])/3,0)</f>
        <v>Q3</v>
      </c>
      <c r="L1258" s="2" t="str">
        <f>IF(Sheet1[[#This Row],[claim_amount]]&lt;100000,"Low",IF(Sheet1[[#This Row],[claim_amount]]&lt;200000,"Medium","High"))</f>
        <v>High</v>
      </c>
      <c r="M1258" s="2" t="str">
        <f>IF(Sheet1[[#This Row],[days_to_process]]&lt;=30,"Fast","Slow")</f>
        <v>Fast</v>
      </c>
    </row>
    <row r="1259" spans="1:13" x14ac:dyDescent="0.3">
      <c r="A1259" t="s">
        <v>2310</v>
      </c>
      <c r="B1259" s="2" t="s">
        <v>644</v>
      </c>
      <c r="C1259" s="1">
        <v>44439</v>
      </c>
      <c r="D1259" s="35">
        <v>121727.6</v>
      </c>
      <c r="E1259" s="2" t="s">
        <v>10</v>
      </c>
      <c r="F1259" s="2" t="s">
        <v>20</v>
      </c>
      <c r="G1259" s="2" t="s">
        <v>12</v>
      </c>
      <c r="H1259">
        <v>12</v>
      </c>
      <c r="I1259" s="2" t="str">
        <f>TEXT(Sheet1[[#This Row],[claim_date]],"mmmm")</f>
        <v>August</v>
      </c>
      <c r="J1259" s="2">
        <f>YEAR(Sheet1[[#This Row],[claim_date]])</f>
        <v>2021</v>
      </c>
      <c r="K1259" s="2" t="str">
        <f>"Q"&amp;ROUNDUP(MONTH(Sheet1[[#This Row],[claim_date]])/3,0)</f>
        <v>Q3</v>
      </c>
      <c r="L1259" s="2" t="str">
        <f>IF(Sheet1[[#This Row],[claim_amount]]&lt;100000,"Low",IF(Sheet1[[#This Row],[claim_amount]]&lt;200000,"Medium","High"))</f>
        <v>Medium</v>
      </c>
      <c r="M1259" s="2" t="str">
        <f>IF(Sheet1[[#This Row],[days_to_process]]&lt;=30,"Fast","Slow")</f>
        <v>Fast</v>
      </c>
    </row>
    <row r="1260" spans="1:13" x14ac:dyDescent="0.3">
      <c r="A1260" t="s">
        <v>2311</v>
      </c>
      <c r="B1260" s="2" t="s">
        <v>2312</v>
      </c>
      <c r="C1260" s="1">
        <v>45565</v>
      </c>
      <c r="D1260" s="35">
        <v>210894.89</v>
      </c>
      <c r="E1260" s="2" t="s">
        <v>15</v>
      </c>
      <c r="F1260" s="2" t="s">
        <v>23</v>
      </c>
      <c r="G1260" s="2" t="s">
        <v>24</v>
      </c>
      <c r="H1260">
        <v>10</v>
      </c>
      <c r="I1260" s="2" t="str">
        <f>TEXT(Sheet1[[#This Row],[claim_date]],"mmmm")</f>
        <v>September</v>
      </c>
      <c r="J1260" s="2">
        <f>YEAR(Sheet1[[#This Row],[claim_date]])</f>
        <v>2024</v>
      </c>
      <c r="K1260" s="2" t="str">
        <f>"Q"&amp;ROUNDUP(MONTH(Sheet1[[#This Row],[claim_date]])/3,0)</f>
        <v>Q3</v>
      </c>
      <c r="L1260" s="2" t="str">
        <f>IF(Sheet1[[#This Row],[claim_amount]]&lt;100000,"Low",IF(Sheet1[[#This Row],[claim_amount]]&lt;200000,"Medium","High"))</f>
        <v>High</v>
      </c>
      <c r="M1260" s="2" t="str">
        <f>IF(Sheet1[[#This Row],[days_to_process]]&lt;=30,"Fast","Slow")</f>
        <v>Fast</v>
      </c>
    </row>
    <row r="1261" spans="1:13" x14ac:dyDescent="0.3">
      <c r="A1261" t="s">
        <v>2313</v>
      </c>
      <c r="B1261" s="2" t="s">
        <v>1656</v>
      </c>
      <c r="C1261" s="1">
        <v>44682</v>
      </c>
      <c r="D1261" s="35">
        <v>43425.1</v>
      </c>
      <c r="E1261" s="2" t="s">
        <v>15</v>
      </c>
      <c r="F1261" s="2" t="s">
        <v>23</v>
      </c>
      <c r="G1261" s="2" t="s">
        <v>12</v>
      </c>
      <c r="H1261">
        <v>2</v>
      </c>
      <c r="I1261" s="2" t="str">
        <f>TEXT(Sheet1[[#This Row],[claim_date]],"mmmm")</f>
        <v>May</v>
      </c>
      <c r="J1261" s="2">
        <f>YEAR(Sheet1[[#This Row],[claim_date]])</f>
        <v>2022</v>
      </c>
      <c r="K1261" s="2" t="str">
        <f>"Q"&amp;ROUNDUP(MONTH(Sheet1[[#This Row],[claim_date]])/3,0)</f>
        <v>Q2</v>
      </c>
      <c r="L1261" s="2" t="str">
        <f>IF(Sheet1[[#This Row],[claim_amount]]&lt;100000,"Low",IF(Sheet1[[#This Row],[claim_amount]]&lt;200000,"Medium","High"))</f>
        <v>Low</v>
      </c>
      <c r="M1261" s="2" t="str">
        <f>IF(Sheet1[[#This Row],[days_to_process]]&lt;=30,"Fast","Slow")</f>
        <v>Fast</v>
      </c>
    </row>
    <row r="1262" spans="1:13" x14ac:dyDescent="0.3">
      <c r="A1262" t="s">
        <v>2314</v>
      </c>
      <c r="B1262" s="2" t="s">
        <v>2315</v>
      </c>
      <c r="C1262" s="1">
        <v>44756</v>
      </c>
      <c r="D1262" s="35">
        <v>145073.45000000001</v>
      </c>
      <c r="E1262" s="2" t="s">
        <v>15</v>
      </c>
      <c r="F1262" s="2" t="s">
        <v>11</v>
      </c>
      <c r="G1262" s="2" t="s">
        <v>24</v>
      </c>
      <c r="H1262">
        <v>24</v>
      </c>
      <c r="I1262" s="2" t="str">
        <f>TEXT(Sheet1[[#This Row],[claim_date]],"mmmm")</f>
        <v>July</v>
      </c>
      <c r="J1262" s="2">
        <f>YEAR(Sheet1[[#This Row],[claim_date]])</f>
        <v>2022</v>
      </c>
      <c r="K1262" s="2" t="str">
        <f>"Q"&amp;ROUNDUP(MONTH(Sheet1[[#This Row],[claim_date]])/3,0)</f>
        <v>Q3</v>
      </c>
      <c r="L1262" s="2" t="str">
        <f>IF(Sheet1[[#This Row],[claim_amount]]&lt;100000,"Low",IF(Sheet1[[#This Row],[claim_amount]]&lt;200000,"Medium","High"))</f>
        <v>Medium</v>
      </c>
      <c r="M1262" s="2" t="str">
        <f>IF(Sheet1[[#This Row],[days_to_process]]&lt;=30,"Fast","Slow")</f>
        <v>Fast</v>
      </c>
    </row>
    <row r="1263" spans="1:13" x14ac:dyDescent="0.3">
      <c r="A1263" t="s">
        <v>2316</v>
      </c>
      <c r="B1263" s="2" t="s">
        <v>2317</v>
      </c>
      <c r="C1263" s="1">
        <v>45200</v>
      </c>
      <c r="D1263" s="35">
        <v>202686.07999999999</v>
      </c>
      <c r="E1263" s="2" t="s">
        <v>10</v>
      </c>
      <c r="F1263" s="2" t="s">
        <v>11</v>
      </c>
      <c r="G1263" s="2" t="s">
        <v>12</v>
      </c>
      <c r="H1263">
        <v>11</v>
      </c>
      <c r="I1263" s="2" t="str">
        <f>TEXT(Sheet1[[#This Row],[claim_date]],"mmmm")</f>
        <v>October</v>
      </c>
      <c r="J1263" s="2">
        <f>YEAR(Sheet1[[#This Row],[claim_date]])</f>
        <v>2023</v>
      </c>
      <c r="K1263" s="2" t="str">
        <f>"Q"&amp;ROUNDUP(MONTH(Sheet1[[#This Row],[claim_date]])/3,0)</f>
        <v>Q4</v>
      </c>
      <c r="L1263" s="2" t="str">
        <f>IF(Sheet1[[#This Row],[claim_amount]]&lt;100000,"Low",IF(Sheet1[[#This Row],[claim_amount]]&lt;200000,"Medium","High"))</f>
        <v>High</v>
      </c>
      <c r="M1263" s="2" t="str">
        <f>IF(Sheet1[[#This Row],[days_to_process]]&lt;=30,"Fast","Slow")</f>
        <v>Fast</v>
      </c>
    </row>
    <row r="1264" spans="1:13" x14ac:dyDescent="0.3">
      <c r="A1264" t="s">
        <v>2318</v>
      </c>
      <c r="B1264" s="2" t="s">
        <v>2319</v>
      </c>
      <c r="C1264" s="1">
        <v>45436</v>
      </c>
      <c r="D1264" s="35">
        <v>447677.43</v>
      </c>
      <c r="E1264" s="2" t="s">
        <v>10</v>
      </c>
      <c r="F1264" s="2" t="s">
        <v>34</v>
      </c>
      <c r="G1264" s="2" t="s">
        <v>12</v>
      </c>
      <c r="H1264">
        <v>33</v>
      </c>
      <c r="I1264" s="2" t="str">
        <f>TEXT(Sheet1[[#This Row],[claim_date]],"mmmm")</f>
        <v>May</v>
      </c>
      <c r="J1264" s="2">
        <f>YEAR(Sheet1[[#This Row],[claim_date]])</f>
        <v>2024</v>
      </c>
      <c r="K1264" s="2" t="str">
        <f>"Q"&amp;ROUNDUP(MONTH(Sheet1[[#This Row],[claim_date]])/3,0)</f>
        <v>Q2</v>
      </c>
      <c r="L1264" s="2" t="str">
        <f>IF(Sheet1[[#This Row],[claim_amount]]&lt;100000,"Low",IF(Sheet1[[#This Row],[claim_amount]]&lt;200000,"Medium","High"))</f>
        <v>High</v>
      </c>
      <c r="M1264" s="2" t="str">
        <f>IF(Sheet1[[#This Row],[days_to_process]]&lt;=30,"Fast","Slow")</f>
        <v>Slow</v>
      </c>
    </row>
    <row r="1265" spans="1:13" x14ac:dyDescent="0.3">
      <c r="A1265" t="s">
        <v>2320</v>
      </c>
      <c r="B1265" s="2" t="s">
        <v>2321</v>
      </c>
      <c r="C1265" s="1">
        <v>44967</v>
      </c>
      <c r="D1265" s="35">
        <v>288030.77</v>
      </c>
      <c r="E1265" s="2" t="s">
        <v>19</v>
      </c>
      <c r="F1265" s="2" t="s">
        <v>16</v>
      </c>
      <c r="G1265" s="2" t="s">
        <v>24</v>
      </c>
      <c r="H1265">
        <v>58</v>
      </c>
      <c r="I1265" s="2" t="str">
        <f>TEXT(Sheet1[[#This Row],[claim_date]],"mmmm")</f>
        <v>February</v>
      </c>
      <c r="J1265" s="2">
        <f>YEAR(Sheet1[[#This Row],[claim_date]])</f>
        <v>2023</v>
      </c>
      <c r="K1265" s="2" t="str">
        <f>"Q"&amp;ROUNDUP(MONTH(Sheet1[[#This Row],[claim_date]])/3,0)</f>
        <v>Q1</v>
      </c>
      <c r="L1265" s="2" t="str">
        <f>IF(Sheet1[[#This Row],[claim_amount]]&lt;100000,"Low",IF(Sheet1[[#This Row],[claim_amount]]&lt;200000,"Medium","High"))</f>
        <v>High</v>
      </c>
      <c r="M1265" s="2" t="str">
        <f>IF(Sheet1[[#This Row],[days_to_process]]&lt;=30,"Fast","Slow")</f>
        <v>Slow</v>
      </c>
    </row>
    <row r="1266" spans="1:13" x14ac:dyDescent="0.3">
      <c r="A1266" t="s">
        <v>2322</v>
      </c>
      <c r="B1266" s="2" t="s">
        <v>2043</v>
      </c>
      <c r="C1266" s="1">
        <v>45523</v>
      </c>
      <c r="D1266" s="35">
        <v>304623.89</v>
      </c>
      <c r="E1266" s="2" t="s">
        <v>15</v>
      </c>
      <c r="F1266" s="2" t="s">
        <v>20</v>
      </c>
      <c r="G1266" s="2" t="s">
        <v>24</v>
      </c>
      <c r="H1266">
        <v>44</v>
      </c>
      <c r="I1266" s="2" t="str">
        <f>TEXT(Sheet1[[#This Row],[claim_date]],"mmmm")</f>
        <v>August</v>
      </c>
      <c r="J1266" s="2">
        <f>YEAR(Sheet1[[#This Row],[claim_date]])</f>
        <v>2024</v>
      </c>
      <c r="K1266" s="2" t="str">
        <f>"Q"&amp;ROUNDUP(MONTH(Sheet1[[#This Row],[claim_date]])/3,0)</f>
        <v>Q3</v>
      </c>
      <c r="L1266" s="2" t="str">
        <f>IF(Sheet1[[#This Row],[claim_amount]]&lt;100000,"Low",IF(Sheet1[[#This Row],[claim_amount]]&lt;200000,"Medium","High"))</f>
        <v>High</v>
      </c>
      <c r="M1266" s="2" t="str">
        <f>IF(Sheet1[[#This Row],[days_to_process]]&lt;=30,"Fast","Slow")</f>
        <v>Slow</v>
      </c>
    </row>
    <row r="1267" spans="1:13" x14ac:dyDescent="0.3">
      <c r="A1267" t="s">
        <v>2323</v>
      </c>
      <c r="B1267" s="2" t="s">
        <v>1082</v>
      </c>
      <c r="C1267" s="1">
        <v>45633</v>
      </c>
      <c r="D1267" s="35">
        <v>345339.1</v>
      </c>
      <c r="E1267" s="2" t="s">
        <v>15</v>
      </c>
      <c r="F1267" s="2" t="s">
        <v>23</v>
      </c>
      <c r="G1267" s="2" t="s">
        <v>12</v>
      </c>
      <c r="H1267">
        <v>53</v>
      </c>
      <c r="I1267" s="2" t="str">
        <f>TEXT(Sheet1[[#This Row],[claim_date]],"mmmm")</f>
        <v>December</v>
      </c>
      <c r="J1267" s="2">
        <f>YEAR(Sheet1[[#This Row],[claim_date]])</f>
        <v>2024</v>
      </c>
      <c r="K1267" s="2" t="str">
        <f>"Q"&amp;ROUNDUP(MONTH(Sheet1[[#This Row],[claim_date]])/3,0)</f>
        <v>Q4</v>
      </c>
      <c r="L1267" s="2" t="str">
        <f>IF(Sheet1[[#This Row],[claim_amount]]&lt;100000,"Low",IF(Sheet1[[#This Row],[claim_amount]]&lt;200000,"Medium","High"))</f>
        <v>High</v>
      </c>
      <c r="M1267" s="2" t="str">
        <f>IF(Sheet1[[#This Row],[days_to_process]]&lt;=30,"Fast","Slow")</f>
        <v>Slow</v>
      </c>
    </row>
    <row r="1268" spans="1:13" x14ac:dyDescent="0.3">
      <c r="A1268" t="s">
        <v>2324</v>
      </c>
      <c r="B1268" s="2" t="s">
        <v>504</v>
      </c>
      <c r="C1268" s="1">
        <v>45426</v>
      </c>
      <c r="D1268" s="35">
        <v>15739.41</v>
      </c>
      <c r="E1268" s="2" t="s">
        <v>10</v>
      </c>
      <c r="F1268" s="2" t="s">
        <v>34</v>
      </c>
      <c r="G1268" s="2" t="s">
        <v>24</v>
      </c>
      <c r="H1268">
        <v>34</v>
      </c>
      <c r="I1268" s="2" t="str">
        <f>TEXT(Sheet1[[#This Row],[claim_date]],"mmmm")</f>
        <v>May</v>
      </c>
      <c r="J1268" s="2">
        <f>YEAR(Sheet1[[#This Row],[claim_date]])</f>
        <v>2024</v>
      </c>
      <c r="K1268" s="2" t="str">
        <f>"Q"&amp;ROUNDUP(MONTH(Sheet1[[#This Row],[claim_date]])/3,0)</f>
        <v>Q2</v>
      </c>
      <c r="L1268" s="2" t="str">
        <f>IF(Sheet1[[#This Row],[claim_amount]]&lt;100000,"Low",IF(Sheet1[[#This Row],[claim_amount]]&lt;200000,"Medium","High"))</f>
        <v>Low</v>
      </c>
      <c r="M1268" s="2" t="str">
        <f>IF(Sheet1[[#This Row],[days_to_process]]&lt;=30,"Fast","Slow")</f>
        <v>Slow</v>
      </c>
    </row>
    <row r="1269" spans="1:13" x14ac:dyDescent="0.3">
      <c r="A1269" t="s">
        <v>2325</v>
      </c>
      <c r="B1269" s="2" t="s">
        <v>598</v>
      </c>
      <c r="C1269" s="1">
        <v>45470</v>
      </c>
      <c r="D1269" s="35">
        <v>271950.96000000002</v>
      </c>
      <c r="E1269" s="2" t="s">
        <v>15</v>
      </c>
      <c r="F1269" s="2" t="s">
        <v>23</v>
      </c>
      <c r="G1269" s="2" t="s">
        <v>24</v>
      </c>
      <c r="H1269">
        <v>45</v>
      </c>
      <c r="I1269" s="2" t="str">
        <f>TEXT(Sheet1[[#This Row],[claim_date]],"mmmm")</f>
        <v>June</v>
      </c>
      <c r="J1269" s="2">
        <f>YEAR(Sheet1[[#This Row],[claim_date]])</f>
        <v>2024</v>
      </c>
      <c r="K1269" s="2" t="str">
        <f>"Q"&amp;ROUNDUP(MONTH(Sheet1[[#This Row],[claim_date]])/3,0)</f>
        <v>Q2</v>
      </c>
      <c r="L1269" s="2" t="str">
        <f>IF(Sheet1[[#This Row],[claim_amount]]&lt;100000,"Low",IF(Sheet1[[#This Row],[claim_amount]]&lt;200000,"Medium","High"))</f>
        <v>High</v>
      </c>
      <c r="M1269" s="2" t="str">
        <f>IF(Sheet1[[#This Row],[days_to_process]]&lt;=30,"Fast","Slow")</f>
        <v>Slow</v>
      </c>
    </row>
    <row r="1270" spans="1:13" x14ac:dyDescent="0.3">
      <c r="A1270" t="s">
        <v>2326</v>
      </c>
      <c r="B1270" s="2" t="s">
        <v>2327</v>
      </c>
      <c r="C1270" s="1">
        <v>45297</v>
      </c>
      <c r="D1270" s="35">
        <v>223552</v>
      </c>
      <c r="E1270" s="2" t="s">
        <v>19</v>
      </c>
      <c r="F1270" s="2" t="s">
        <v>11</v>
      </c>
      <c r="G1270" s="2" t="s">
        <v>12</v>
      </c>
      <c r="H1270">
        <v>19</v>
      </c>
      <c r="I1270" s="2" t="str">
        <f>TEXT(Sheet1[[#This Row],[claim_date]],"mmmm")</f>
        <v>January</v>
      </c>
      <c r="J1270" s="2">
        <f>YEAR(Sheet1[[#This Row],[claim_date]])</f>
        <v>2024</v>
      </c>
      <c r="K1270" s="2" t="str">
        <f>"Q"&amp;ROUNDUP(MONTH(Sheet1[[#This Row],[claim_date]])/3,0)</f>
        <v>Q1</v>
      </c>
      <c r="L1270" s="2" t="str">
        <f>IF(Sheet1[[#This Row],[claim_amount]]&lt;100000,"Low",IF(Sheet1[[#This Row],[claim_amount]]&lt;200000,"Medium","High"))</f>
        <v>High</v>
      </c>
      <c r="M1270" s="2" t="str">
        <f>IF(Sheet1[[#This Row],[days_to_process]]&lt;=30,"Fast","Slow")</f>
        <v>Fast</v>
      </c>
    </row>
    <row r="1271" spans="1:13" x14ac:dyDescent="0.3">
      <c r="A1271" t="s">
        <v>2328</v>
      </c>
      <c r="B1271" s="2" t="s">
        <v>2329</v>
      </c>
      <c r="C1271" s="1">
        <v>44226</v>
      </c>
      <c r="D1271" s="35">
        <v>11061.28</v>
      </c>
      <c r="E1271" s="2" t="s">
        <v>15</v>
      </c>
      <c r="F1271" s="2" t="s">
        <v>20</v>
      </c>
      <c r="G1271" s="2" t="s">
        <v>24</v>
      </c>
      <c r="H1271">
        <v>8</v>
      </c>
      <c r="I1271" s="2" t="str">
        <f>TEXT(Sheet1[[#This Row],[claim_date]],"mmmm")</f>
        <v>January</v>
      </c>
      <c r="J1271" s="2">
        <f>YEAR(Sheet1[[#This Row],[claim_date]])</f>
        <v>2021</v>
      </c>
      <c r="K1271" s="2" t="str">
        <f>"Q"&amp;ROUNDUP(MONTH(Sheet1[[#This Row],[claim_date]])/3,0)</f>
        <v>Q1</v>
      </c>
      <c r="L1271" s="2" t="str">
        <f>IF(Sheet1[[#This Row],[claim_amount]]&lt;100000,"Low",IF(Sheet1[[#This Row],[claim_amount]]&lt;200000,"Medium","High"))</f>
        <v>Low</v>
      </c>
      <c r="M1271" s="2" t="str">
        <f>IF(Sheet1[[#This Row],[days_to_process]]&lt;=30,"Fast","Slow")</f>
        <v>Fast</v>
      </c>
    </row>
    <row r="1272" spans="1:13" x14ac:dyDescent="0.3">
      <c r="A1272" t="s">
        <v>2330</v>
      </c>
      <c r="B1272" s="2" t="s">
        <v>1067</v>
      </c>
      <c r="C1272" s="1">
        <v>44416</v>
      </c>
      <c r="D1272" s="35">
        <v>465762.5</v>
      </c>
      <c r="E1272" s="2" t="s">
        <v>10</v>
      </c>
      <c r="F1272" s="2" t="s">
        <v>23</v>
      </c>
      <c r="G1272" s="2" t="s">
        <v>24</v>
      </c>
      <c r="H1272">
        <v>17</v>
      </c>
      <c r="I1272" s="2" t="str">
        <f>TEXT(Sheet1[[#This Row],[claim_date]],"mmmm")</f>
        <v>August</v>
      </c>
      <c r="J1272" s="2">
        <f>YEAR(Sheet1[[#This Row],[claim_date]])</f>
        <v>2021</v>
      </c>
      <c r="K1272" s="2" t="str">
        <f>"Q"&amp;ROUNDUP(MONTH(Sheet1[[#This Row],[claim_date]])/3,0)</f>
        <v>Q3</v>
      </c>
      <c r="L1272" s="2" t="str">
        <f>IF(Sheet1[[#This Row],[claim_amount]]&lt;100000,"Low",IF(Sheet1[[#This Row],[claim_amount]]&lt;200000,"Medium","High"))</f>
        <v>High</v>
      </c>
      <c r="M1272" s="2" t="str">
        <f>IF(Sheet1[[#This Row],[days_to_process]]&lt;=30,"Fast","Slow")</f>
        <v>Fast</v>
      </c>
    </row>
    <row r="1273" spans="1:13" x14ac:dyDescent="0.3">
      <c r="A1273" t="s">
        <v>2331</v>
      </c>
      <c r="B1273" s="2" t="s">
        <v>95</v>
      </c>
      <c r="C1273" s="1">
        <v>45699</v>
      </c>
      <c r="D1273" s="35">
        <v>203527.11</v>
      </c>
      <c r="E1273" s="2" t="s">
        <v>19</v>
      </c>
      <c r="F1273" s="2" t="s">
        <v>34</v>
      </c>
      <c r="G1273" s="2" t="s">
        <v>12</v>
      </c>
      <c r="H1273">
        <v>25</v>
      </c>
      <c r="I1273" s="2" t="str">
        <f>TEXT(Sheet1[[#This Row],[claim_date]],"mmmm")</f>
        <v>February</v>
      </c>
      <c r="J1273" s="2">
        <f>YEAR(Sheet1[[#This Row],[claim_date]])</f>
        <v>2025</v>
      </c>
      <c r="K1273" s="2" t="str">
        <f>"Q"&amp;ROUNDUP(MONTH(Sheet1[[#This Row],[claim_date]])/3,0)</f>
        <v>Q1</v>
      </c>
      <c r="L1273" s="2" t="str">
        <f>IF(Sheet1[[#This Row],[claim_amount]]&lt;100000,"Low",IF(Sheet1[[#This Row],[claim_amount]]&lt;200000,"Medium","High"))</f>
        <v>High</v>
      </c>
      <c r="M1273" s="2" t="str">
        <f>IF(Sheet1[[#This Row],[days_to_process]]&lt;=30,"Fast","Slow")</f>
        <v>Fast</v>
      </c>
    </row>
    <row r="1274" spans="1:13" x14ac:dyDescent="0.3">
      <c r="A1274" t="s">
        <v>2332</v>
      </c>
      <c r="B1274" s="2" t="s">
        <v>2333</v>
      </c>
      <c r="C1274" s="1">
        <v>45190</v>
      </c>
      <c r="D1274" s="35">
        <v>51820.54</v>
      </c>
      <c r="E1274" s="2" t="s">
        <v>15</v>
      </c>
      <c r="F1274" s="2" t="s">
        <v>11</v>
      </c>
      <c r="G1274" s="2" t="s">
        <v>12</v>
      </c>
      <c r="H1274">
        <v>25</v>
      </c>
      <c r="I1274" s="2" t="str">
        <f>TEXT(Sheet1[[#This Row],[claim_date]],"mmmm")</f>
        <v>September</v>
      </c>
      <c r="J1274" s="2">
        <f>YEAR(Sheet1[[#This Row],[claim_date]])</f>
        <v>2023</v>
      </c>
      <c r="K1274" s="2" t="str">
        <f>"Q"&amp;ROUNDUP(MONTH(Sheet1[[#This Row],[claim_date]])/3,0)</f>
        <v>Q3</v>
      </c>
      <c r="L1274" s="2" t="str">
        <f>IF(Sheet1[[#This Row],[claim_amount]]&lt;100000,"Low",IF(Sheet1[[#This Row],[claim_amount]]&lt;200000,"Medium","High"))</f>
        <v>Low</v>
      </c>
      <c r="M1274" s="2" t="str">
        <f>IF(Sheet1[[#This Row],[days_to_process]]&lt;=30,"Fast","Slow")</f>
        <v>Fast</v>
      </c>
    </row>
    <row r="1275" spans="1:13" x14ac:dyDescent="0.3">
      <c r="A1275" t="s">
        <v>2334</v>
      </c>
      <c r="B1275" s="2" t="s">
        <v>2335</v>
      </c>
      <c r="C1275" s="1">
        <v>45571</v>
      </c>
      <c r="D1275" s="35">
        <v>360701.49</v>
      </c>
      <c r="E1275" s="2" t="s">
        <v>15</v>
      </c>
      <c r="F1275" s="2" t="s">
        <v>16</v>
      </c>
      <c r="G1275" s="2" t="s">
        <v>24</v>
      </c>
      <c r="H1275">
        <v>33</v>
      </c>
      <c r="I1275" s="2" t="str">
        <f>TEXT(Sheet1[[#This Row],[claim_date]],"mmmm")</f>
        <v>October</v>
      </c>
      <c r="J1275" s="2">
        <f>YEAR(Sheet1[[#This Row],[claim_date]])</f>
        <v>2024</v>
      </c>
      <c r="K1275" s="2" t="str">
        <f>"Q"&amp;ROUNDUP(MONTH(Sheet1[[#This Row],[claim_date]])/3,0)</f>
        <v>Q4</v>
      </c>
      <c r="L1275" s="2" t="str">
        <f>IF(Sheet1[[#This Row],[claim_amount]]&lt;100000,"Low",IF(Sheet1[[#This Row],[claim_amount]]&lt;200000,"Medium","High"))</f>
        <v>High</v>
      </c>
      <c r="M1275" s="2" t="str">
        <f>IF(Sheet1[[#This Row],[days_to_process]]&lt;=30,"Fast","Slow")</f>
        <v>Slow</v>
      </c>
    </row>
    <row r="1276" spans="1:13" x14ac:dyDescent="0.3">
      <c r="A1276" t="s">
        <v>2336</v>
      </c>
      <c r="B1276" s="2" t="s">
        <v>469</v>
      </c>
      <c r="C1276" s="1">
        <v>44942</v>
      </c>
      <c r="D1276" s="35">
        <v>370638.42</v>
      </c>
      <c r="E1276" s="2" t="s">
        <v>10</v>
      </c>
      <c r="F1276" s="2" t="s">
        <v>34</v>
      </c>
      <c r="G1276" s="2" t="s">
        <v>12</v>
      </c>
      <c r="H1276">
        <v>25</v>
      </c>
      <c r="I1276" s="2" t="str">
        <f>TEXT(Sheet1[[#This Row],[claim_date]],"mmmm")</f>
        <v>January</v>
      </c>
      <c r="J1276" s="2">
        <f>YEAR(Sheet1[[#This Row],[claim_date]])</f>
        <v>2023</v>
      </c>
      <c r="K1276" s="2" t="str">
        <f>"Q"&amp;ROUNDUP(MONTH(Sheet1[[#This Row],[claim_date]])/3,0)</f>
        <v>Q1</v>
      </c>
      <c r="L1276" s="2" t="str">
        <f>IF(Sheet1[[#This Row],[claim_amount]]&lt;100000,"Low",IF(Sheet1[[#This Row],[claim_amount]]&lt;200000,"Medium","High"))</f>
        <v>High</v>
      </c>
      <c r="M1276" s="2" t="str">
        <f>IF(Sheet1[[#This Row],[days_to_process]]&lt;=30,"Fast","Slow")</f>
        <v>Fast</v>
      </c>
    </row>
    <row r="1277" spans="1:13" x14ac:dyDescent="0.3">
      <c r="A1277" t="s">
        <v>2337</v>
      </c>
      <c r="B1277" s="2" t="s">
        <v>2338</v>
      </c>
      <c r="C1277" s="1">
        <v>45227</v>
      </c>
      <c r="D1277" s="35">
        <v>277516.55</v>
      </c>
      <c r="E1277" s="2" t="s">
        <v>15</v>
      </c>
      <c r="F1277" s="2" t="s">
        <v>23</v>
      </c>
      <c r="G1277" s="2" t="s">
        <v>12</v>
      </c>
      <c r="H1277">
        <v>28</v>
      </c>
      <c r="I1277" s="2" t="str">
        <f>TEXT(Sheet1[[#This Row],[claim_date]],"mmmm")</f>
        <v>October</v>
      </c>
      <c r="J1277" s="2">
        <f>YEAR(Sheet1[[#This Row],[claim_date]])</f>
        <v>2023</v>
      </c>
      <c r="K1277" s="2" t="str">
        <f>"Q"&amp;ROUNDUP(MONTH(Sheet1[[#This Row],[claim_date]])/3,0)</f>
        <v>Q4</v>
      </c>
      <c r="L1277" s="2" t="str">
        <f>IF(Sheet1[[#This Row],[claim_amount]]&lt;100000,"Low",IF(Sheet1[[#This Row],[claim_amount]]&lt;200000,"Medium","High"))</f>
        <v>High</v>
      </c>
      <c r="M1277" s="2" t="str">
        <f>IF(Sheet1[[#This Row],[days_to_process]]&lt;=30,"Fast","Slow")</f>
        <v>Fast</v>
      </c>
    </row>
    <row r="1278" spans="1:13" x14ac:dyDescent="0.3">
      <c r="A1278" t="s">
        <v>2339</v>
      </c>
      <c r="B1278" s="2" t="s">
        <v>2340</v>
      </c>
      <c r="C1278" s="1">
        <v>45248</v>
      </c>
      <c r="D1278" s="35">
        <v>276214.74</v>
      </c>
      <c r="E1278" s="2" t="s">
        <v>15</v>
      </c>
      <c r="F1278" s="2" t="s">
        <v>11</v>
      </c>
      <c r="G1278" s="2" t="s">
        <v>24</v>
      </c>
      <c r="H1278">
        <v>14</v>
      </c>
      <c r="I1278" s="2" t="str">
        <f>TEXT(Sheet1[[#This Row],[claim_date]],"mmmm")</f>
        <v>November</v>
      </c>
      <c r="J1278" s="2">
        <f>YEAR(Sheet1[[#This Row],[claim_date]])</f>
        <v>2023</v>
      </c>
      <c r="K1278" s="2" t="str">
        <f>"Q"&amp;ROUNDUP(MONTH(Sheet1[[#This Row],[claim_date]])/3,0)</f>
        <v>Q4</v>
      </c>
      <c r="L1278" s="2" t="str">
        <f>IF(Sheet1[[#This Row],[claim_amount]]&lt;100000,"Low",IF(Sheet1[[#This Row],[claim_amount]]&lt;200000,"Medium","High"))</f>
        <v>High</v>
      </c>
      <c r="M1278" s="2" t="str">
        <f>IF(Sheet1[[#This Row],[days_to_process]]&lt;=30,"Fast","Slow")</f>
        <v>Fast</v>
      </c>
    </row>
    <row r="1279" spans="1:13" x14ac:dyDescent="0.3">
      <c r="A1279" t="s">
        <v>2341</v>
      </c>
      <c r="B1279" s="2" t="s">
        <v>2342</v>
      </c>
      <c r="C1279" s="1">
        <v>44108</v>
      </c>
      <c r="D1279" s="35">
        <v>246588.89</v>
      </c>
      <c r="E1279" s="2" t="s">
        <v>15</v>
      </c>
      <c r="F1279" s="2" t="s">
        <v>11</v>
      </c>
      <c r="G1279" s="2" t="s">
        <v>12</v>
      </c>
      <c r="H1279">
        <v>5</v>
      </c>
      <c r="I1279" s="2" t="str">
        <f>TEXT(Sheet1[[#This Row],[claim_date]],"mmmm")</f>
        <v>October</v>
      </c>
      <c r="J1279" s="2">
        <f>YEAR(Sheet1[[#This Row],[claim_date]])</f>
        <v>2020</v>
      </c>
      <c r="K1279" s="2" t="str">
        <f>"Q"&amp;ROUNDUP(MONTH(Sheet1[[#This Row],[claim_date]])/3,0)</f>
        <v>Q4</v>
      </c>
      <c r="L1279" s="2" t="str">
        <f>IF(Sheet1[[#This Row],[claim_amount]]&lt;100000,"Low",IF(Sheet1[[#This Row],[claim_amount]]&lt;200000,"Medium","High"))</f>
        <v>High</v>
      </c>
      <c r="M1279" s="2" t="str">
        <f>IF(Sheet1[[#This Row],[days_to_process]]&lt;=30,"Fast","Slow")</f>
        <v>Fast</v>
      </c>
    </row>
    <row r="1280" spans="1:13" x14ac:dyDescent="0.3">
      <c r="A1280" t="s">
        <v>2343</v>
      </c>
      <c r="B1280" s="2" t="s">
        <v>2344</v>
      </c>
      <c r="C1280" s="1">
        <v>45312</v>
      </c>
      <c r="D1280" s="35">
        <v>37487.040000000001</v>
      </c>
      <c r="E1280" s="2" t="s">
        <v>19</v>
      </c>
      <c r="F1280" s="2" t="s">
        <v>20</v>
      </c>
      <c r="G1280" s="2" t="s">
        <v>12</v>
      </c>
      <c r="H1280">
        <v>15</v>
      </c>
      <c r="I1280" s="2" t="str">
        <f>TEXT(Sheet1[[#This Row],[claim_date]],"mmmm")</f>
        <v>January</v>
      </c>
      <c r="J1280" s="2">
        <f>YEAR(Sheet1[[#This Row],[claim_date]])</f>
        <v>2024</v>
      </c>
      <c r="K1280" s="2" t="str">
        <f>"Q"&amp;ROUNDUP(MONTH(Sheet1[[#This Row],[claim_date]])/3,0)</f>
        <v>Q1</v>
      </c>
      <c r="L1280" s="2" t="str">
        <f>IF(Sheet1[[#This Row],[claim_amount]]&lt;100000,"Low",IF(Sheet1[[#This Row],[claim_amount]]&lt;200000,"Medium","High"))</f>
        <v>Low</v>
      </c>
      <c r="M1280" s="2" t="str">
        <f>IF(Sheet1[[#This Row],[days_to_process]]&lt;=30,"Fast","Slow")</f>
        <v>Fast</v>
      </c>
    </row>
    <row r="1281" spans="1:13" x14ac:dyDescent="0.3">
      <c r="A1281" t="s">
        <v>2345</v>
      </c>
      <c r="B1281" s="2" t="s">
        <v>2346</v>
      </c>
      <c r="C1281" s="1">
        <v>45700</v>
      </c>
      <c r="D1281" s="35">
        <v>431060.63</v>
      </c>
      <c r="E1281" s="2" t="s">
        <v>10</v>
      </c>
      <c r="F1281" s="2" t="s">
        <v>16</v>
      </c>
      <c r="G1281" s="2" t="s">
        <v>12</v>
      </c>
      <c r="H1281">
        <v>55</v>
      </c>
      <c r="I1281" s="2" t="str">
        <f>TEXT(Sheet1[[#This Row],[claim_date]],"mmmm")</f>
        <v>February</v>
      </c>
      <c r="J1281" s="2">
        <f>YEAR(Sheet1[[#This Row],[claim_date]])</f>
        <v>2025</v>
      </c>
      <c r="K1281" s="2" t="str">
        <f>"Q"&amp;ROUNDUP(MONTH(Sheet1[[#This Row],[claim_date]])/3,0)</f>
        <v>Q1</v>
      </c>
      <c r="L1281" s="2" t="str">
        <f>IF(Sheet1[[#This Row],[claim_amount]]&lt;100000,"Low",IF(Sheet1[[#This Row],[claim_amount]]&lt;200000,"Medium","High"))</f>
        <v>High</v>
      </c>
      <c r="M1281" s="2" t="str">
        <f>IF(Sheet1[[#This Row],[days_to_process]]&lt;=30,"Fast","Slow")</f>
        <v>Slow</v>
      </c>
    </row>
    <row r="1282" spans="1:13" x14ac:dyDescent="0.3">
      <c r="A1282" t="s">
        <v>2347</v>
      </c>
      <c r="B1282" s="2" t="s">
        <v>2348</v>
      </c>
      <c r="C1282" s="1">
        <v>44905</v>
      </c>
      <c r="D1282" s="35">
        <v>182510.17</v>
      </c>
      <c r="E1282" s="2" t="s">
        <v>10</v>
      </c>
      <c r="F1282" s="2" t="s">
        <v>11</v>
      </c>
      <c r="G1282" s="2" t="s">
        <v>24</v>
      </c>
      <c r="H1282">
        <v>48</v>
      </c>
      <c r="I1282" s="2" t="str">
        <f>TEXT(Sheet1[[#This Row],[claim_date]],"mmmm")</f>
        <v>December</v>
      </c>
      <c r="J1282" s="2">
        <f>YEAR(Sheet1[[#This Row],[claim_date]])</f>
        <v>2022</v>
      </c>
      <c r="K1282" s="2" t="str">
        <f>"Q"&amp;ROUNDUP(MONTH(Sheet1[[#This Row],[claim_date]])/3,0)</f>
        <v>Q4</v>
      </c>
      <c r="L1282" s="2" t="str">
        <f>IF(Sheet1[[#This Row],[claim_amount]]&lt;100000,"Low",IF(Sheet1[[#This Row],[claim_amount]]&lt;200000,"Medium","High"))</f>
        <v>Medium</v>
      </c>
      <c r="M1282" s="2" t="str">
        <f>IF(Sheet1[[#This Row],[days_to_process]]&lt;=30,"Fast","Slow")</f>
        <v>Slow</v>
      </c>
    </row>
    <row r="1283" spans="1:13" x14ac:dyDescent="0.3">
      <c r="A1283" t="s">
        <v>2349</v>
      </c>
      <c r="B1283" s="2" t="s">
        <v>2350</v>
      </c>
      <c r="C1283" s="1">
        <v>44997</v>
      </c>
      <c r="D1283" s="35">
        <v>183793.43</v>
      </c>
      <c r="E1283" s="2" t="s">
        <v>15</v>
      </c>
      <c r="F1283" s="2" t="s">
        <v>23</v>
      </c>
      <c r="G1283" s="2" t="s">
        <v>12</v>
      </c>
      <c r="H1283">
        <v>41</v>
      </c>
      <c r="I1283" s="2" t="str">
        <f>TEXT(Sheet1[[#This Row],[claim_date]],"mmmm")</f>
        <v>March</v>
      </c>
      <c r="J1283" s="2">
        <f>YEAR(Sheet1[[#This Row],[claim_date]])</f>
        <v>2023</v>
      </c>
      <c r="K1283" s="2" t="str">
        <f>"Q"&amp;ROUNDUP(MONTH(Sheet1[[#This Row],[claim_date]])/3,0)</f>
        <v>Q1</v>
      </c>
      <c r="L1283" s="2" t="str">
        <f>IF(Sheet1[[#This Row],[claim_amount]]&lt;100000,"Low",IF(Sheet1[[#This Row],[claim_amount]]&lt;200000,"Medium","High"))</f>
        <v>Medium</v>
      </c>
      <c r="M1283" s="2" t="str">
        <f>IF(Sheet1[[#This Row],[days_to_process]]&lt;=30,"Fast","Slow")</f>
        <v>Slow</v>
      </c>
    </row>
    <row r="1284" spans="1:13" x14ac:dyDescent="0.3">
      <c r="A1284" t="s">
        <v>2351</v>
      </c>
      <c r="B1284" s="2" t="s">
        <v>2352</v>
      </c>
      <c r="C1284" s="1">
        <v>45338</v>
      </c>
      <c r="D1284" s="35">
        <v>63479.199999999997</v>
      </c>
      <c r="E1284" s="2" t="s">
        <v>19</v>
      </c>
      <c r="F1284" s="2" t="s">
        <v>23</v>
      </c>
      <c r="G1284" s="2" t="s">
        <v>12</v>
      </c>
      <c r="H1284">
        <v>37</v>
      </c>
      <c r="I1284" s="2" t="str">
        <f>TEXT(Sheet1[[#This Row],[claim_date]],"mmmm")</f>
        <v>February</v>
      </c>
      <c r="J1284" s="2">
        <f>YEAR(Sheet1[[#This Row],[claim_date]])</f>
        <v>2024</v>
      </c>
      <c r="K1284" s="2" t="str">
        <f>"Q"&amp;ROUNDUP(MONTH(Sheet1[[#This Row],[claim_date]])/3,0)</f>
        <v>Q1</v>
      </c>
      <c r="L1284" s="2" t="str">
        <f>IF(Sheet1[[#This Row],[claim_amount]]&lt;100000,"Low",IF(Sheet1[[#This Row],[claim_amount]]&lt;200000,"Medium","High"))</f>
        <v>Low</v>
      </c>
      <c r="M1284" s="2" t="str">
        <f>IF(Sheet1[[#This Row],[days_to_process]]&lt;=30,"Fast","Slow")</f>
        <v>Slow</v>
      </c>
    </row>
    <row r="1285" spans="1:13" x14ac:dyDescent="0.3">
      <c r="A1285" t="s">
        <v>2353</v>
      </c>
      <c r="B1285" s="2" t="s">
        <v>2354</v>
      </c>
      <c r="C1285" s="1">
        <v>45330</v>
      </c>
      <c r="D1285" s="35">
        <v>70575.56</v>
      </c>
      <c r="E1285" s="2" t="s">
        <v>19</v>
      </c>
      <c r="F1285" s="2" t="s">
        <v>20</v>
      </c>
      <c r="G1285" s="2" t="s">
        <v>24</v>
      </c>
      <c r="H1285">
        <v>27</v>
      </c>
      <c r="I1285" s="2" t="str">
        <f>TEXT(Sheet1[[#This Row],[claim_date]],"mmmm")</f>
        <v>February</v>
      </c>
      <c r="J1285" s="2">
        <f>YEAR(Sheet1[[#This Row],[claim_date]])</f>
        <v>2024</v>
      </c>
      <c r="K1285" s="2" t="str">
        <f>"Q"&amp;ROUNDUP(MONTH(Sheet1[[#This Row],[claim_date]])/3,0)</f>
        <v>Q1</v>
      </c>
      <c r="L1285" s="2" t="str">
        <f>IF(Sheet1[[#This Row],[claim_amount]]&lt;100000,"Low",IF(Sheet1[[#This Row],[claim_amount]]&lt;200000,"Medium","High"))</f>
        <v>Low</v>
      </c>
      <c r="M1285" s="2" t="str">
        <f>IF(Sheet1[[#This Row],[days_to_process]]&lt;=30,"Fast","Slow")</f>
        <v>Fast</v>
      </c>
    </row>
    <row r="1286" spans="1:13" x14ac:dyDescent="0.3">
      <c r="A1286" t="s">
        <v>2355</v>
      </c>
      <c r="B1286" s="2" t="s">
        <v>2356</v>
      </c>
      <c r="C1286" s="1">
        <v>45167</v>
      </c>
      <c r="D1286" s="35">
        <v>406234.13</v>
      </c>
      <c r="E1286" s="2" t="s">
        <v>10</v>
      </c>
      <c r="F1286" s="2" t="s">
        <v>34</v>
      </c>
      <c r="G1286" s="2" t="s">
        <v>24</v>
      </c>
      <c r="H1286">
        <v>10</v>
      </c>
      <c r="I1286" s="2" t="str">
        <f>TEXT(Sheet1[[#This Row],[claim_date]],"mmmm")</f>
        <v>August</v>
      </c>
      <c r="J1286" s="2">
        <f>YEAR(Sheet1[[#This Row],[claim_date]])</f>
        <v>2023</v>
      </c>
      <c r="K1286" s="2" t="str">
        <f>"Q"&amp;ROUNDUP(MONTH(Sheet1[[#This Row],[claim_date]])/3,0)</f>
        <v>Q3</v>
      </c>
      <c r="L1286" s="2" t="str">
        <f>IF(Sheet1[[#This Row],[claim_amount]]&lt;100000,"Low",IF(Sheet1[[#This Row],[claim_amount]]&lt;200000,"Medium","High"))</f>
        <v>High</v>
      </c>
      <c r="M1286" s="2" t="str">
        <f>IF(Sheet1[[#This Row],[days_to_process]]&lt;=30,"Fast","Slow")</f>
        <v>Fast</v>
      </c>
    </row>
    <row r="1287" spans="1:13" x14ac:dyDescent="0.3">
      <c r="A1287" t="s">
        <v>2357</v>
      </c>
      <c r="B1287" s="2" t="s">
        <v>1652</v>
      </c>
      <c r="C1287" s="1">
        <v>45574</v>
      </c>
      <c r="D1287" s="35">
        <v>429975.42</v>
      </c>
      <c r="E1287" s="2" t="s">
        <v>15</v>
      </c>
      <c r="F1287" s="2" t="s">
        <v>11</v>
      </c>
      <c r="G1287" s="2" t="s">
        <v>24</v>
      </c>
      <c r="H1287">
        <v>39</v>
      </c>
      <c r="I1287" s="2" t="str">
        <f>TEXT(Sheet1[[#This Row],[claim_date]],"mmmm")</f>
        <v>October</v>
      </c>
      <c r="J1287" s="2">
        <f>YEAR(Sheet1[[#This Row],[claim_date]])</f>
        <v>2024</v>
      </c>
      <c r="K1287" s="2" t="str">
        <f>"Q"&amp;ROUNDUP(MONTH(Sheet1[[#This Row],[claim_date]])/3,0)</f>
        <v>Q4</v>
      </c>
      <c r="L1287" s="2" t="str">
        <f>IF(Sheet1[[#This Row],[claim_amount]]&lt;100000,"Low",IF(Sheet1[[#This Row],[claim_amount]]&lt;200000,"Medium","High"))</f>
        <v>High</v>
      </c>
      <c r="M1287" s="2" t="str">
        <f>IF(Sheet1[[#This Row],[days_to_process]]&lt;=30,"Fast","Slow")</f>
        <v>Slow</v>
      </c>
    </row>
    <row r="1288" spans="1:13" x14ac:dyDescent="0.3">
      <c r="A1288" t="s">
        <v>2358</v>
      </c>
      <c r="B1288" s="2" t="s">
        <v>2359</v>
      </c>
      <c r="C1288" s="1">
        <v>45303</v>
      </c>
      <c r="D1288" s="35">
        <v>335247.14</v>
      </c>
      <c r="E1288" s="2" t="s">
        <v>10</v>
      </c>
      <c r="F1288" s="2" t="s">
        <v>20</v>
      </c>
      <c r="G1288" s="2" t="s">
        <v>24</v>
      </c>
      <c r="H1288">
        <v>45</v>
      </c>
      <c r="I1288" s="2" t="str">
        <f>TEXT(Sheet1[[#This Row],[claim_date]],"mmmm")</f>
        <v>January</v>
      </c>
      <c r="J1288" s="2">
        <f>YEAR(Sheet1[[#This Row],[claim_date]])</f>
        <v>2024</v>
      </c>
      <c r="K1288" s="2" t="str">
        <f>"Q"&amp;ROUNDUP(MONTH(Sheet1[[#This Row],[claim_date]])/3,0)</f>
        <v>Q1</v>
      </c>
      <c r="L1288" s="2" t="str">
        <f>IF(Sheet1[[#This Row],[claim_amount]]&lt;100000,"Low",IF(Sheet1[[#This Row],[claim_amount]]&lt;200000,"Medium","High"))</f>
        <v>High</v>
      </c>
      <c r="M1288" s="2" t="str">
        <f>IF(Sheet1[[#This Row],[days_to_process]]&lt;=30,"Fast","Slow")</f>
        <v>Slow</v>
      </c>
    </row>
    <row r="1289" spans="1:13" x14ac:dyDescent="0.3">
      <c r="A1289" t="s">
        <v>2360</v>
      </c>
      <c r="B1289" s="2" t="s">
        <v>2361</v>
      </c>
      <c r="C1289" s="1">
        <v>45452</v>
      </c>
      <c r="D1289" s="35">
        <v>132733.79999999999</v>
      </c>
      <c r="E1289" s="2" t="s">
        <v>19</v>
      </c>
      <c r="F1289" s="2" t="s">
        <v>16</v>
      </c>
      <c r="G1289" s="2" t="s">
        <v>12</v>
      </c>
      <c r="H1289">
        <v>14</v>
      </c>
      <c r="I1289" s="2" t="str">
        <f>TEXT(Sheet1[[#This Row],[claim_date]],"mmmm")</f>
        <v>June</v>
      </c>
      <c r="J1289" s="2">
        <f>YEAR(Sheet1[[#This Row],[claim_date]])</f>
        <v>2024</v>
      </c>
      <c r="K1289" s="2" t="str">
        <f>"Q"&amp;ROUNDUP(MONTH(Sheet1[[#This Row],[claim_date]])/3,0)</f>
        <v>Q2</v>
      </c>
      <c r="L1289" s="2" t="str">
        <f>IF(Sheet1[[#This Row],[claim_amount]]&lt;100000,"Low",IF(Sheet1[[#This Row],[claim_amount]]&lt;200000,"Medium","High"))</f>
        <v>Medium</v>
      </c>
      <c r="M1289" s="2" t="str">
        <f>IF(Sheet1[[#This Row],[days_to_process]]&lt;=30,"Fast","Slow")</f>
        <v>Fast</v>
      </c>
    </row>
    <row r="1290" spans="1:13" x14ac:dyDescent="0.3">
      <c r="A1290" t="s">
        <v>2362</v>
      </c>
      <c r="B1290" s="2" t="s">
        <v>2363</v>
      </c>
      <c r="C1290" s="1">
        <v>44792</v>
      </c>
      <c r="D1290" s="35">
        <v>266018.2</v>
      </c>
      <c r="E1290" s="2" t="s">
        <v>10</v>
      </c>
      <c r="F1290" s="2" t="s">
        <v>11</v>
      </c>
      <c r="G1290" s="2" t="s">
        <v>12</v>
      </c>
      <c r="H1290">
        <v>38</v>
      </c>
      <c r="I1290" s="2" t="str">
        <f>TEXT(Sheet1[[#This Row],[claim_date]],"mmmm")</f>
        <v>August</v>
      </c>
      <c r="J1290" s="2">
        <f>YEAR(Sheet1[[#This Row],[claim_date]])</f>
        <v>2022</v>
      </c>
      <c r="K1290" s="2" t="str">
        <f>"Q"&amp;ROUNDUP(MONTH(Sheet1[[#This Row],[claim_date]])/3,0)</f>
        <v>Q3</v>
      </c>
      <c r="L1290" s="2" t="str">
        <f>IF(Sheet1[[#This Row],[claim_amount]]&lt;100000,"Low",IF(Sheet1[[#This Row],[claim_amount]]&lt;200000,"Medium","High"))</f>
        <v>High</v>
      </c>
      <c r="M1290" s="2" t="str">
        <f>IF(Sheet1[[#This Row],[days_to_process]]&lt;=30,"Fast","Slow")</f>
        <v>Slow</v>
      </c>
    </row>
    <row r="1291" spans="1:13" x14ac:dyDescent="0.3">
      <c r="A1291" t="s">
        <v>2364</v>
      </c>
      <c r="B1291" s="2" t="s">
        <v>2365</v>
      </c>
      <c r="C1291" s="1">
        <v>45398</v>
      </c>
      <c r="D1291" s="35">
        <v>326869.51</v>
      </c>
      <c r="E1291" s="2" t="s">
        <v>10</v>
      </c>
      <c r="F1291" s="2" t="s">
        <v>16</v>
      </c>
      <c r="G1291" s="2" t="s">
        <v>12</v>
      </c>
      <c r="H1291">
        <v>42</v>
      </c>
      <c r="I1291" s="2" t="str">
        <f>TEXT(Sheet1[[#This Row],[claim_date]],"mmmm")</f>
        <v>April</v>
      </c>
      <c r="J1291" s="2">
        <f>YEAR(Sheet1[[#This Row],[claim_date]])</f>
        <v>2024</v>
      </c>
      <c r="K1291" s="2" t="str">
        <f>"Q"&amp;ROUNDUP(MONTH(Sheet1[[#This Row],[claim_date]])/3,0)</f>
        <v>Q2</v>
      </c>
      <c r="L1291" s="2" t="str">
        <f>IF(Sheet1[[#This Row],[claim_amount]]&lt;100000,"Low",IF(Sheet1[[#This Row],[claim_amount]]&lt;200000,"Medium","High"))</f>
        <v>High</v>
      </c>
      <c r="M1291" s="2" t="str">
        <f>IF(Sheet1[[#This Row],[days_to_process]]&lt;=30,"Fast","Slow")</f>
        <v>Slow</v>
      </c>
    </row>
    <row r="1292" spans="1:13" x14ac:dyDescent="0.3">
      <c r="A1292" t="s">
        <v>2366</v>
      </c>
      <c r="B1292" s="2" t="s">
        <v>2143</v>
      </c>
      <c r="C1292" s="1">
        <v>45375</v>
      </c>
      <c r="D1292" s="35">
        <v>411871.09</v>
      </c>
      <c r="E1292" s="2" t="s">
        <v>15</v>
      </c>
      <c r="F1292" s="2" t="s">
        <v>11</v>
      </c>
      <c r="G1292" s="2" t="s">
        <v>24</v>
      </c>
      <c r="H1292">
        <v>12</v>
      </c>
      <c r="I1292" s="2" t="str">
        <f>TEXT(Sheet1[[#This Row],[claim_date]],"mmmm")</f>
        <v>March</v>
      </c>
      <c r="J1292" s="2">
        <f>YEAR(Sheet1[[#This Row],[claim_date]])</f>
        <v>2024</v>
      </c>
      <c r="K1292" s="2" t="str">
        <f>"Q"&amp;ROUNDUP(MONTH(Sheet1[[#This Row],[claim_date]])/3,0)</f>
        <v>Q1</v>
      </c>
      <c r="L1292" s="2" t="str">
        <f>IF(Sheet1[[#This Row],[claim_amount]]&lt;100000,"Low",IF(Sheet1[[#This Row],[claim_amount]]&lt;200000,"Medium","High"))</f>
        <v>High</v>
      </c>
      <c r="M1292" s="2" t="str">
        <f>IF(Sheet1[[#This Row],[days_to_process]]&lt;=30,"Fast","Slow")</f>
        <v>Fast</v>
      </c>
    </row>
    <row r="1293" spans="1:13" x14ac:dyDescent="0.3">
      <c r="A1293" t="s">
        <v>2367</v>
      </c>
      <c r="B1293" s="2" t="s">
        <v>749</v>
      </c>
      <c r="C1293" s="1">
        <v>45572</v>
      </c>
      <c r="D1293" s="35">
        <v>265365.06</v>
      </c>
      <c r="E1293" s="2" t="s">
        <v>15</v>
      </c>
      <c r="F1293" s="2" t="s">
        <v>20</v>
      </c>
      <c r="G1293" s="2" t="s">
        <v>12</v>
      </c>
      <c r="H1293">
        <v>29</v>
      </c>
      <c r="I1293" s="2" t="str">
        <f>TEXT(Sheet1[[#This Row],[claim_date]],"mmmm")</f>
        <v>October</v>
      </c>
      <c r="J1293" s="2">
        <f>YEAR(Sheet1[[#This Row],[claim_date]])</f>
        <v>2024</v>
      </c>
      <c r="K1293" s="2" t="str">
        <f>"Q"&amp;ROUNDUP(MONTH(Sheet1[[#This Row],[claim_date]])/3,0)</f>
        <v>Q4</v>
      </c>
      <c r="L1293" s="2" t="str">
        <f>IF(Sheet1[[#This Row],[claim_amount]]&lt;100000,"Low",IF(Sheet1[[#This Row],[claim_amount]]&lt;200000,"Medium","High"))</f>
        <v>High</v>
      </c>
      <c r="M1293" s="2" t="str">
        <f>IF(Sheet1[[#This Row],[days_to_process]]&lt;=30,"Fast","Slow")</f>
        <v>Fast</v>
      </c>
    </row>
    <row r="1294" spans="1:13" x14ac:dyDescent="0.3">
      <c r="A1294" t="s">
        <v>2368</v>
      </c>
      <c r="B1294" s="2" t="s">
        <v>2369</v>
      </c>
      <c r="C1294" s="1">
        <v>44497</v>
      </c>
      <c r="D1294" s="35">
        <v>334294.48</v>
      </c>
      <c r="E1294" s="2" t="s">
        <v>15</v>
      </c>
      <c r="F1294" s="2" t="s">
        <v>16</v>
      </c>
      <c r="G1294" s="2" t="s">
        <v>12</v>
      </c>
      <c r="H1294">
        <v>16</v>
      </c>
      <c r="I1294" s="2" t="str">
        <f>TEXT(Sheet1[[#This Row],[claim_date]],"mmmm")</f>
        <v>October</v>
      </c>
      <c r="J1294" s="2">
        <f>YEAR(Sheet1[[#This Row],[claim_date]])</f>
        <v>2021</v>
      </c>
      <c r="K1294" s="2" t="str">
        <f>"Q"&amp;ROUNDUP(MONTH(Sheet1[[#This Row],[claim_date]])/3,0)</f>
        <v>Q4</v>
      </c>
      <c r="L1294" s="2" t="str">
        <f>IF(Sheet1[[#This Row],[claim_amount]]&lt;100000,"Low",IF(Sheet1[[#This Row],[claim_amount]]&lt;200000,"Medium","High"))</f>
        <v>High</v>
      </c>
      <c r="M1294" s="2" t="str">
        <f>IF(Sheet1[[#This Row],[days_to_process]]&lt;=30,"Fast","Slow")</f>
        <v>Fast</v>
      </c>
    </row>
    <row r="1295" spans="1:13" x14ac:dyDescent="0.3">
      <c r="A1295" t="s">
        <v>2370</v>
      </c>
      <c r="B1295" s="2" t="s">
        <v>2371</v>
      </c>
      <c r="C1295" s="1">
        <v>45097</v>
      </c>
      <c r="D1295" s="35">
        <v>360055.87</v>
      </c>
      <c r="E1295" s="2" t="s">
        <v>10</v>
      </c>
      <c r="F1295" s="2" t="s">
        <v>23</v>
      </c>
      <c r="G1295" s="2" t="s">
        <v>12</v>
      </c>
      <c r="H1295">
        <v>19</v>
      </c>
      <c r="I1295" s="2" t="str">
        <f>TEXT(Sheet1[[#This Row],[claim_date]],"mmmm")</f>
        <v>June</v>
      </c>
      <c r="J1295" s="2">
        <f>YEAR(Sheet1[[#This Row],[claim_date]])</f>
        <v>2023</v>
      </c>
      <c r="K1295" s="2" t="str">
        <f>"Q"&amp;ROUNDUP(MONTH(Sheet1[[#This Row],[claim_date]])/3,0)</f>
        <v>Q2</v>
      </c>
      <c r="L1295" s="2" t="str">
        <f>IF(Sheet1[[#This Row],[claim_amount]]&lt;100000,"Low",IF(Sheet1[[#This Row],[claim_amount]]&lt;200000,"Medium","High"))</f>
        <v>High</v>
      </c>
      <c r="M1295" s="2" t="str">
        <f>IF(Sheet1[[#This Row],[days_to_process]]&lt;=30,"Fast","Slow")</f>
        <v>Fast</v>
      </c>
    </row>
    <row r="1296" spans="1:13" x14ac:dyDescent="0.3">
      <c r="A1296" t="s">
        <v>2372</v>
      </c>
      <c r="B1296" s="2" t="s">
        <v>2373</v>
      </c>
      <c r="C1296" s="1">
        <v>45559</v>
      </c>
      <c r="D1296" s="35">
        <v>271751.28000000003</v>
      </c>
      <c r="E1296" s="2" t="s">
        <v>10</v>
      </c>
      <c r="F1296" s="2" t="s">
        <v>23</v>
      </c>
      <c r="G1296" s="2" t="s">
        <v>12</v>
      </c>
      <c r="H1296">
        <v>44</v>
      </c>
      <c r="I1296" s="2" t="str">
        <f>TEXT(Sheet1[[#This Row],[claim_date]],"mmmm")</f>
        <v>September</v>
      </c>
      <c r="J1296" s="2">
        <f>YEAR(Sheet1[[#This Row],[claim_date]])</f>
        <v>2024</v>
      </c>
      <c r="K1296" s="2" t="str">
        <f>"Q"&amp;ROUNDUP(MONTH(Sheet1[[#This Row],[claim_date]])/3,0)</f>
        <v>Q3</v>
      </c>
      <c r="L1296" s="2" t="str">
        <f>IF(Sheet1[[#This Row],[claim_amount]]&lt;100000,"Low",IF(Sheet1[[#This Row],[claim_amount]]&lt;200000,"Medium","High"))</f>
        <v>High</v>
      </c>
      <c r="M1296" s="2" t="str">
        <f>IF(Sheet1[[#This Row],[days_to_process]]&lt;=30,"Fast","Slow")</f>
        <v>Slow</v>
      </c>
    </row>
    <row r="1297" spans="1:13" x14ac:dyDescent="0.3">
      <c r="A1297" t="s">
        <v>2374</v>
      </c>
      <c r="B1297" s="2" t="s">
        <v>2375</v>
      </c>
      <c r="C1297" s="1">
        <v>45392</v>
      </c>
      <c r="D1297" s="35">
        <v>188398.4</v>
      </c>
      <c r="E1297" s="2" t="s">
        <v>19</v>
      </c>
      <c r="F1297" s="2" t="s">
        <v>23</v>
      </c>
      <c r="G1297" s="2" t="s">
        <v>24</v>
      </c>
      <c r="H1297">
        <v>55</v>
      </c>
      <c r="I1297" s="2" t="str">
        <f>TEXT(Sheet1[[#This Row],[claim_date]],"mmmm")</f>
        <v>April</v>
      </c>
      <c r="J1297" s="2">
        <f>YEAR(Sheet1[[#This Row],[claim_date]])</f>
        <v>2024</v>
      </c>
      <c r="K1297" s="2" t="str">
        <f>"Q"&amp;ROUNDUP(MONTH(Sheet1[[#This Row],[claim_date]])/3,0)</f>
        <v>Q2</v>
      </c>
      <c r="L1297" s="2" t="str">
        <f>IF(Sheet1[[#This Row],[claim_amount]]&lt;100000,"Low",IF(Sheet1[[#This Row],[claim_amount]]&lt;200000,"Medium","High"))</f>
        <v>Medium</v>
      </c>
      <c r="M1297" s="2" t="str">
        <f>IF(Sheet1[[#This Row],[days_to_process]]&lt;=30,"Fast","Slow")</f>
        <v>Slow</v>
      </c>
    </row>
    <row r="1298" spans="1:13" x14ac:dyDescent="0.3">
      <c r="A1298" t="s">
        <v>2376</v>
      </c>
      <c r="B1298" s="2" t="s">
        <v>2377</v>
      </c>
      <c r="C1298" s="1">
        <v>45503</v>
      </c>
      <c r="D1298" s="35">
        <v>379783.89</v>
      </c>
      <c r="E1298" s="2" t="s">
        <v>15</v>
      </c>
      <c r="F1298" s="2" t="s">
        <v>23</v>
      </c>
      <c r="G1298" s="2" t="s">
        <v>24</v>
      </c>
      <c r="H1298">
        <v>45</v>
      </c>
      <c r="I1298" s="2" t="str">
        <f>TEXT(Sheet1[[#This Row],[claim_date]],"mmmm")</f>
        <v>July</v>
      </c>
      <c r="J1298" s="2">
        <f>YEAR(Sheet1[[#This Row],[claim_date]])</f>
        <v>2024</v>
      </c>
      <c r="K1298" s="2" t="str">
        <f>"Q"&amp;ROUNDUP(MONTH(Sheet1[[#This Row],[claim_date]])/3,0)</f>
        <v>Q3</v>
      </c>
      <c r="L1298" s="2" t="str">
        <f>IF(Sheet1[[#This Row],[claim_amount]]&lt;100000,"Low",IF(Sheet1[[#This Row],[claim_amount]]&lt;200000,"Medium","High"))</f>
        <v>High</v>
      </c>
      <c r="M1298" s="2" t="str">
        <f>IF(Sheet1[[#This Row],[days_to_process]]&lt;=30,"Fast","Slow")</f>
        <v>Slow</v>
      </c>
    </row>
    <row r="1299" spans="1:13" x14ac:dyDescent="0.3">
      <c r="A1299" t="s">
        <v>2378</v>
      </c>
      <c r="B1299" s="2" t="s">
        <v>1207</v>
      </c>
      <c r="C1299" s="1">
        <v>45606</v>
      </c>
      <c r="D1299" s="35">
        <v>275746.57</v>
      </c>
      <c r="E1299" s="2" t="s">
        <v>15</v>
      </c>
      <c r="F1299" s="2" t="s">
        <v>11</v>
      </c>
      <c r="G1299" s="2" t="s">
        <v>12</v>
      </c>
      <c r="H1299">
        <v>37</v>
      </c>
      <c r="I1299" s="2" t="str">
        <f>TEXT(Sheet1[[#This Row],[claim_date]],"mmmm")</f>
        <v>November</v>
      </c>
      <c r="J1299" s="2">
        <f>YEAR(Sheet1[[#This Row],[claim_date]])</f>
        <v>2024</v>
      </c>
      <c r="K1299" s="2" t="str">
        <f>"Q"&amp;ROUNDUP(MONTH(Sheet1[[#This Row],[claim_date]])/3,0)</f>
        <v>Q4</v>
      </c>
      <c r="L1299" s="2" t="str">
        <f>IF(Sheet1[[#This Row],[claim_amount]]&lt;100000,"Low",IF(Sheet1[[#This Row],[claim_amount]]&lt;200000,"Medium","High"))</f>
        <v>High</v>
      </c>
      <c r="M1299" s="2" t="str">
        <f>IF(Sheet1[[#This Row],[days_to_process]]&lt;=30,"Fast","Slow")</f>
        <v>Slow</v>
      </c>
    </row>
    <row r="1300" spans="1:13" x14ac:dyDescent="0.3">
      <c r="A1300" t="s">
        <v>2379</v>
      </c>
      <c r="B1300" s="2" t="s">
        <v>1458</v>
      </c>
      <c r="C1300" s="1">
        <v>45497</v>
      </c>
      <c r="D1300" s="35">
        <v>69898.490000000005</v>
      </c>
      <c r="E1300" s="2" t="s">
        <v>10</v>
      </c>
      <c r="F1300" s="2" t="s">
        <v>20</v>
      </c>
      <c r="G1300" s="2" t="s">
        <v>24</v>
      </c>
      <c r="H1300">
        <v>15</v>
      </c>
      <c r="I1300" s="2" t="str">
        <f>TEXT(Sheet1[[#This Row],[claim_date]],"mmmm")</f>
        <v>July</v>
      </c>
      <c r="J1300" s="2">
        <f>YEAR(Sheet1[[#This Row],[claim_date]])</f>
        <v>2024</v>
      </c>
      <c r="K1300" s="2" t="str">
        <f>"Q"&amp;ROUNDUP(MONTH(Sheet1[[#This Row],[claim_date]])/3,0)</f>
        <v>Q3</v>
      </c>
      <c r="L1300" s="2" t="str">
        <f>IF(Sheet1[[#This Row],[claim_amount]]&lt;100000,"Low",IF(Sheet1[[#This Row],[claim_amount]]&lt;200000,"Medium","High"))</f>
        <v>Low</v>
      </c>
      <c r="M1300" s="2" t="str">
        <f>IF(Sheet1[[#This Row],[days_to_process]]&lt;=30,"Fast","Slow")</f>
        <v>Fast</v>
      </c>
    </row>
    <row r="1301" spans="1:13" x14ac:dyDescent="0.3">
      <c r="A1301" t="s">
        <v>2380</v>
      </c>
      <c r="B1301" s="2" t="s">
        <v>759</v>
      </c>
      <c r="C1301" s="1">
        <v>45174</v>
      </c>
      <c r="D1301" s="35">
        <v>369574.84</v>
      </c>
      <c r="E1301" s="2" t="s">
        <v>10</v>
      </c>
      <c r="F1301" s="2" t="s">
        <v>20</v>
      </c>
      <c r="G1301" s="2" t="s">
        <v>12</v>
      </c>
      <c r="H1301">
        <v>35</v>
      </c>
      <c r="I1301" s="2" t="str">
        <f>TEXT(Sheet1[[#This Row],[claim_date]],"mmmm")</f>
        <v>September</v>
      </c>
      <c r="J1301" s="2">
        <f>YEAR(Sheet1[[#This Row],[claim_date]])</f>
        <v>2023</v>
      </c>
      <c r="K1301" s="2" t="str">
        <f>"Q"&amp;ROUNDUP(MONTH(Sheet1[[#This Row],[claim_date]])/3,0)</f>
        <v>Q3</v>
      </c>
      <c r="L1301" s="2" t="str">
        <f>IF(Sheet1[[#This Row],[claim_amount]]&lt;100000,"Low",IF(Sheet1[[#This Row],[claim_amount]]&lt;200000,"Medium","High"))</f>
        <v>High</v>
      </c>
      <c r="M1301" s="2" t="str">
        <f>IF(Sheet1[[#This Row],[days_to_process]]&lt;=30,"Fast","Slow")</f>
        <v>Slow</v>
      </c>
    </row>
    <row r="1302" spans="1:13" x14ac:dyDescent="0.3">
      <c r="A1302" t="s">
        <v>2381</v>
      </c>
      <c r="B1302" s="2" t="s">
        <v>2126</v>
      </c>
      <c r="C1302" s="1">
        <v>44149</v>
      </c>
      <c r="D1302" s="35">
        <v>370161.36</v>
      </c>
      <c r="E1302" s="2" t="s">
        <v>15</v>
      </c>
      <c r="F1302" s="2" t="s">
        <v>34</v>
      </c>
      <c r="G1302" s="2" t="s">
        <v>24</v>
      </c>
      <c r="H1302">
        <v>18</v>
      </c>
      <c r="I1302" s="2" t="str">
        <f>TEXT(Sheet1[[#This Row],[claim_date]],"mmmm")</f>
        <v>November</v>
      </c>
      <c r="J1302" s="2">
        <f>YEAR(Sheet1[[#This Row],[claim_date]])</f>
        <v>2020</v>
      </c>
      <c r="K1302" s="2" t="str">
        <f>"Q"&amp;ROUNDUP(MONTH(Sheet1[[#This Row],[claim_date]])/3,0)</f>
        <v>Q4</v>
      </c>
      <c r="L1302" s="2" t="str">
        <f>IF(Sheet1[[#This Row],[claim_amount]]&lt;100000,"Low",IF(Sheet1[[#This Row],[claim_amount]]&lt;200000,"Medium","High"))</f>
        <v>High</v>
      </c>
      <c r="M1302" s="2" t="str">
        <f>IF(Sheet1[[#This Row],[days_to_process]]&lt;=30,"Fast","Slow")</f>
        <v>Fast</v>
      </c>
    </row>
    <row r="1303" spans="1:13" x14ac:dyDescent="0.3">
      <c r="A1303" t="s">
        <v>2382</v>
      </c>
      <c r="B1303" s="2" t="s">
        <v>2383</v>
      </c>
      <c r="C1303" s="1">
        <v>44992</v>
      </c>
      <c r="D1303" s="35">
        <v>312453.48</v>
      </c>
      <c r="E1303" s="2" t="s">
        <v>10</v>
      </c>
      <c r="F1303" s="2" t="s">
        <v>16</v>
      </c>
      <c r="G1303" s="2" t="s">
        <v>24</v>
      </c>
      <c r="H1303">
        <v>16</v>
      </c>
      <c r="I1303" s="2" t="str">
        <f>TEXT(Sheet1[[#This Row],[claim_date]],"mmmm")</f>
        <v>March</v>
      </c>
      <c r="J1303" s="2">
        <f>YEAR(Sheet1[[#This Row],[claim_date]])</f>
        <v>2023</v>
      </c>
      <c r="K1303" s="2" t="str">
        <f>"Q"&amp;ROUNDUP(MONTH(Sheet1[[#This Row],[claim_date]])/3,0)</f>
        <v>Q1</v>
      </c>
      <c r="L1303" s="2" t="str">
        <f>IF(Sheet1[[#This Row],[claim_amount]]&lt;100000,"Low",IF(Sheet1[[#This Row],[claim_amount]]&lt;200000,"Medium","High"))</f>
        <v>High</v>
      </c>
      <c r="M1303" s="2" t="str">
        <f>IF(Sheet1[[#This Row],[days_to_process]]&lt;=30,"Fast","Slow")</f>
        <v>Fast</v>
      </c>
    </row>
    <row r="1304" spans="1:13" x14ac:dyDescent="0.3">
      <c r="A1304" t="s">
        <v>2384</v>
      </c>
      <c r="B1304" s="2" t="s">
        <v>2385</v>
      </c>
      <c r="C1304" s="1">
        <v>45081</v>
      </c>
      <c r="D1304" s="35">
        <v>75579.39</v>
      </c>
      <c r="E1304" s="2" t="s">
        <v>19</v>
      </c>
      <c r="F1304" s="2" t="s">
        <v>23</v>
      </c>
      <c r="G1304" s="2" t="s">
        <v>24</v>
      </c>
      <c r="H1304">
        <v>24</v>
      </c>
      <c r="I1304" s="2" t="str">
        <f>TEXT(Sheet1[[#This Row],[claim_date]],"mmmm")</f>
        <v>June</v>
      </c>
      <c r="J1304" s="2">
        <f>YEAR(Sheet1[[#This Row],[claim_date]])</f>
        <v>2023</v>
      </c>
      <c r="K1304" s="2" t="str">
        <f>"Q"&amp;ROUNDUP(MONTH(Sheet1[[#This Row],[claim_date]])/3,0)</f>
        <v>Q2</v>
      </c>
      <c r="L1304" s="2" t="str">
        <f>IF(Sheet1[[#This Row],[claim_amount]]&lt;100000,"Low",IF(Sheet1[[#This Row],[claim_amount]]&lt;200000,"Medium","High"))</f>
        <v>Low</v>
      </c>
      <c r="M1304" s="2" t="str">
        <f>IF(Sheet1[[#This Row],[days_to_process]]&lt;=30,"Fast","Slow")</f>
        <v>Fast</v>
      </c>
    </row>
    <row r="1305" spans="1:13" x14ac:dyDescent="0.3">
      <c r="A1305" t="s">
        <v>2386</v>
      </c>
      <c r="B1305" s="2" t="s">
        <v>2387</v>
      </c>
      <c r="C1305" s="1">
        <v>45586</v>
      </c>
      <c r="D1305" s="35">
        <v>45059.15</v>
      </c>
      <c r="E1305" s="2" t="s">
        <v>19</v>
      </c>
      <c r="F1305" s="2" t="s">
        <v>16</v>
      </c>
      <c r="G1305" s="2" t="s">
        <v>12</v>
      </c>
      <c r="H1305">
        <v>21</v>
      </c>
      <c r="I1305" s="2" t="str">
        <f>TEXT(Sheet1[[#This Row],[claim_date]],"mmmm")</f>
        <v>October</v>
      </c>
      <c r="J1305" s="2">
        <f>YEAR(Sheet1[[#This Row],[claim_date]])</f>
        <v>2024</v>
      </c>
      <c r="K1305" s="2" t="str">
        <f>"Q"&amp;ROUNDUP(MONTH(Sheet1[[#This Row],[claim_date]])/3,0)</f>
        <v>Q4</v>
      </c>
      <c r="L1305" s="2" t="str">
        <f>IF(Sheet1[[#This Row],[claim_amount]]&lt;100000,"Low",IF(Sheet1[[#This Row],[claim_amount]]&lt;200000,"Medium","High"))</f>
        <v>Low</v>
      </c>
      <c r="M1305" s="2" t="str">
        <f>IF(Sheet1[[#This Row],[days_to_process]]&lt;=30,"Fast","Slow")</f>
        <v>Fast</v>
      </c>
    </row>
    <row r="1306" spans="1:13" x14ac:dyDescent="0.3">
      <c r="A1306" t="s">
        <v>2388</v>
      </c>
      <c r="B1306" s="2" t="s">
        <v>2389</v>
      </c>
      <c r="C1306" s="1">
        <v>45458</v>
      </c>
      <c r="D1306" s="35">
        <v>285062.12</v>
      </c>
      <c r="E1306" s="2" t="s">
        <v>15</v>
      </c>
      <c r="F1306" s="2" t="s">
        <v>20</v>
      </c>
      <c r="G1306" s="2" t="s">
        <v>12</v>
      </c>
      <c r="H1306">
        <v>45</v>
      </c>
      <c r="I1306" s="2" t="str">
        <f>TEXT(Sheet1[[#This Row],[claim_date]],"mmmm")</f>
        <v>June</v>
      </c>
      <c r="J1306" s="2">
        <f>YEAR(Sheet1[[#This Row],[claim_date]])</f>
        <v>2024</v>
      </c>
      <c r="K1306" s="2" t="str">
        <f>"Q"&amp;ROUNDUP(MONTH(Sheet1[[#This Row],[claim_date]])/3,0)</f>
        <v>Q2</v>
      </c>
      <c r="L1306" s="2" t="str">
        <f>IF(Sheet1[[#This Row],[claim_amount]]&lt;100000,"Low",IF(Sheet1[[#This Row],[claim_amount]]&lt;200000,"Medium","High"))</f>
        <v>High</v>
      </c>
      <c r="M1306" s="2" t="str">
        <f>IF(Sheet1[[#This Row],[days_to_process]]&lt;=30,"Fast","Slow")</f>
        <v>Slow</v>
      </c>
    </row>
    <row r="1307" spans="1:13" x14ac:dyDescent="0.3">
      <c r="A1307" t="s">
        <v>2390</v>
      </c>
      <c r="B1307" s="2" t="s">
        <v>715</v>
      </c>
      <c r="C1307" s="1">
        <v>45219</v>
      </c>
      <c r="D1307" s="35">
        <v>297996.01</v>
      </c>
      <c r="E1307" s="2" t="s">
        <v>19</v>
      </c>
      <c r="F1307" s="2" t="s">
        <v>16</v>
      </c>
      <c r="G1307" s="2" t="s">
        <v>24</v>
      </c>
      <c r="H1307">
        <v>26</v>
      </c>
      <c r="I1307" s="2" t="str">
        <f>TEXT(Sheet1[[#This Row],[claim_date]],"mmmm")</f>
        <v>October</v>
      </c>
      <c r="J1307" s="2">
        <f>YEAR(Sheet1[[#This Row],[claim_date]])</f>
        <v>2023</v>
      </c>
      <c r="K1307" s="2" t="str">
        <f>"Q"&amp;ROUNDUP(MONTH(Sheet1[[#This Row],[claim_date]])/3,0)</f>
        <v>Q4</v>
      </c>
      <c r="L1307" s="2" t="str">
        <f>IF(Sheet1[[#This Row],[claim_amount]]&lt;100000,"Low",IF(Sheet1[[#This Row],[claim_amount]]&lt;200000,"Medium","High"))</f>
        <v>High</v>
      </c>
      <c r="M1307" s="2" t="str">
        <f>IF(Sheet1[[#This Row],[days_to_process]]&lt;=30,"Fast","Slow")</f>
        <v>Fast</v>
      </c>
    </row>
    <row r="1308" spans="1:13" x14ac:dyDescent="0.3">
      <c r="A1308" t="s">
        <v>2391</v>
      </c>
      <c r="B1308" s="2" t="s">
        <v>2392</v>
      </c>
      <c r="C1308" s="1">
        <v>44836</v>
      </c>
      <c r="D1308" s="35">
        <v>297228.55</v>
      </c>
      <c r="E1308" s="2" t="s">
        <v>19</v>
      </c>
      <c r="F1308" s="2" t="s">
        <v>20</v>
      </c>
      <c r="G1308" s="2" t="s">
        <v>12</v>
      </c>
      <c r="H1308">
        <v>22</v>
      </c>
      <c r="I1308" s="2" t="str">
        <f>TEXT(Sheet1[[#This Row],[claim_date]],"mmmm")</f>
        <v>October</v>
      </c>
      <c r="J1308" s="2">
        <f>YEAR(Sheet1[[#This Row],[claim_date]])</f>
        <v>2022</v>
      </c>
      <c r="K1308" s="2" t="str">
        <f>"Q"&amp;ROUNDUP(MONTH(Sheet1[[#This Row],[claim_date]])/3,0)</f>
        <v>Q4</v>
      </c>
      <c r="L1308" s="2" t="str">
        <f>IF(Sheet1[[#This Row],[claim_amount]]&lt;100000,"Low",IF(Sheet1[[#This Row],[claim_amount]]&lt;200000,"Medium","High"))</f>
        <v>High</v>
      </c>
      <c r="M1308" s="2" t="str">
        <f>IF(Sheet1[[#This Row],[days_to_process]]&lt;=30,"Fast","Slow")</f>
        <v>Fast</v>
      </c>
    </row>
    <row r="1309" spans="1:13" x14ac:dyDescent="0.3">
      <c r="A1309" t="s">
        <v>2393</v>
      </c>
      <c r="B1309" s="2" t="s">
        <v>2394</v>
      </c>
      <c r="C1309" s="1">
        <v>45087</v>
      </c>
      <c r="D1309" s="35">
        <v>256735.85</v>
      </c>
      <c r="E1309" s="2" t="s">
        <v>10</v>
      </c>
      <c r="F1309" s="2" t="s">
        <v>11</v>
      </c>
      <c r="G1309" s="2" t="s">
        <v>12</v>
      </c>
      <c r="H1309">
        <v>18</v>
      </c>
      <c r="I1309" s="2" t="str">
        <f>TEXT(Sheet1[[#This Row],[claim_date]],"mmmm")</f>
        <v>June</v>
      </c>
      <c r="J1309" s="2">
        <f>YEAR(Sheet1[[#This Row],[claim_date]])</f>
        <v>2023</v>
      </c>
      <c r="K1309" s="2" t="str">
        <f>"Q"&amp;ROUNDUP(MONTH(Sheet1[[#This Row],[claim_date]])/3,0)</f>
        <v>Q2</v>
      </c>
      <c r="L1309" s="2" t="str">
        <f>IF(Sheet1[[#This Row],[claim_amount]]&lt;100000,"Low",IF(Sheet1[[#This Row],[claim_amount]]&lt;200000,"Medium","High"))</f>
        <v>High</v>
      </c>
      <c r="M1309" s="2" t="str">
        <f>IF(Sheet1[[#This Row],[days_to_process]]&lt;=30,"Fast","Slow")</f>
        <v>Fast</v>
      </c>
    </row>
    <row r="1310" spans="1:13" x14ac:dyDescent="0.3">
      <c r="A1310" t="s">
        <v>2395</v>
      </c>
      <c r="B1310" s="2" t="s">
        <v>60</v>
      </c>
      <c r="C1310" s="1">
        <v>44889</v>
      </c>
      <c r="D1310" s="35">
        <v>371499.23</v>
      </c>
      <c r="E1310" s="2" t="s">
        <v>10</v>
      </c>
      <c r="F1310" s="2" t="s">
        <v>34</v>
      </c>
      <c r="G1310" s="2" t="s">
        <v>12</v>
      </c>
      <c r="H1310">
        <v>19</v>
      </c>
      <c r="I1310" s="2" t="str">
        <f>TEXT(Sheet1[[#This Row],[claim_date]],"mmmm")</f>
        <v>November</v>
      </c>
      <c r="J1310" s="2">
        <f>YEAR(Sheet1[[#This Row],[claim_date]])</f>
        <v>2022</v>
      </c>
      <c r="K1310" s="2" t="str">
        <f>"Q"&amp;ROUNDUP(MONTH(Sheet1[[#This Row],[claim_date]])/3,0)</f>
        <v>Q4</v>
      </c>
      <c r="L1310" s="2" t="str">
        <f>IF(Sheet1[[#This Row],[claim_amount]]&lt;100000,"Low",IF(Sheet1[[#This Row],[claim_amount]]&lt;200000,"Medium","High"))</f>
        <v>High</v>
      </c>
      <c r="M1310" s="2" t="str">
        <f>IF(Sheet1[[#This Row],[days_to_process]]&lt;=30,"Fast","Slow")</f>
        <v>Fast</v>
      </c>
    </row>
    <row r="1311" spans="1:13" x14ac:dyDescent="0.3">
      <c r="A1311" t="s">
        <v>2396</v>
      </c>
      <c r="B1311" s="2" t="s">
        <v>2397</v>
      </c>
      <c r="C1311" s="1">
        <v>45683</v>
      </c>
      <c r="D1311" s="35">
        <v>385356.15</v>
      </c>
      <c r="E1311" s="2" t="s">
        <v>10</v>
      </c>
      <c r="F1311" s="2" t="s">
        <v>23</v>
      </c>
      <c r="G1311" s="2" t="s">
        <v>24</v>
      </c>
      <c r="H1311">
        <v>30</v>
      </c>
      <c r="I1311" s="2" t="str">
        <f>TEXT(Sheet1[[#This Row],[claim_date]],"mmmm")</f>
        <v>January</v>
      </c>
      <c r="J1311" s="2">
        <f>YEAR(Sheet1[[#This Row],[claim_date]])</f>
        <v>2025</v>
      </c>
      <c r="K1311" s="2" t="str">
        <f>"Q"&amp;ROUNDUP(MONTH(Sheet1[[#This Row],[claim_date]])/3,0)</f>
        <v>Q1</v>
      </c>
      <c r="L1311" s="2" t="str">
        <f>IF(Sheet1[[#This Row],[claim_amount]]&lt;100000,"Low",IF(Sheet1[[#This Row],[claim_amount]]&lt;200000,"Medium","High"))</f>
        <v>High</v>
      </c>
      <c r="M1311" s="2" t="str">
        <f>IF(Sheet1[[#This Row],[days_to_process]]&lt;=30,"Fast","Slow")</f>
        <v>Fast</v>
      </c>
    </row>
    <row r="1312" spans="1:13" x14ac:dyDescent="0.3">
      <c r="A1312" t="s">
        <v>2398</v>
      </c>
      <c r="B1312" s="2" t="s">
        <v>2399</v>
      </c>
      <c r="C1312" s="1">
        <v>44730</v>
      </c>
      <c r="D1312" s="35">
        <v>122280.01</v>
      </c>
      <c r="E1312" s="2" t="s">
        <v>19</v>
      </c>
      <c r="F1312" s="2" t="s">
        <v>23</v>
      </c>
      <c r="G1312" s="2" t="s">
        <v>12</v>
      </c>
      <c r="H1312">
        <v>27</v>
      </c>
      <c r="I1312" s="2" t="str">
        <f>TEXT(Sheet1[[#This Row],[claim_date]],"mmmm")</f>
        <v>June</v>
      </c>
      <c r="J1312" s="2">
        <f>YEAR(Sheet1[[#This Row],[claim_date]])</f>
        <v>2022</v>
      </c>
      <c r="K1312" s="2" t="str">
        <f>"Q"&amp;ROUNDUP(MONTH(Sheet1[[#This Row],[claim_date]])/3,0)</f>
        <v>Q2</v>
      </c>
      <c r="L1312" s="2" t="str">
        <f>IF(Sheet1[[#This Row],[claim_amount]]&lt;100000,"Low",IF(Sheet1[[#This Row],[claim_amount]]&lt;200000,"Medium","High"))</f>
        <v>Medium</v>
      </c>
      <c r="M1312" s="2" t="str">
        <f>IF(Sheet1[[#This Row],[days_to_process]]&lt;=30,"Fast","Slow")</f>
        <v>Fast</v>
      </c>
    </row>
    <row r="1313" spans="1:13" x14ac:dyDescent="0.3">
      <c r="A1313" t="s">
        <v>2400</v>
      </c>
      <c r="B1313" s="2" t="s">
        <v>2401</v>
      </c>
      <c r="C1313" s="1">
        <v>45531</v>
      </c>
      <c r="D1313" s="35">
        <v>64899.71</v>
      </c>
      <c r="E1313" s="2" t="s">
        <v>15</v>
      </c>
      <c r="F1313" s="2" t="s">
        <v>20</v>
      </c>
      <c r="G1313" s="2" t="s">
        <v>12</v>
      </c>
      <c r="H1313">
        <v>26</v>
      </c>
      <c r="I1313" s="2" t="str">
        <f>TEXT(Sheet1[[#This Row],[claim_date]],"mmmm")</f>
        <v>August</v>
      </c>
      <c r="J1313" s="2">
        <f>YEAR(Sheet1[[#This Row],[claim_date]])</f>
        <v>2024</v>
      </c>
      <c r="K1313" s="2" t="str">
        <f>"Q"&amp;ROUNDUP(MONTH(Sheet1[[#This Row],[claim_date]])/3,0)</f>
        <v>Q3</v>
      </c>
      <c r="L1313" s="2" t="str">
        <f>IF(Sheet1[[#This Row],[claim_amount]]&lt;100000,"Low",IF(Sheet1[[#This Row],[claim_amount]]&lt;200000,"Medium","High"))</f>
        <v>Low</v>
      </c>
      <c r="M1313" s="2" t="str">
        <f>IF(Sheet1[[#This Row],[days_to_process]]&lt;=30,"Fast","Slow")</f>
        <v>Fast</v>
      </c>
    </row>
    <row r="1314" spans="1:13" x14ac:dyDescent="0.3">
      <c r="A1314" t="s">
        <v>2402</v>
      </c>
      <c r="B1314" s="2" t="s">
        <v>292</v>
      </c>
      <c r="C1314" s="1">
        <v>45325</v>
      </c>
      <c r="D1314" s="35">
        <v>125620.11</v>
      </c>
      <c r="E1314" s="2" t="s">
        <v>10</v>
      </c>
      <c r="F1314" s="2" t="s">
        <v>11</v>
      </c>
      <c r="G1314" s="2" t="s">
        <v>12</v>
      </c>
      <c r="H1314">
        <v>40</v>
      </c>
      <c r="I1314" s="2" t="str">
        <f>TEXT(Sheet1[[#This Row],[claim_date]],"mmmm")</f>
        <v>February</v>
      </c>
      <c r="J1314" s="2">
        <f>YEAR(Sheet1[[#This Row],[claim_date]])</f>
        <v>2024</v>
      </c>
      <c r="K1314" s="2" t="str">
        <f>"Q"&amp;ROUNDUP(MONTH(Sheet1[[#This Row],[claim_date]])/3,0)</f>
        <v>Q1</v>
      </c>
      <c r="L1314" s="2" t="str">
        <f>IF(Sheet1[[#This Row],[claim_amount]]&lt;100000,"Low",IF(Sheet1[[#This Row],[claim_amount]]&lt;200000,"Medium","High"))</f>
        <v>Medium</v>
      </c>
      <c r="M1314" s="2" t="str">
        <f>IF(Sheet1[[#This Row],[days_to_process]]&lt;=30,"Fast","Slow")</f>
        <v>Slow</v>
      </c>
    </row>
    <row r="1315" spans="1:13" x14ac:dyDescent="0.3">
      <c r="A1315" t="s">
        <v>2403</v>
      </c>
      <c r="B1315" s="2" t="s">
        <v>2404</v>
      </c>
      <c r="C1315" s="1">
        <v>45005</v>
      </c>
      <c r="D1315" s="35">
        <v>72363.92</v>
      </c>
      <c r="E1315" s="2" t="s">
        <v>15</v>
      </c>
      <c r="F1315" s="2" t="s">
        <v>11</v>
      </c>
      <c r="G1315" s="2" t="s">
        <v>12</v>
      </c>
      <c r="H1315">
        <v>36</v>
      </c>
      <c r="I1315" s="2" t="str">
        <f>TEXT(Sheet1[[#This Row],[claim_date]],"mmmm")</f>
        <v>March</v>
      </c>
      <c r="J1315" s="2">
        <f>YEAR(Sheet1[[#This Row],[claim_date]])</f>
        <v>2023</v>
      </c>
      <c r="K1315" s="2" t="str">
        <f>"Q"&amp;ROUNDUP(MONTH(Sheet1[[#This Row],[claim_date]])/3,0)</f>
        <v>Q1</v>
      </c>
      <c r="L1315" s="2" t="str">
        <f>IF(Sheet1[[#This Row],[claim_amount]]&lt;100000,"Low",IF(Sheet1[[#This Row],[claim_amount]]&lt;200000,"Medium","High"))</f>
        <v>Low</v>
      </c>
      <c r="M1315" s="2" t="str">
        <f>IF(Sheet1[[#This Row],[days_to_process]]&lt;=30,"Fast","Slow")</f>
        <v>Slow</v>
      </c>
    </row>
    <row r="1316" spans="1:13" x14ac:dyDescent="0.3">
      <c r="A1316" t="s">
        <v>2405</v>
      </c>
      <c r="B1316" s="2" t="s">
        <v>346</v>
      </c>
      <c r="C1316" s="1">
        <v>44842</v>
      </c>
      <c r="D1316" s="35">
        <v>348092.69</v>
      </c>
      <c r="E1316" s="2" t="s">
        <v>15</v>
      </c>
      <c r="F1316" s="2" t="s">
        <v>11</v>
      </c>
      <c r="G1316" s="2" t="s">
        <v>12</v>
      </c>
      <c r="H1316">
        <v>58</v>
      </c>
      <c r="I1316" s="2" t="str">
        <f>TEXT(Sheet1[[#This Row],[claim_date]],"mmmm")</f>
        <v>October</v>
      </c>
      <c r="J1316" s="2">
        <f>YEAR(Sheet1[[#This Row],[claim_date]])</f>
        <v>2022</v>
      </c>
      <c r="K1316" s="2" t="str">
        <f>"Q"&amp;ROUNDUP(MONTH(Sheet1[[#This Row],[claim_date]])/3,0)</f>
        <v>Q4</v>
      </c>
      <c r="L1316" s="2" t="str">
        <f>IF(Sheet1[[#This Row],[claim_amount]]&lt;100000,"Low",IF(Sheet1[[#This Row],[claim_amount]]&lt;200000,"Medium","High"))</f>
        <v>High</v>
      </c>
      <c r="M1316" s="2" t="str">
        <f>IF(Sheet1[[#This Row],[days_to_process]]&lt;=30,"Fast","Slow")</f>
        <v>Slow</v>
      </c>
    </row>
    <row r="1317" spans="1:13" x14ac:dyDescent="0.3">
      <c r="A1317" t="s">
        <v>2406</v>
      </c>
      <c r="B1317" s="2" t="s">
        <v>2407</v>
      </c>
      <c r="C1317" s="1">
        <v>45560</v>
      </c>
      <c r="D1317" s="35">
        <v>208923.41</v>
      </c>
      <c r="E1317" s="2" t="s">
        <v>15</v>
      </c>
      <c r="F1317" s="2" t="s">
        <v>23</v>
      </c>
      <c r="G1317" s="2" t="s">
        <v>12</v>
      </c>
      <c r="H1317">
        <v>3</v>
      </c>
      <c r="I1317" s="2" t="str">
        <f>TEXT(Sheet1[[#This Row],[claim_date]],"mmmm")</f>
        <v>September</v>
      </c>
      <c r="J1317" s="2">
        <f>YEAR(Sheet1[[#This Row],[claim_date]])</f>
        <v>2024</v>
      </c>
      <c r="K1317" s="2" t="str">
        <f>"Q"&amp;ROUNDUP(MONTH(Sheet1[[#This Row],[claim_date]])/3,0)</f>
        <v>Q3</v>
      </c>
      <c r="L1317" s="2" t="str">
        <f>IF(Sheet1[[#This Row],[claim_amount]]&lt;100000,"Low",IF(Sheet1[[#This Row],[claim_amount]]&lt;200000,"Medium","High"))</f>
        <v>High</v>
      </c>
      <c r="M1317" s="2" t="str">
        <f>IF(Sheet1[[#This Row],[days_to_process]]&lt;=30,"Fast","Slow")</f>
        <v>Fast</v>
      </c>
    </row>
    <row r="1318" spans="1:13" x14ac:dyDescent="0.3">
      <c r="A1318" t="s">
        <v>2408</v>
      </c>
      <c r="B1318" s="2" t="s">
        <v>2409</v>
      </c>
      <c r="C1318" s="1">
        <v>44144</v>
      </c>
      <c r="D1318" s="35">
        <v>180237.95</v>
      </c>
      <c r="E1318" s="2" t="s">
        <v>19</v>
      </c>
      <c r="F1318" s="2" t="s">
        <v>16</v>
      </c>
      <c r="G1318" s="2" t="s">
        <v>24</v>
      </c>
      <c r="H1318">
        <v>48</v>
      </c>
      <c r="I1318" s="2" t="str">
        <f>TEXT(Sheet1[[#This Row],[claim_date]],"mmmm")</f>
        <v>November</v>
      </c>
      <c r="J1318" s="2">
        <f>YEAR(Sheet1[[#This Row],[claim_date]])</f>
        <v>2020</v>
      </c>
      <c r="K1318" s="2" t="str">
        <f>"Q"&amp;ROUNDUP(MONTH(Sheet1[[#This Row],[claim_date]])/3,0)</f>
        <v>Q4</v>
      </c>
      <c r="L1318" s="2" t="str">
        <f>IF(Sheet1[[#This Row],[claim_amount]]&lt;100000,"Low",IF(Sheet1[[#This Row],[claim_amount]]&lt;200000,"Medium","High"))</f>
        <v>Medium</v>
      </c>
      <c r="M1318" s="2" t="str">
        <f>IF(Sheet1[[#This Row],[days_to_process]]&lt;=30,"Fast","Slow")</f>
        <v>Slow</v>
      </c>
    </row>
    <row r="1319" spans="1:13" x14ac:dyDescent="0.3">
      <c r="A1319" t="s">
        <v>2410</v>
      </c>
      <c r="B1319" s="2" t="s">
        <v>2411</v>
      </c>
      <c r="C1319" s="1">
        <v>44604</v>
      </c>
      <c r="D1319" s="35">
        <v>312209.06</v>
      </c>
      <c r="E1319" s="2" t="s">
        <v>15</v>
      </c>
      <c r="F1319" s="2" t="s">
        <v>11</v>
      </c>
      <c r="G1319" s="2" t="s">
        <v>24</v>
      </c>
      <c r="H1319">
        <v>52</v>
      </c>
      <c r="I1319" s="2" t="str">
        <f>TEXT(Sheet1[[#This Row],[claim_date]],"mmmm")</f>
        <v>February</v>
      </c>
      <c r="J1319" s="2">
        <f>YEAR(Sheet1[[#This Row],[claim_date]])</f>
        <v>2022</v>
      </c>
      <c r="K1319" s="2" t="str">
        <f>"Q"&amp;ROUNDUP(MONTH(Sheet1[[#This Row],[claim_date]])/3,0)</f>
        <v>Q1</v>
      </c>
      <c r="L1319" s="2" t="str">
        <f>IF(Sheet1[[#This Row],[claim_amount]]&lt;100000,"Low",IF(Sheet1[[#This Row],[claim_amount]]&lt;200000,"Medium","High"))</f>
        <v>High</v>
      </c>
      <c r="M1319" s="2" t="str">
        <f>IF(Sheet1[[#This Row],[days_to_process]]&lt;=30,"Fast","Slow")</f>
        <v>Slow</v>
      </c>
    </row>
    <row r="1320" spans="1:13" x14ac:dyDescent="0.3">
      <c r="A1320" t="s">
        <v>2412</v>
      </c>
      <c r="B1320" s="2" t="s">
        <v>2413</v>
      </c>
      <c r="C1320" s="1">
        <v>45567</v>
      </c>
      <c r="D1320" s="35">
        <v>312150.90000000002</v>
      </c>
      <c r="E1320" s="2" t="s">
        <v>15</v>
      </c>
      <c r="F1320" s="2" t="s">
        <v>23</v>
      </c>
      <c r="G1320" s="2" t="s">
        <v>12</v>
      </c>
      <c r="H1320">
        <v>5</v>
      </c>
      <c r="I1320" s="2" t="str">
        <f>TEXT(Sheet1[[#This Row],[claim_date]],"mmmm")</f>
        <v>October</v>
      </c>
      <c r="J1320" s="2">
        <f>YEAR(Sheet1[[#This Row],[claim_date]])</f>
        <v>2024</v>
      </c>
      <c r="K1320" s="2" t="str">
        <f>"Q"&amp;ROUNDUP(MONTH(Sheet1[[#This Row],[claim_date]])/3,0)</f>
        <v>Q4</v>
      </c>
      <c r="L1320" s="2" t="str">
        <f>IF(Sheet1[[#This Row],[claim_amount]]&lt;100000,"Low",IF(Sheet1[[#This Row],[claim_amount]]&lt;200000,"Medium","High"))</f>
        <v>High</v>
      </c>
      <c r="M1320" s="2" t="str">
        <f>IF(Sheet1[[#This Row],[days_to_process]]&lt;=30,"Fast","Slow")</f>
        <v>Fast</v>
      </c>
    </row>
    <row r="1321" spans="1:13" x14ac:dyDescent="0.3">
      <c r="A1321" t="s">
        <v>2414</v>
      </c>
      <c r="B1321" s="2" t="s">
        <v>1015</v>
      </c>
      <c r="C1321" s="1">
        <v>44623</v>
      </c>
      <c r="D1321" s="35">
        <v>256986.25</v>
      </c>
      <c r="E1321" s="2" t="s">
        <v>15</v>
      </c>
      <c r="F1321" s="2" t="s">
        <v>11</v>
      </c>
      <c r="G1321" s="2" t="s">
        <v>24</v>
      </c>
      <c r="H1321">
        <v>36</v>
      </c>
      <c r="I1321" s="2" t="str">
        <f>TEXT(Sheet1[[#This Row],[claim_date]],"mmmm")</f>
        <v>March</v>
      </c>
      <c r="J1321" s="2">
        <f>YEAR(Sheet1[[#This Row],[claim_date]])</f>
        <v>2022</v>
      </c>
      <c r="K1321" s="2" t="str">
        <f>"Q"&amp;ROUNDUP(MONTH(Sheet1[[#This Row],[claim_date]])/3,0)</f>
        <v>Q1</v>
      </c>
      <c r="L1321" s="2" t="str">
        <f>IF(Sheet1[[#This Row],[claim_amount]]&lt;100000,"Low",IF(Sheet1[[#This Row],[claim_amount]]&lt;200000,"Medium","High"))</f>
        <v>High</v>
      </c>
      <c r="M1321" s="2" t="str">
        <f>IF(Sheet1[[#This Row],[days_to_process]]&lt;=30,"Fast","Slow")</f>
        <v>Slow</v>
      </c>
    </row>
    <row r="1322" spans="1:13" x14ac:dyDescent="0.3">
      <c r="A1322" t="s">
        <v>2415</v>
      </c>
      <c r="B1322" s="2" t="s">
        <v>782</v>
      </c>
      <c r="C1322" s="1">
        <v>44818</v>
      </c>
      <c r="D1322" s="35">
        <v>226254.25</v>
      </c>
      <c r="E1322" s="2" t="s">
        <v>19</v>
      </c>
      <c r="F1322" s="2" t="s">
        <v>11</v>
      </c>
      <c r="G1322" s="2" t="s">
        <v>24</v>
      </c>
      <c r="H1322">
        <v>10</v>
      </c>
      <c r="I1322" s="2" t="str">
        <f>TEXT(Sheet1[[#This Row],[claim_date]],"mmmm")</f>
        <v>September</v>
      </c>
      <c r="J1322" s="2">
        <f>YEAR(Sheet1[[#This Row],[claim_date]])</f>
        <v>2022</v>
      </c>
      <c r="K1322" s="2" t="str">
        <f>"Q"&amp;ROUNDUP(MONTH(Sheet1[[#This Row],[claim_date]])/3,0)</f>
        <v>Q3</v>
      </c>
      <c r="L1322" s="2" t="str">
        <f>IF(Sheet1[[#This Row],[claim_amount]]&lt;100000,"Low",IF(Sheet1[[#This Row],[claim_amount]]&lt;200000,"Medium","High"))</f>
        <v>High</v>
      </c>
      <c r="M1322" s="2" t="str">
        <f>IF(Sheet1[[#This Row],[days_to_process]]&lt;=30,"Fast","Slow")</f>
        <v>Fast</v>
      </c>
    </row>
    <row r="1323" spans="1:13" x14ac:dyDescent="0.3">
      <c r="A1323" t="s">
        <v>2416</v>
      </c>
      <c r="B1323" s="2" t="s">
        <v>2417</v>
      </c>
      <c r="C1323" s="1">
        <v>45376</v>
      </c>
      <c r="D1323" s="35">
        <v>67870.789999999994</v>
      </c>
      <c r="E1323" s="2" t="s">
        <v>10</v>
      </c>
      <c r="F1323" s="2" t="s">
        <v>11</v>
      </c>
      <c r="G1323" s="2" t="s">
        <v>24</v>
      </c>
      <c r="H1323">
        <v>57</v>
      </c>
      <c r="I1323" s="2" t="str">
        <f>TEXT(Sheet1[[#This Row],[claim_date]],"mmmm")</f>
        <v>March</v>
      </c>
      <c r="J1323" s="2">
        <f>YEAR(Sheet1[[#This Row],[claim_date]])</f>
        <v>2024</v>
      </c>
      <c r="K1323" s="2" t="str">
        <f>"Q"&amp;ROUNDUP(MONTH(Sheet1[[#This Row],[claim_date]])/3,0)</f>
        <v>Q1</v>
      </c>
      <c r="L1323" s="2" t="str">
        <f>IF(Sheet1[[#This Row],[claim_amount]]&lt;100000,"Low",IF(Sheet1[[#This Row],[claim_amount]]&lt;200000,"Medium","High"))</f>
        <v>Low</v>
      </c>
      <c r="M1323" s="2" t="str">
        <f>IF(Sheet1[[#This Row],[days_to_process]]&lt;=30,"Fast","Slow")</f>
        <v>Slow</v>
      </c>
    </row>
    <row r="1324" spans="1:13" x14ac:dyDescent="0.3">
      <c r="A1324" t="s">
        <v>2418</v>
      </c>
      <c r="B1324" s="2" t="s">
        <v>2348</v>
      </c>
      <c r="C1324" s="1">
        <v>44908</v>
      </c>
      <c r="D1324" s="35">
        <v>214971.11</v>
      </c>
      <c r="E1324" s="2" t="s">
        <v>19</v>
      </c>
      <c r="F1324" s="2" t="s">
        <v>23</v>
      </c>
      <c r="G1324" s="2" t="s">
        <v>24</v>
      </c>
      <c r="H1324">
        <v>16</v>
      </c>
      <c r="I1324" s="2" t="str">
        <f>TEXT(Sheet1[[#This Row],[claim_date]],"mmmm")</f>
        <v>December</v>
      </c>
      <c r="J1324" s="2">
        <f>YEAR(Sheet1[[#This Row],[claim_date]])</f>
        <v>2022</v>
      </c>
      <c r="K1324" s="2" t="str">
        <f>"Q"&amp;ROUNDUP(MONTH(Sheet1[[#This Row],[claim_date]])/3,0)</f>
        <v>Q4</v>
      </c>
      <c r="L1324" s="2" t="str">
        <f>IF(Sheet1[[#This Row],[claim_amount]]&lt;100000,"Low",IF(Sheet1[[#This Row],[claim_amount]]&lt;200000,"Medium","High"))</f>
        <v>High</v>
      </c>
      <c r="M1324" s="2" t="str">
        <f>IF(Sheet1[[#This Row],[days_to_process]]&lt;=30,"Fast","Slow")</f>
        <v>Fast</v>
      </c>
    </row>
    <row r="1325" spans="1:13" x14ac:dyDescent="0.3">
      <c r="A1325" t="s">
        <v>2419</v>
      </c>
      <c r="B1325" s="2" t="s">
        <v>2420</v>
      </c>
      <c r="C1325" s="1">
        <v>44593</v>
      </c>
      <c r="D1325" s="35">
        <v>315155.32</v>
      </c>
      <c r="E1325" s="2" t="s">
        <v>19</v>
      </c>
      <c r="F1325" s="2" t="s">
        <v>23</v>
      </c>
      <c r="G1325" s="2" t="s">
        <v>24</v>
      </c>
      <c r="H1325">
        <v>39</v>
      </c>
      <c r="I1325" s="2" t="str">
        <f>TEXT(Sheet1[[#This Row],[claim_date]],"mmmm")</f>
        <v>February</v>
      </c>
      <c r="J1325" s="2">
        <f>YEAR(Sheet1[[#This Row],[claim_date]])</f>
        <v>2022</v>
      </c>
      <c r="K1325" s="2" t="str">
        <f>"Q"&amp;ROUNDUP(MONTH(Sheet1[[#This Row],[claim_date]])/3,0)</f>
        <v>Q1</v>
      </c>
      <c r="L1325" s="2" t="str">
        <f>IF(Sheet1[[#This Row],[claim_amount]]&lt;100000,"Low",IF(Sheet1[[#This Row],[claim_amount]]&lt;200000,"Medium","High"))</f>
        <v>High</v>
      </c>
      <c r="M1325" s="2" t="str">
        <f>IF(Sheet1[[#This Row],[days_to_process]]&lt;=30,"Fast","Slow")</f>
        <v>Slow</v>
      </c>
    </row>
    <row r="1326" spans="1:13" x14ac:dyDescent="0.3">
      <c r="A1326" t="s">
        <v>2421</v>
      </c>
      <c r="B1326" s="2" t="s">
        <v>1213</v>
      </c>
      <c r="C1326" s="1">
        <v>44872</v>
      </c>
      <c r="D1326" s="35">
        <v>161510.10999999999</v>
      </c>
      <c r="E1326" s="2" t="s">
        <v>15</v>
      </c>
      <c r="F1326" s="2" t="s">
        <v>16</v>
      </c>
      <c r="G1326" s="2" t="s">
        <v>12</v>
      </c>
      <c r="H1326">
        <v>4</v>
      </c>
      <c r="I1326" s="2" t="str">
        <f>TEXT(Sheet1[[#This Row],[claim_date]],"mmmm")</f>
        <v>November</v>
      </c>
      <c r="J1326" s="2">
        <f>YEAR(Sheet1[[#This Row],[claim_date]])</f>
        <v>2022</v>
      </c>
      <c r="K1326" s="2" t="str">
        <f>"Q"&amp;ROUNDUP(MONTH(Sheet1[[#This Row],[claim_date]])/3,0)</f>
        <v>Q4</v>
      </c>
      <c r="L1326" s="2" t="str">
        <f>IF(Sheet1[[#This Row],[claim_amount]]&lt;100000,"Low",IF(Sheet1[[#This Row],[claim_amount]]&lt;200000,"Medium","High"))</f>
        <v>Medium</v>
      </c>
      <c r="M1326" s="2" t="str">
        <f>IF(Sheet1[[#This Row],[days_to_process]]&lt;=30,"Fast","Slow")</f>
        <v>Fast</v>
      </c>
    </row>
    <row r="1327" spans="1:13" x14ac:dyDescent="0.3">
      <c r="A1327" t="s">
        <v>2422</v>
      </c>
      <c r="B1327" s="2" t="s">
        <v>1344</v>
      </c>
      <c r="C1327" s="1">
        <v>45148</v>
      </c>
      <c r="D1327" s="35">
        <v>213480.49</v>
      </c>
      <c r="E1327" s="2" t="s">
        <v>15</v>
      </c>
      <c r="F1327" s="2" t="s">
        <v>16</v>
      </c>
      <c r="G1327" s="2" t="s">
        <v>12</v>
      </c>
      <c r="H1327">
        <v>34</v>
      </c>
      <c r="I1327" s="2" t="str">
        <f>TEXT(Sheet1[[#This Row],[claim_date]],"mmmm")</f>
        <v>August</v>
      </c>
      <c r="J1327" s="2">
        <f>YEAR(Sheet1[[#This Row],[claim_date]])</f>
        <v>2023</v>
      </c>
      <c r="K1327" s="2" t="str">
        <f>"Q"&amp;ROUNDUP(MONTH(Sheet1[[#This Row],[claim_date]])/3,0)</f>
        <v>Q3</v>
      </c>
      <c r="L1327" s="2" t="str">
        <f>IF(Sheet1[[#This Row],[claim_amount]]&lt;100000,"Low",IF(Sheet1[[#This Row],[claim_amount]]&lt;200000,"Medium","High"))</f>
        <v>High</v>
      </c>
      <c r="M1327" s="2" t="str">
        <f>IF(Sheet1[[#This Row],[days_to_process]]&lt;=30,"Fast","Slow")</f>
        <v>Slow</v>
      </c>
    </row>
    <row r="1328" spans="1:13" x14ac:dyDescent="0.3">
      <c r="A1328" t="s">
        <v>2423</v>
      </c>
      <c r="B1328" s="2" t="s">
        <v>2165</v>
      </c>
      <c r="C1328" s="1">
        <v>44428</v>
      </c>
      <c r="D1328" s="35">
        <v>420314.23</v>
      </c>
      <c r="E1328" s="2" t="s">
        <v>15</v>
      </c>
      <c r="F1328" s="2" t="s">
        <v>16</v>
      </c>
      <c r="G1328" s="2" t="s">
        <v>24</v>
      </c>
      <c r="H1328">
        <v>4</v>
      </c>
      <c r="I1328" s="2" t="str">
        <f>TEXT(Sheet1[[#This Row],[claim_date]],"mmmm")</f>
        <v>August</v>
      </c>
      <c r="J1328" s="2">
        <f>YEAR(Sheet1[[#This Row],[claim_date]])</f>
        <v>2021</v>
      </c>
      <c r="K1328" s="2" t="str">
        <f>"Q"&amp;ROUNDUP(MONTH(Sheet1[[#This Row],[claim_date]])/3,0)</f>
        <v>Q3</v>
      </c>
      <c r="L1328" s="2" t="str">
        <f>IF(Sheet1[[#This Row],[claim_amount]]&lt;100000,"Low",IF(Sheet1[[#This Row],[claim_amount]]&lt;200000,"Medium","High"))</f>
        <v>High</v>
      </c>
      <c r="M1328" s="2" t="str">
        <f>IF(Sheet1[[#This Row],[days_to_process]]&lt;=30,"Fast","Slow")</f>
        <v>Fast</v>
      </c>
    </row>
    <row r="1329" spans="1:13" x14ac:dyDescent="0.3">
      <c r="A1329" t="s">
        <v>2424</v>
      </c>
      <c r="B1329" s="2" t="s">
        <v>2425</v>
      </c>
      <c r="C1329" s="1">
        <v>45207</v>
      </c>
      <c r="D1329" s="35">
        <v>366683.43</v>
      </c>
      <c r="E1329" s="2" t="s">
        <v>15</v>
      </c>
      <c r="F1329" s="2" t="s">
        <v>34</v>
      </c>
      <c r="G1329" s="2" t="s">
        <v>12</v>
      </c>
      <c r="H1329">
        <v>31</v>
      </c>
      <c r="I1329" s="2" t="str">
        <f>TEXT(Sheet1[[#This Row],[claim_date]],"mmmm")</f>
        <v>October</v>
      </c>
      <c r="J1329" s="2">
        <f>YEAR(Sheet1[[#This Row],[claim_date]])</f>
        <v>2023</v>
      </c>
      <c r="K1329" s="2" t="str">
        <f>"Q"&amp;ROUNDUP(MONTH(Sheet1[[#This Row],[claim_date]])/3,0)</f>
        <v>Q4</v>
      </c>
      <c r="L1329" s="2" t="str">
        <f>IF(Sheet1[[#This Row],[claim_amount]]&lt;100000,"Low",IF(Sheet1[[#This Row],[claim_amount]]&lt;200000,"Medium","High"))</f>
        <v>High</v>
      </c>
      <c r="M1329" s="2" t="str">
        <f>IF(Sheet1[[#This Row],[days_to_process]]&lt;=30,"Fast","Slow")</f>
        <v>Slow</v>
      </c>
    </row>
    <row r="1330" spans="1:13" x14ac:dyDescent="0.3">
      <c r="A1330" t="s">
        <v>2426</v>
      </c>
      <c r="B1330" s="2" t="s">
        <v>1033</v>
      </c>
      <c r="C1330" s="1">
        <v>45486</v>
      </c>
      <c r="D1330" s="35">
        <v>284203.52000000002</v>
      </c>
      <c r="E1330" s="2" t="s">
        <v>10</v>
      </c>
      <c r="F1330" s="2" t="s">
        <v>20</v>
      </c>
      <c r="G1330" s="2" t="s">
        <v>24</v>
      </c>
      <c r="H1330">
        <v>2</v>
      </c>
      <c r="I1330" s="2" t="str">
        <f>TEXT(Sheet1[[#This Row],[claim_date]],"mmmm")</f>
        <v>July</v>
      </c>
      <c r="J1330" s="2">
        <f>YEAR(Sheet1[[#This Row],[claim_date]])</f>
        <v>2024</v>
      </c>
      <c r="K1330" s="2" t="str">
        <f>"Q"&amp;ROUNDUP(MONTH(Sheet1[[#This Row],[claim_date]])/3,0)</f>
        <v>Q3</v>
      </c>
      <c r="L1330" s="2" t="str">
        <f>IF(Sheet1[[#This Row],[claim_amount]]&lt;100000,"Low",IF(Sheet1[[#This Row],[claim_amount]]&lt;200000,"Medium","High"))</f>
        <v>High</v>
      </c>
      <c r="M1330" s="2" t="str">
        <f>IF(Sheet1[[#This Row],[days_to_process]]&lt;=30,"Fast","Slow")</f>
        <v>Fast</v>
      </c>
    </row>
    <row r="1331" spans="1:13" x14ac:dyDescent="0.3">
      <c r="A1331" t="s">
        <v>2427</v>
      </c>
      <c r="B1331" s="2" t="s">
        <v>2428</v>
      </c>
      <c r="C1331" s="1">
        <v>45211</v>
      </c>
      <c r="D1331" s="35">
        <v>499014.37</v>
      </c>
      <c r="E1331" s="2" t="s">
        <v>10</v>
      </c>
      <c r="F1331" s="2" t="s">
        <v>11</v>
      </c>
      <c r="G1331" s="2" t="s">
        <v>12</v>
      </c>
      <c r="H1331">
        <v>17</v>
      </c>
      <c r="I1331" s="2" t="str">
        <f>TEXT(Sheet1[[#This Row],[claim_date]],"mmmm")</f>
        <v>October</v>
      </c>
      <c r="J1331" s="2">
        <f>YEAR(Sheet1[[#This Row],[claim_date]])</f>
        <v>2023</v>
      </c>
      <c r="K1331" s="2" t="str">
        <f>"Q"&amp;ROUNDUP(MONTH(Sheet1[[#This Row],[claim_date]])/3,0)</f>
        <v>Q4</v>
      </c>
      <c r="L1331" s="2" t="str">
        <f>IF(Sheet1[[#This Row],[claim_amount]]&lt;100000,"Low",IF(Sheet1[[#This Row],[claim_amount]]&lt;200000,"Medium","High"))</f>
        <v>High</v>
      </c>
      <c r="M1331" s="2" t="str">
        <f>IF(Sheet1[[#This Row],[days_to_process]]&lt;=30,"Fast","Slow")</f>
        <v>Fast</v>
      </c>
    </row>
    <row r="1332" spans="1:13" x14ac:dyDescent="0.3">
      <c r="A1332" t="s">
        <v>2429</v>
      </c>
      <c r="B1332" s="2" t="s">
        <v>2430</v>
      </c>
      <c r="C1332" s="1">
        <v>45478</v>
      </c>
      <c r="D1332" s="35">
        <v>477448.06</v>
      </c>
      <c r="E1332" s="2" t="s">
        <v>15</v>
      </c>
      <c r="F1332" s="2" t="s">
        <v>34</v>
      </c>
      <c r="G1332" s="2" t="s">
        <v>12</v>
      </c>
      <c r="H1332">
        <v>4</v>
      </c>
      <c r="I1332" s="2" t="str">
        <f>TEXT(Sheet1[[#This Row],[claim_date]],"mmmm")</f>
        <v>July</v>
      </c>
      <c r="J1332" s="2">
        <f>YEAR(Sheet1[[#This Row],[claim_date]])</f>
        <v>2024</v>
      </c>
      <c r="K1332" s="2" t="str">
        <f>"Q"&amp;ROUNDUP(MONTH(Sheet1[[#This Row],[claim_date]])/3,0)</f>
        <v>Q3</v>
      </c>
      <c r="L1332" s="2" t="str">
        <f>IF(Sheet1[[#This Row],[claim_amount]]&lt;100000,"Low",IF(Sheet1[[#This Row],[claim_amount]]&lt;200000,"Medium","High"))</f>
        <v>High</v>
      </c>
      <c r="M1332" s="2" t="str">
        <f>IF(Sheet1[[#This Row],[days_to_process]]&lt;=30,"Fast","Slow")</f>
        <v>Fast</v>
      </c>
    </row>
    <row r="1333" spans="1:13" x14ac:dyDescent="0.3">
      <c r="A1333" t="s">
        <v>2431</v>
      </c>
      <c r="B1333" s="2" t="s">
        <v>62</v>
      </c>
      <c r="C1333" s="1">
        <v>45124</v>
      </c>
      <c r="D1333" s="35">
        <v>345554.94</v>
      </c>
      <c r="E1333" s="2" t="s">
        <v>10</v>
      </c>
      <c r="F1333" s="2" t="s">
        <v>16</v>
      </c>
      <c r="G1333" s="2" t="s">
        <v>12</v>
      </c>
      <c r="H1333">
        <v>19</v>
      </c>
      <c r="I1333" s="2" t="str">
        <f>TEXT(Sheet1[[#This Row],[claim_date]],"mmmm")</f>
        <v>July</v>
      </c>
      <c r="J1333" s="2">
        <f>YEAR(Sheet1[[#This Row],[claim_date]])</f>
        <v>2023</v>
      </c>
      <c r="K1333" s="2" t="str">
        <f>"Q"&amp;ROUNDUP(MONTH(Sheet1[[#This Row],[claim_date]])/3,0)</f>
        <v>Q3</v>
      </c>
      <c r="L1333" s="2" t="str">
        <f>IF(Sheet1[[#This Row],[claim_amount]]&lt;100000,"Low",IF(Sheet1[[#This Row],[claim_amount]]&lt;200000,"Medium","High"))</f>
        <v>High</v>
      </c>
      <c r="M1333" s="2" t="str">
        <f>IF(Sheet1[[#This Row],[days_to_process]]&lt;=30,"Fast","Slow")</f>
        <v>Fast</v>
      </c>
    </row>
    <row r="1334" spans="1:13" x14ac:dyDescent="0.3">
      <c r="A1334" t="s">
        <v>2432</v>
      </c>
      <c r="B1334" s="2" t="s">
        <v>1322</v>
      </c>
      <c r="C1334" s="1">
        <v>45054</v>
      </c>
      <c r="D1334" s="35">
        <v>119502.84</v>
      </c>
      <c r="E1334" s="2" t="s">
        <v>15</v>
      </c>
      <c r="F1334" s="2" t="s">
        <v>20</v>
      </c>
      <c r="G1334" s="2" t="s">
        <v>12</v>
      </c>
      <c r="H1334">
        <v>25</v>
      </c>
      <c r="I1334" s="2" t="str">
        <f>TEXT(Sheet1[[#This Row],[claim_date]],"mmmm")</f>
        <v>May</v>
      </c>
      <c r="J1334" s="2">
        <f>YEAR(Sheet1[[#This Row],[claim_date]])</f>
        <v>2023</v>
      </c>
      <c r="K1334" s="2" t="str">
        <f>"Q"&amp;ROUNDUP(MONTH(Sheet1[[#This Row],[claim_date]])/3,0)</f>
        <v>Q2</v>
      </c>
      <c r="L1334" s="2" t="str">
        <f>IF(Sheet1[[#This Row],[claim_amount]]&lt;100000,"Low",IF(Sheet1[[#This Row],[claim_amount]]&lt;200000,"Medium","High"))</f>
        <v>Medium</v>
      </c>
      <c r="M1334" s="2" t="str">
        <f>IF(Sheet1[[#This Row],[days_to_process]]&lt;=30,"Fast","Slow")</f>
        <v>Fast</v>
      </c>
    </row>
    <row r="1335" spans="1:13" x14ac:dyDescent="0.3">
      <c r="A1335" t="s">
        <v>2433</v>
      </c>
      <c r="B1335" s="2" t="s">
        <v>2434</v>
      </c>
      <c r="C1335" s="1">
        <v>44944</v>
      </c>
      <c r="D1335" s="35">
        <v>389009.81</v>
      </c>
      <c r="E1335" s="2" t="s">
        <v>15</v>
      </c>
      <c r="F1335" s="2" t="s">
        <v>11</v>
      </c>
      <c r="G1335" s="2" t="s">
        <v>24</v>
      </c>
      <c r="H1335">
        <v>58</v>
      </c>
      <c r="I1335" s="2" t="str">
        <f>TEXT(Sheet1[[#This Row],[claim_date]],"mmmm")</f>
        <v>January</v>
      </c>
      <c r="J1335" s="2">
        <f>YEAR(Sheet1[[#This Row],[claim_date]])</f>
        <v>2023</v>
      </c>
      <c r="K1335" s="2" t="str">
        <f>"Q"&amp;ROUNDUP(MONTH(Sheet1[[#This Row],[claim_date]])/3,0)</f>
        <v>Q1</v>
      </c>
      <c r="L1335" s="2" t="str">
        <f>IF(Sheet1[[#This Row],[claim_amount]]&lt;100000,"Low",IF(Sheet1[[#This Row],[claim_amount]]&lt;200000,"Medium","High"))</f>
        <v>High</v>
      </c>
      <c r="M1335" s="2" t="str">
        <f>IF(Sheet1[[#This Row],[days_to_process]]&lt;=30,"Fast","Slow")</f>
        <v>Slow</v>
      </c>
    </row>
    <row r="1336" spans="1:13" x14ac:dyDescent="0.3">
      <c r="A1336" t="s">
        <v>2435</v>
      </c>
      <c r="B1336" s="2" t="s">
        <v>2436</v>
      </c>
      <c r="C1336" s="1">
        <v>45145</v>
      </c>
      <c r="D1336" s="35">
        <v>146405.74</v>
      </c>
      <c r="E1336" s="2" t="s">
        <v>15</v>
      </c>
      <c r="F1336" s="2" t="s">
        <v>34</v>
      </c>
      <c r="G1336" s="2" t="s">
        <v>12</v>
      </c>
      <c r="H1336">
        <v>53</v>
      </c>
      <c r="I1336" s="2" t="str">
        <f>TEXT(Sheet1[[#This Row],[claim_date]],"mmmm")</f>
        <v>August</v>
      </c>
      <c r="J1336" s="2">
        <f>YEAR(Sheet1[[#This Row],[claim_date]])</f>
        <v>2023</v>
      </c>
      <c r="K1336" s="2" t="str">
        <f>"Q"&amp;ROUNDUP(MONTH(Sheet1[[#This Row],[claim_date]])/3,0)</f>
        <v>Q3</v>
      </c>
      <c r="L1336" s="2" t="str">
        <f>IF(Sheet1[[#This Row],[claim_amount]]&lt;100000,"Low",IF(Sheet1[[#This Row],[claim_amount]]&lt;200000,"Medium","High"))</f>
        <v>Medium</v>
      </c>
      <c r="M1336" s="2" t="str">
        <f>IF(Sheet1[[#This Row],[days_to_process]]&lt;=30,"Fast","Slow")</f>
        <v>Slow</v>
      </c>
    </row>
    <row r="1337" spans="1:13" x14ac:dyDescent="0.3">
      <c r="A1337" t="s">
        <v>2437</v>
      </c>
      <c r="B1337" s="2" t="s">
        <v>2438</v>
      </c>
      <c r="C1337" s="1">
        <v>44436</v>
      </c>
      <c r="D1337" s="35">
        <v>154425.38</v>
      </c>
      <c r="E1337" s="2" t="s">
        <v>19</v>
      </c>
      <c r="F1337" s="2" t="s">
        <v>20</v>
      </c>
      <c r="G1337" s="2" t="s">
        <v>12</v>
      </c>
      <c r="H1337">
        <v>31</v>
      </c>
      <c r="I1337" s="2" t="str">
        <f>TEXT(Sheet1[[#This Row],[claim_date]],"mmmm")</f>
        <v>August</v>
      </c>
      <c r="J1337" s="2">
        <f>YEAR(Sheet1[[#This Row],[claim_date]])</f>
        <v>2021</v>
      </c>
      <c r="K1337" s="2" t="str">
        <f>"Q"&amp;ROUNDUP(MONTH(Sheet1[[#This Row],[claim_date]])/3,0)</f>
        <v>Q3</v>
      </c>
      <c r="L1337" s="2" t="str">
        <f>IF(Sheet1[[#This Row],[claim_amount]]&lt;100000,"Low",IF(Sheet1[[#This Row],[claim_amount]]&lt;200000,"Medium","High"))</f>
        <v>Medium</v>
      </c>
      <c r="M1337" s="2" t="str">
        <f>IF(Sheet1[[#This Row],[days_to_process]]&lt;=30,"Fast","Slow")</f>
        <v>Slow</v>
      </c>
    </row>
    <row r="1338" spans="1:13" x14ac:dyDescent="0.3">
      <c r="A1338" t="s">
        <v>2439</v>
      </c>
      <c r="B1338" s="2" t="s">
        <v>1912</v>
      </c>
      <c r="C1338" s="1">
        <v>44639</v>
      </c>
      <c r="D1338" s="35">
        <v>443247.03</v>
      </c>
      <c r="E1338" s="2" t="s">
        <v>15</v>
      </c>
      <c r="F1338" s="2" t="s">
        <v>16</v>
      </c>
      <c r="G1338" s="2" t="s">
        <v>24</v>
      </c>
      <c r="H1338">
        <v>45</v>
      </c>
      <c r="I1338" s="2" t="str">
        <f>TEXT(Sheet1[[#This Row],[claim_date]],"mmmm")</f>
        <v>March</v>
      </c>
      <c r="J1338" s="2">
        <f>YEAR(Sheet1[[#This Row],[claim_date]])</f>
        <v>2022</v>
      </c>
      <c r="K1338" s="2" t="str">
        <f>"Q"&amp;ROUNDUP(MONTH(Sheet1[[#This Row],[claim_date]])/3,0)</f>
        <v>Q1</v>
      </c>
      <c r="L1338" s="2" t="str">
        <f>IF(Sheet1[[#This Row],[claim_amount]]&lt;100000,"Low",IF(Sheet1[[#This Row],[claim_amount]]&lt;200000,"Medium","High"))</f>
        <v>High</v>
      </c>
      <c r="M1338" s="2" t="str">
        <f>IF(Sheet1[[#This Row],[days_to_process]]&lt;=30,"Fast","Slow")</f>
        <v>Slow</v>
      </c>
    </row>
    <row r="1339" spans="1:13" x14ac:dyDescent="0.3">
      <c r="A1339" t="s">
        <v>2440</v>
      </c>
      <c r="B1339" s="2" t="s">
        <v>2441</v>
      </c>
      <c r="C1339" s="1">
        <v>44715</v>
      </c>
      <c r="D1339" s="35">
        <v>355495.91</v>
      </c>
      <c r="E1339" s="2" t="s">
        <v>19</v>
      </c>
      <c r="F1339" s="2" t="s">
        <v>20</v>
      </c>
      <c r="G1339" s="2" t="s">
        <v>12</v>
      </c>
      <c r="H1339">
        <v>43</v>
      </c>
      <c r="I1339" s="2" t="str">
        <f>TEXT(Sheet1[[#This Row],[claim_date]],"mmmm")</f>
        <v>June</v>
      </c>
      <c r="J1339" s="2">
        <f>YEAR(Sheet1[[#This Row],[claim_date]])</f>
        <v>2022</v>
      </c>
      <c r="K1339" s="2" t="str">
        <f>"Q"&amp;ROUNDUP(MONTH(Sheet1[[#This Row],[claim_date]])/3,0)</f>
        <v>Q2</v>
      </c>
      <c r="L1339" s="2" t="str">
        <f>IF(Sheet1[[#This Row],[claim_amount]]&lt;100000,"Low",IF(Sheet1[[#This Row],[claim_amount]]&lt;200000,"Medium","High"))</f>
        <v>High</v>
      </c>
      <c r="M1339" s="2" t="str">
        <f>IF(Sheet1[[#This Row],[days_to_process]]&lt;=30,"Fast","Slow")</f>
        <v>Slow</v>
      </c>
    </row>
    <row r="1340" spans="1:13" x14ac:dyDescent="0.3">
      <c r="A1340" t="s">
        <v>2442</v>
      </c>
      <c r="B1340" s="2" t="s">
        <v>157</v>
      </c>
      <c r="C1340" s="1">
        <v>45199</v>
      </c>
      <c r="D1340" s="35">
        <v>330072.90000000002</v>
      </c>
      <c r="E1340" s="2" t="s">
        <v>10</v>
      </c>
      <c r="F1340" s="2" t="s">
        <v>20</v>
      </c>
      <c r="G1340" s="2" t="s">
        <v>12</v>
      </c>
      <c r="H1340">
        <v>49</v>
      </c>
      <c r="I1340" s="2" t="str">
        <f>TEXT(Sheet1[[#This Row],[claim_date]],"mmmm")</f>
        <v>September</v>
      </c>
      <c r="J1340" s="2">
        <f>YEAR(Sheet1[[#This Row],[claim_date]])</f>
        <v>2023</v>
      </c>
      <c r="K1340" s="2" t="str">
        <f>"Q"&amp;ROUNDUP(MONTH(Sheet1[[#This Row],[claim_date]])/3,0)</f>
        <v>Q3</v>
      </c>
      <c r="L1340" s="2" t="str">
        <f>IF(Sheet1[[#This Row],[claim_amount]]&lt;100000,"Low",IF(Sheet1[[#This Row],[claim_amount]]&lt;200000,"Medium","High"))</f>
        <v>High</v>
      </c>
      <c r="M1340" s="2" t="str">
        <f>IF(Sheet1[[#This Row],[days_to_process]]&lt;=30,"Fast","Slow")</f>
        <v>Slow</v>
      </c>
    </row>
    <row r="1341" spans="1:13" x14ac:dyDescent="0.3">
      <c r="A1341" t="s">
        <v>2443</v>
      </c>
      <c r="B1341" s="2" t="s">
        <v>2444</v>
      </c>
      <c r="C1341" s="1">
        <v>45091</v>
      </c>
      <c r="D1341" s="35">
        <v>343554.63</v>
      </c>
      <c r="E1341" s="2" t="s">
        <v>15</v>
      </c>
      <c r="F1341" s="2" t="s">
        <v>34</v>
      </c>
      <c r="G1341" s="2" t="s">
        <v>24</v>
      </c>
      <c r="H1341">
        <v>58</v>
      </c>
      <c r="I1341" s="2" t="str">
        <f>TEXT(Sheet1[[#This Row],[claim_date]],"mmmm")</f>
        <v>June</v>
      </c>
      <c r="J1341" s="2">
        <f>YEAR(Sheet1[[#This Row],[claim_date]])</f>
        <v>2023</v>
      </c>
      <c r="K1341" s="2" t="str">
        <f>"Q"&amp;ROUNDUP(MONTH(Sheet1[[#This Row],[claim_date]])/3,0)</f>
        <v>Q2</v>
      </c>
      <c r="L1341" s="2" t="str">
        <f>IF(Sheet1[[#This Row],[claim_amount]]&lt;100000,"Low",IF(Sheet1[[#This Row],[claim_amount]]&lt;200000,"Medium","High"))</f>
        <v>High</v>
      </c>
      <c r="M1341" s="2" t="str">
        <f>IF(Sheet1[[#This Row],[days_to_process]]&lt;=30,"Fast","Slow")</f>
        <v>Slow</v>
      </c>
    </row>
    <row r="1342" spans="1:13" x14ac:dyDescent="0.3">
      <c r="A1342" t="s">
        <v>2445</v>
      </c>
      <c r="B1342" s="2" t="s">
        <v>2446</v>
      </c>
      <c r="C1342" s="1">
        <v>45111</v>
      </c>
      <c r="D1342" s="35">
        <v>380276.87</v>
      </c>
      <c r="E1342" s="2" t="s">
        <v>10</v>
      </c>
      <c r="F1342" s="2" t="s">
        <v>11</v>
      </c>
      <c r="G1342" s="2" t="s">
        <v>12</v>
      </c>
      <c r="H1342">
        <v>19</v>
      </c>
      <c r="I1342" s="2" t="str">
        <f>TEXT(Sheet1[[#This Row],[claim_date]],"mmmm")</f>
        <v>July</v>
      </c>
      <c r="J1342" s="2">
        <f>YEAR(Sheet1[[#This Row],[claim_date]])</f>
        <v>2023</v>
      </c>
      <c r="K1342" s="2" t="str">
        <f>"Q"&amp;ROUNDUP(MONTH(Sheet1[[#This Row],[claim_date]])/3,0)</f>
        <v>Q3</v>
      </c>
      <c r="L1342" s="2" t="str">
        <f>IF(Sheet1[[#This Row],[claim_amount]]&lt;100000,"Low",IF(Sheet1[[#This Row],[claim_amount]]&lt;200000,"Medium","High"))</f>
        <v>High</v>
      </c>
      <c r="M1342" s="2" t="str">
        <f>IF(Sheet1[[#This Row],[days_to_process]]&lt;=30,"Fast","Slow")</f>
        <v>Fast</v>
      </c>
    </row>
    <row r="1343" spans="1:13" x14ac:dyDescent="0.3">
      <c r="A1343" t="s">
        <v>2447</v>
      </c>
      <c r="B1343" s="2" t="s">
        <v>2448</v>
      </c>
      <c r="C1343" s="1">
        <v>45165</v>
      </c>
      <c r="D1343" s="35">
        <v>432633.92</v>
      </c>
      <c r="E1343" s="2" t="s">
        <v>15</v>
      </c>
      <c r="F1343" s="2" t="s">
        <v>20</v>
      </c>
      <c r="G1343" s="2" t="s">
        <v>24</v>
      </c>
      <c r="H1343">
        <v>12</v>
      </c>
      <c r="I1343" s="2" t="str">
        <f>TEXT(Sheet1[[#This Row],[claim_date]],"mmmm")</f>
        <v>August</v>
      </c>
      <c r="J1343" s="2">
        <f>YEAR(Sheet1[[#This Row],[claim_date]])</f>
        <v>2023</v>
      </c>
      <c r="K1343" s="2" t="str">
        <f>"Q"&amp;ROUNDUP(MONTH(Sheet1[[#This Row],[claim_date]])/3,0)</f>
        <v>Q3</v>
      </c>
      <c r="L1343" s="2" t="str">
        <f>IF(Sheet1[[#This Row],[claim_amount]]&lt;100000,"Low",IF(Sheet1[[#This Row],[claim_amount]]&lt;200000,"Medium","High"))</f>
        <v>High</v>
      </c>
      <c r="M1343" s="2" t="str">
        <f>IF(Sheet1[[#This Row],[days_to_process]]&lt;=30,"Fast","Slow")</f>
        <v>Fast</v>
      </c>
    </row>
    <row r="1344" spans="1:13" x14ac:dyDescent="0.3">
      <c r="A1344" t="s">
        <v>2449</v>
      </c>
      <c r="B1344" s="2" t="s">
        <v>2450</v>
      </c>
      <c r="C1344" s="1">
        <v>45662</v>
      </c>
      <c r="D1344" s="35">
        <v>332183.23</v>
      </c>
      <c r="E1344" s="2" t="s">
        <v>10</v>
      </c>
      <c r="F1344" s="2" t="s">
        <v>16</v>
      </c>
      <c r="G1344" s="2" t="s">
        <v>12</v>
      </c>
      <c r="H1344">
        <v>12</v>
      </c>
      <c r="I1344" s="2" t="str">
        <f>TEXT(Sheet1[[#This Row],[claim_date]],"mmmm")</f>
        <v>January</v>
      </c>
      <c r="J1344" s="2">
        <f>YEAR(Sheet1[[#This Row],[claim_date]])</f>
        <v>2025</v>
      </c>
      <c r="K1344" s="2" t="str">
        <f>"Q"&amp;ROUNDUP(MONTH(Sheet1[[#This Row],[claim_date]])/3,0)</f>
        <v>Q1</v>
      </c>
      <c r="L1344" s="2" t="str">
        <f>IF(Sheet1[[#This Row],[claim_amount]]&lt;100000,"Low",IF(Sheet1[[#This Row],[claim_amount]]&lt;200000,"Medium","High"))</f>
        <v>High</v>
      </c>
      <c r="M1344" s="2" t="str">
        <f>IF(Sheet1[[#This Row],[days_to_process]]&lt;=30,"Fast","Slow")</f>
        <v>Fast</v>
      </c>
    </row>
    <row r="1345" spans="1:13" x14ac:dyDescent="0.3">
      <c r="A1345" t="s">
        <v>2451</v>
      </c>
      <c r="B1345" s="2" t="s">
        <v>2452</v>
      </c>
      <c r="C1345" s="1">
        <v>45074</v>
      </c>
      <c r="D1345" s="35">
        <v>283987.96999999997</v>
      </c>
      <c r="E1345" s="2" t="s">
        <v>15</v>
      </c>
      <c r="F1345" s="2" t="s">
        <v>16</v>
      </c>
      <c r="G1345" s="2" t="s">
        <v>24</v>
      </c>
      <c r="H1345">
        <v>38</v>
      </c>
      <c r="I1345" s="2" t="str">
        <f>TEXT(Sheet1[[#This Row],[claim_date]],"mmmm")</f>
        <v>May</v>
      </c>
      <c r="J1345" s="2">
        <f>YEAR(Sheet1[[#This Row],[claim_date]])</f>
        <v>2023</v>
      </c>
      <c r="K1345" s="2" t="str">
        <f>"Q"&amp;ROUNDUP(MONTH(Sheet1[[#This Row],[claim_date]])/3,0)</f>
        <v>Q2</v>
      </c>
      <c r="L1345" s="2" t="str">
        <f>IF(Sheet1[[#This Row],[claim_amount]]&lt;100000,"Low",IF(Sheet1[[#This Row],[claim_amount]]&lt;200000,"Medium","High"))</f>
        <v>High</v>
      </c>
      <c r="M1345" s="2" t="str">
        <f>IF(Sheet1[[#This Row],[days_to_process]]&lt;=30,"Fast","Slow")</f>
        <v>Slow</v>
      </c>
    </row>
    <row r="1346" spans="1:13" x14ac:dyDescent="0.3">
      <c r="A1346" t="s">
        <v>2453</v>
      </c>
      <c r="B1346" s="2" t="s">
        <v>2454</v>
      </c>
      <c r="C1346" s="1">
        <v>45579</v>
      </c>
      <c r="D1346" s="35">
        <v>229787.85</v>
      </c>
      <c r="E1346" s="2" t="s">
        <v>10</v>
      </c>
      <c r="F1346" s="2" t="s">
        <v>34</v>
      </c>
      <c r="G1346" s="2" t="s">
        <v>24</v>
      </c>
      <c r="H1346">
        <v>17</v>
      </c>
      <c r="I1346" s="2" t="str">
        <f>TEXT(Sheet1[[#This Row],[claim_date]],"mmmm")</f>
        <v>October</v>
      </c>
      <c r="J1346" s="2">
        <f>YEAR(Sheet1[[#This Row],[claim_date]])</f>
        <v>2024</v>
      </c>
      <c r="K1346" s="2" t="str">
        <f>"Q"&amp;ROUNDUP(MONTH(Sheet1[[#This Row],[claim_date]])/3,0)</f>
        <v>Q4</v>
      </c>
      <c r="L1346" s="2" t="str">
        <f>IF(Sheet1[[#This Row],[claim_amount]]&lt;100000,"Low",IF(Sheet1[[#This Row],[claim_amount]]&lt;200000,"Medium","High"))</f>
        <v>High</v>
      </c>
      <c r="M1346" s="2" t="str">
        <f>IF(Sheet1[[#This Row],[days_to_process]]&lt;=30,"Fast","Slow")</f>
        <v>Fast</v>
      </c>
    </row>
    <row r="1347" spans="1:13" x14ac:dyDescent="0.3">
      <c r="A1347" t="s">
        <v>2455</v>
      </c>
      <c r="B1347" s="2" t="s">
        <v>2456</v>
      </c>
      <c r="C1347" s="1">
        <v>45592</v>
      </c>
      <c r="D1347" s="35">
        <v>396898.79</v>
      </c>
      <c r="E1347" s="2" t="s">
        <v>15</v>
      </c>
      <c r="F1347" s="2" t="s">
        <v>11</v>
      </c>
      <c r="G1347" s="2" t="s">
        <v>12</v>
      </c>
      <c r="H1347">
        <v>31</v>
      </c>
      <c r="I1347" s="2" t="str">
        <f>TEXT(Sheet1[[#This Row],[claim_date]],"mmmm")</f>
        <v>October</v>
      </c>
      <c r="J1347" s="2">
        <f>YEAR(Sheet1[[#This Row],[claim_date]])</f>
        <v>2024</v>
      </c>
      <c r="K1347" s="2" t="str">
        <f>"Q"&amp;ROUNDUP(MONTH(Sheet1[[#This Row],[claim_date]])/3,0)</f>
        <v>Q4</v>
      </c>
      <c r="L1347" s="2" t="str">
        <f>IF(Sheet1[[#This Row],[claim_amount]]&lt;100000,"Low",IF(Sheet1[[#This Row],[claim_amount]]&lt;200000,"Medium","High"))</f>
        <v>High</v>
      </c>
      <c r="M1347" s="2" t="str">
        <f>IF(Sheet1[[#This Row],[days_to_process]]&lt;=30,"Fast","Slow")</f>
        <v>Slow</v>
      </c>
    </row>
    <row r="1348" spans="1:13" x14ac:dyDescent="0.3">
      <c r="A1348" t="s">
        <v>2457</v>
      </c>
      <c r="B1348" s="2" t="s">
        <v>2458</v>
      </c>
      <c r="C1348" s="1">
        <v>45346</v>
      </c>
      <c r="D1348" s="35">
        <v>452468.82</v>
      </c>
      <c r="E1348" s="2" t="s">
        <v>19</v>
      </c>
      <c r="F1348" s="2" t="s">
        <v>34</v>
      </c>
      <c r="G1348" s="2" t="s">
        <v>24</v>
      </c>
      <c r="H1348">
        <v>27</v>
      </c>
      <c r="I1348" s="2" t="str">
        <f>TEXT(Sheet1[[#This Row],[claim_date]],"mmmm")</f>
        <v>February</v>
      </c>
      <c r="J1348" s="2">
        <f>YEAR(Sheet1[[#This Row],[claim_date]])</f>
        <v>2024</v>
      </c>
      <c r="K1348" s="2" t="str">
        <f>"Q"&amp;ROUNDUP(MONTH(Sheet1[[#This Row],[claim_date]])/3,0)</f>
        <v>Q1</v>
      </c>
      <c r="L1348" s="2" t="str">
        <f>IF(Sheet1[[#This Row],[claim_amount]]&lt;100000,"Low",IF(Sheet1[[#This Row],[claim_amount]]&lt;200000,"Medium","High"))</f>
        <v>High</v>
      </c>
      <c r="M1348" s="2" t="str">
        <f>IF(Sheet1[[#This Row],[days_to_process]]&lt;=30,"Fast","Slow")</f>
        <v>Fast</v>
      </c>
    </row>
    <row r="1349" spans="1:13" x14ac:dyDescent="0.3">
      <c r="A1349" t="s">
        <v>2459</v>
      </c>
      <c r="B1349" s="2" t="s">
        <v>2460</v>
      </c>
      <c r="C1349" s="1">
        <v>44759</v>
      </c>
      <c r="D1349" s="35">
        <v>13090.82</v>
      </c>
      <c r="E1349" s="2" t="s">
        <v>10</v>
      </c>
      <c r="F1349" s="2" t="s">
        <v>16</v>
      </c>
      <c r="G1349" s="2" t="s">
        <v>12</v>
      </c>
      <c r="H1349">
        <v>31</v>
      </c>
      <c r="I1349" s="2" t="str">
        <f>TEXT(Sheet1[[#This Row],[claim_date]],"mmmm")</f>
        <v>July</v>
      </c>
      <c r="J1349" s="2">
        <f>YEAR(Sheet1[[#This Row],[claim_date]])</f>
        <v>2022</v>
      </c>
      <c r="K1349" s="2" t="str">
        <f>"Q"&amp;ROUNDUP(MONTH(Sheet1[[#This Row],[claim_date]])/3,0)</f>
        <v>Q3</v>
      </c>
      <c r="L1349" s="2" t="str">
        <f>IF(Sheet1[[#This Row],[claim_amount]]&lt;100000,"Low",IF(Sheet1[[#This Row],[claim_amount]]&lt;200000,"Medium","High"))</f>
        <v>Low</v>
      </c>
      <c r="M1349" s="2" t="str">
        <f>IF(Sheet1[[#This Row],[days_to_process]]&lt;=30,"Fast","Slow")</f>
        <v>Slow</v>
      </c>
    </row>
    <row r="1350" spans="1:13" x14ac:dyDescent="0.3">
      <c r="A1350" t="s">
        <v>2461</v>
      </c>
      <c r="B1350" s="2" t="s">
        <v>2462</v>
      </c>
      <c r="C1350" s="1">
        <v>45263</v>
      </c>
      <c r="D1350" s="35">
        <v>330665.71000000002</v>
      </c>
      <c r="E1350" s="2" t="s">
        <v>15</v>
      </c>
      <c r="F1350" s="2" t="s">
        <v>23</v>
      </c>
      <c r="G1350" s="2" t="s">
        <v>24</v>
      </c>
      <c r="H1350">
        <v>32</v>
      </c>
      <c r="I1350" s="2" t="str">
        <f>TEXT(Sheet1[[#This Row],[claim_date]],"mmmm")</f>
        <v>December</v>
      </c>
      <c r="J1350" s="2">
        <f>YEAR(Sheet1[[#This Row],[claim_date]])</f>
        <v>2023</v>
      </c>
      <c r="K1350" s="2" t="str">
        <f>"Q"&amp;ROUNDUP(MONTH(Sheet1[[#This Row],[claim_date]])/3,0)</f>
        <v>Q4</v>
      </c>
      <c r="L1350" s="2" t="str">
        <f>IF(Sheet1[[#This Row],[claim_amount]]&lt;100000,"Low",IF(Sheet1[[#This Row],[claim_amount]]&lt;200000,"Medium","High"))</f>
        <v>High</v>
      </c>
      <c r="M1350" s="2" t="str">
        <f>IF(Sheet1[[#This Row],[days_to_process]]&lt;=30,"Fast","Slow")</f>
        <v>Slow</v>
      </c>
    </row>
    <row r="1351" spans="1:13" x14ac:dyDescent="0.3">
      <c r="A1351" t="s">
        <v>2463</v>
      </c>
      <c r="B1351" s="2" t="s">
        <v>2464</v>
      </c>
      <c r="C1351" s="1">
        <v>44467</v>
      </c>
      <c r="D1351" s="35">
        <v>490082.3</v>
      </c>
      <c r="E1351" s="2" t="s">
        <v>10</v>
      </c>
      <c r="F1351" s="2" t="s">
        <v>20</v>
      </c>
      <c r="G1351" s="2" t="s">
        <v>24</v>
      </c>
      <c r="H1351">
        <v>49</v>
      </c>
      <c r="I1351" s="2" t="str">
        <f>TEXT(Sheet1[[#This Row],[claim_date]],"mmmm")</f>
        <v>September</v>
      </c>
      <c r="J1351" s="2">
        <f>YEAR(Sheet1[[#This Row],[claim_date]])</f>
        <v>2021</v>
      </c>
      <c r="K1351" s="2" t="str">
        <f>"Q"&amp;ROUNDUP(MONTH(Sheet1[[#This Row],[claim_date]])/3,0)</f>
        <v>Q3</v>
      </c>
      <c r="L1351" s="2" t="str">
        <f>IF(Sheet1[[#This Row],[claim_amount]]&lt;100000,"Low",IF(Sheet1[[#This Row],[claim_amount]]&lt;200000,"Medium","High"))</f>
        <v>High</v>
      </c>
      <c r="M1351" s="2" t="str">
        <f>IF(Sheet1[[#This Row],[days_to_process]]&lt;=30,"Fast","Slow")</f>
        <v>Slow</v>
      </c>
    </row>
    <row r="1352" spans="1:13" x14ac:dyDescent="0.3">
      <c r="A1352" t="s">
        <v>2465</v>
      </c>
      <c r="B1352" s="2" t="s">
        <v>2466</v>
      </c>
      <c r="C1352" s="1">
        <v>44548</v>
      </c>
      <c r="D1352" s="35">
        <v>200612.35</v>
      </c>
      <c r="E1352" s="2" t="s">
        <v>10</v>
      </c>
      <c r="F1352" s="2" t="s">
        <v>20</v>
      </c>
      <c r="G1352" s="2" t="s">
        <v>24</v>
      </c>
      <c r="H1352">
        <v>42</v>
      </c>
      <c r="I1352" s="2" t="str">
        <f>TEXT(Sheet1[[#This Row],[claim_date]],"mmmm")</f>
        <v>December</v>
      </c>
      <c r="J1352" s="2">
        <f>YEAR(Sheet1[[#This Row],[claim_date]])</f>
        <v>2021</v>
      </c>
      <c r="K1352" s="2" t="str">
        <f>"Q"&amp;ROUNDUP(MONTH(Sheet1[[#This Row],[claim_date]])/3,0)</f>
        <v>Q4</v>
      </c>
      <c r="L1352" s="2" t="str">
        <f>IF(Sheet1[[#This Row],[claim_amount]]&lt;100000,"Low",IF(Sheet1[[#This Row],[claim_amount]]&lt;200000,"Medium","High"))</f>
        <v>High</v>
      </c>
      <c r="M1352" s="2" t="str">
        <f>IF(Sheet1[[#This Row],[days_to_process]]&lt;=30,"Fast","Slow")</f>
        <v>Slow</v>
      </c>
    </row>
    <row r="1353" spans="1:13" x14ac:dyDescent="0.3">
      <c r="A1353" t="s">
        <v>2467</v>
      </c>
      <c r="B1353" s="2" t="s">
        <v>2468</v>
      </c>
      <c r="C1353" s="1">
        <v>44900</v>
      </c>
      <c r="D1353" s="35">
        <v>357103.01</v>
      </c>
      <c r="E1353" s="2" t="s">
        <v>19</v>
      </c>
      <c r="F1353" s="2" t="s">
        <v>20</v>
      </c>
      <c r="G1353" s="2" t="s">
        <v>24</v>
      </c>
      <c r="H1353">
        <v>18</v>
      </c>
      <c r="I1353" s="2" t="str">
        <f>TEXT(Sheet1[[#This Row],[claim_date]],"mmmm")</f>
        <v>December</v>
      </c>
      <c r="J1353" s="2">
        <f>YEAR(Sheet1[[#This Row],[claim_date]])</f>
        <v>2022</v>
      </c>
      <c r="K1353" s="2" t="str">
        <f>"Q"&amp;ROUNDUP(MONTH(Sheet1[[#This Row],[claim_date]])/3,0)</f>
        <v>Q4</v>
      </c>
      <c r="L1353" s="2" t="str">
        <f>IF(Sheet1[[#This Row],[claim_amount]]&lt;100000,"Low",IF(Sheet1[[#This Row],[claim_amount]]&lt;200000,"Medium","High"))</f>
        <v>High</v>
      </c>
      <c r="M1353" s="2" t="str">
        <f>IF(Sheet1[[#This Row],[days_to_process]]&lt;=30,"Fast","Slow")</f>
        <v>Fast</v>
      </c>
    </row>
    <row r="1354" spans="1:13" x14ac:dyDescent="0.3">
      <c r="A1354" t="s">
        <v>2469</v>
      </c>
      <c r="B1354" s="2" t="s">
        <v>2470</v>
      </c>
      <c r="C1354" s="1">
        <v>45374</v>
      </c>
      <c r="D1354" s="35">
        <v>137972.62</v>
      </c>
      <c r="E1354" s="2" t="s">
        <v>15</v>
      </c>
      <c r="F1354" s="2" t="s">
        <v>23</v>
      </c>
      <c r="G1354" s="2" t="s">
        <v>12</v>
      </c>
      <c r="H1354">
        <v>37</v>
      </c>
      <c r="I1354" s="2" t="str">
        <f>TEXT(Sheet1[[#This Row],[claim_date]],"mmmm")</f>
        <v>March</v>
      </c>
      <c r="J1354" s="2">
        <f>YEAR(Sheet1[[#This Row],[claim_date]])</f>
        <v>2024</v>
      </c>
      <c r="K1354" s="2" t="str">
        <f>"Q"&amp;ROUNDUP(MONTH(Sheet1[[#This Row],[claim_date]])/3,0)</f>
        <v>Q1</v>
      </c>
      <c r="L1354" s="2" t="str">
        <f>IF(Sheet1[[#This Row],[claim_amount]]&lt;100000,"Low",IF(Sheet1[[#This Row],[claim_amount]]&lt;200000,"Medium","High"))</f>
        <v>Medium</v>
      </c>
      <c r="M1354" s="2" t="str">
        <f>IF(Sheet1[[#This Row],[days_to_process]]&lt;=30,"Fast","Slow")</f>
        <v>Slow</v>
      </c>
    </row>
    <row r="1355" spans="1:13" x14ac:dyDescent="0.3">
      <c r="A1355" t="s">
        <v>2471</v>
      </c>
      <c r="B1355" s="2" t="s">
        <v>2472</v>
      </c>
      <c r="C1355" s="1">
        <v>45233</v>
      </c>
      <c r="D1355" s="35">
        <v>133140.79999999999</v>
      </c>
      <c r="E1355" s="2" t="s">
        <v>10</v>
      </c>
      <c r="F1355" s="2" t="s">
        <v>11</v>
      </c>
      <c r="G1355" s="2" t="s">
        <v>24</v>
      </c>
      <c r="H1355">
        <v>11</v>
      </c>
      <c r="I1355" s="2" t="str">
        <f>TEXT(Sheet1[[#This Row],[claim_date]],"mmmm")</f>
        <v>November</v>
      </c>
      <c r="J1355" s="2">
        <f>YEAR(Sheet1[[#This Row],[claim_date]])</f>
        <v>2023</v>
      </c>
      <c r="K1355" s="2" t="str">
        <f>"Q"&amp;ROUNDUP(MONTH(Sheet1[[#This Row],[claim_date]])/3,0)</f>
        <v>Q4</v>
      </c>
      <c r="L1355" s="2" t="str">
        <f>IF(Sheet1[[#This Row],[claim_amount]]&lt;100000,"Low",IF(Sheet1[[#This Row],[claim_amount]]&lt;200000,"Medium","High"))</f>
        <v>Medium</v>
      </c>
      <c r="M1355" s="2" t="str">
        <f>IF(Sheet1[[#This Row],[days_to_process]]&lt;=30,"Fast","Slow")</f>
        <v>Fast</v>
      </c>
    </row>
    <row r="1356" spans="1:13" x14ac:dyDescent="0.3">
      <c r="A1356" t="s">
        <v>2473</v>
      </c>
      <c r="B1356" s="2" t="s">
        <v>2474</v>
      </c>
      <c r="C1356" s="1">
        <v>45108</v>
      </c>
      <c r="D1356" s="35">
        <v>310170.56</v>
      </c>
      <c r="E1356" s="2" t="s">
        <v>19</v>
      </c>
      <c r="F1356" s="2" t="s">
        <v>20</v>
      </c>
      <c r="G1356" s="2" t="s">
        <v>24</v>
      </c>
      <c r="H1356">
        <v>42</v>
      </c>
      <c r="I1356" s="2" t="str">
        <f>TEXT(Sheet1[[#This Row],[claim_date]],"mmmm")</f>
        <v>July</v>
      </c>
      <c r="J1356" s="2">
        <f>YEAR(Sheet1[[#This Row],[claim_date]])</f>
        <v>2023</v>
      </c>
      <c r="K1356" s="2" t="str">
        <f>"Q"&amp;ROUNDUP(MONTH(Sheet1[[#This Row],[claim_date]])/3,0)</f>
        <v>Q3</v>
      </c>
      <c r="L1356" s="2" t="str">
        <f>IF(Sheet1[[#This Row],[claim_amount]]&lt;100000,"Low",IF(Sheet1[[#This Row],[claim_amount]]&lt;200000,"Medium","High"))</f>
        <v>High</v>
      </c>
      <c r="M1356" s="2" t="str">
        <f>IF(Sheet1[[#This Row],[days_to_process]]&lt;=30,"Fast","Slow")</f>
        <v>Slow</v>
      </c>
    </row>
    <row r="1357" spans="1:13" x14ac:dyDescent="0.3">
      <c r="A1357" t="s">
        <v>2475</v>
      </c>
      <c r="B1357" s="2" t="s">
        <v>2157</v>
      </c>
      <c r="C1357" s="1">
        <v>45532</v>
      </c>
      <c r="D1357" s="35">
        <v>353894.27</v>
      </c>
      <c r="E1357" s="2" t="s">
        <v>15</v>
      </c>
      <c r="F1357" s="2" t="s">
        <v>20</v>
      </c>
      <c r="G1357" s="2" t="s">
        <v>12</v>
      </c>
      <c r="H1357">
        <v>39</v>
      </c>
      <c r="I1357" s="2" t="str">
        <f>TEXT(Sheet1[[#This Row],[claim_date]],"mmmm")</f>
        <v>August</v>
      </c>
      <c r="J1357" s="2">
        <f>YEAR(Sheet1[[#This Row],[claim_date]])</f>
        <v>2024</v>
      </c>
      <c r="K1357" s="2" t="str">
        <f>"Q"&amp;ROUNDUP(MONTH(Sheet1[[#This Row],[claim_date]])/3,0)</f>
        <v>Q3</v>
      </c>
      <c r="L1357" s="2" t="str">
        <f>IF(Sheet1[[#This Row],[claim_amount]]&lt;100000,"Low",IF(Sheet1[[#This Row],[claim_amount]]&lt;200000,"Medium","High"))</f>
        <v>High</v>
      </c>
      <c r="M1357" s="2" t="str">
        <f>IF(Sheet1[[#This Row],[days_to_process]]&lt;=30,"Fast","Slow")</f>
        <v>Slow</v>
      </c>
    </row>
    <row r="1358" spans="1:13" x14ac:dyDescent="0.3">
      <c r="A1358" t="s">
        <v>2476</v>
      </c>
      <c r="B1358" s="2" t="s">
        <v>2477</v>
      </c>
      <c r="C1358" s="1">
        <v>45471</v>
      </c>
      <c r="D1358" s="35">
        <v>383911.55</v>
      </c>
      <c r="E1358" s="2" t="s">
        <v>19</v>
      </c>
      <c r="F1358" s="2" t="s">
        <v>11</v>
      </c>
      <c r="G1358" s="2" t="s">
        <v>12</v>
      </c>
      <c r="H1358">
        <v>25</v>
      </c>
      <c r="I1358" s="2" t="str">
        <f>TEXT(Sheet1[[#This Row],[claim_date]],"mmmm")</f>
        <v>June</v>
      </c>
      <c r="J1358" s="2">
        <f>YEAR(Sheet1[[#This Row],[claim_date]])</f>
        <v>2024</v>
      </c>
      <c r="K1358" s="2" t="str">
        <f>"Q"&amp;ROUNDUP(MONTH(Sheet1[[#This Row],[claim_date]])/3,0)</f>
        <v>Q2</v>
      </c>
      <c r="L1358" s="2" t="str">
        <f>IF(Sheet1[[#This Row],[claim_amount]]&lt;100000,"Low",IF(Sheet1[[#This Row],[claim_amount]]&lt;200000,"Medium","High"))</f>
        <v>High</v>
      </c>
      <c r="M1358" s="2" t="str">
        <f>IF(Sheet1[[#This Row],[days_to_process]]&lt;=30,"Fast","Slow")</f>
        <v>Fast</v>
      </c>
    </row>
    <row r="1359" spans="1:13" x14ac:dyDescent="0.3">
      <c r="A1359" t="s">
        <v>2478</v>
      </c>
      <c r="B1359" s="2" t="s">
        <v>1056</v>
      </c>
      <c r="C1359" s="1">
        <v>45203</v>
      </c>
      <c r="D1359" s="35">
        <v>267934.13</v>
      </c>
      <c r="E1359" s="2" t="s">
        <v>15</v>
      </c>
      <c r="F1359" s="2" t="s">
        <v>34</v>
      </c>
      <c r="G1359" s="2" t="s">
        <v>12</v>
      </c>
      <c r="H1359">
        <v>48</v>
      </c>
      <c r="I1359" s="2" t="str">
        <f>TEXT(Sheet1[[#This Row],[claim_date]],"mmmm")</f>
        <v>October</v>
      </c>
      <c r="J1359" s="2">
        <f>YEAR(Sheet1[[#This Row],[claim_date]])</f>
        <v>2023</v>
      </c>
      <c r="K1359" s="2" t="str">
        <f>"Q"&amp;ROUNDUP(MONTH(Sheet1[[#This Row],[claim_date]])/3,0)</f>
        <v>Q4</v>
      </c>
      <c r="L1359" s="2" t="str">
        <f>IF(Sheet1[[#This Row],[claim_amount]]&lt;100000,"Low",IF(Sheet1[[#This Row],[claim_amount]]&lt;200000,"Medium","High"))</f>
        <v>High</v>
      </c>
      <c r="M1359" s="2" t="str">
        <f>IF(Sheet1[[#This Row],[days_to_process]]&lt;=30,"Fast","Slow")</f>
        <v>Slow</v>
      </c>
    </row>
    <row r="1360" spans="1:13" x14ac:dyDescent="0.3">
      <c r="A1360" t="s">
        <v>2479</v>
      </c>
      <c r="B1360" s="2" t="s">
        <v>2480</v>
      </c>
      <c r="C1360" s="1">
        <v>45045</v>
      </c>
      <c r="D1360" s="35">
        <v>306316.33</v>
      </c>
      <c r="E1360" s="2" t="s">
        <v>15</v>
      </c>
      <c r="F1360" s="2" t="s">
        <v>34</v>
      </c>
      <c r="G1360" s="2" t="s">
        <v>24</v>
      </c>
      <c r="H1360">
        <v>59</v>
      </c>
      <c r="I1360" s="2" t="str">
        <f>TEXT(Sheet1[[#This Row],[claim_date]],"mmmm")</f>
        <v>April</v>
      </c>
      <c r="J1360" s="2">
        <f>YEAR(Sheet1[[#This Row],[claim_date]])</f>
        <v>2023</v>
      </c>
      <c r="K1360" s="2" t="str">
        <f>"Q"&amp;ROUNDUP(MONTH(Sheet1[[#This Row],[claim_date]])/3,0)</f>
        <v>Q2</v>
      </c>
      <c r="L1360" s="2" t="str">
        <f>IF(Sheet1[[#This Row],[claim_amount]]&lt;100000,"Low",IF(Sheet1[[#This Row],[claim_amount]]&lt;200000,"Medium","High"))</f>
        <v>High</v>
      </c>
      <c r="M1360" s="2" t="str">
        <f>IF(Sheet1[[#This Row],[days_to_process]]&lt;=30,"Fast","Slow")</f>
        <v>Slow</v>
      </c>
    </row>
    <row r="1361" spans="1:13" x14ac:dyDescent="0.3">
      <c r="A1361" t="s">
        <v>2481</v>
      </c>
      <c r="B1361" s="2" t="s">
        <v>2482</v>
      </c>
      <c r="C1361" s="1">
        <v>45242</v>
      </c>
      <c r="D1361" s="35">
        <v>47123.31</v>
      </c>
      <c r="E1361" s="2" t="s">
        <v>15</v>
      </c>
      <c r="F1361" s="2" t="s">
        <v>23</v>
      </c>
      <c r="G1361" s="2" t="s">
        <v>24</v>
      </c>
      <c r="H1361">
        <v>34</v>
      </c>
      <c r="I1361" s="2" t="str">
        <f>TEXT(Sheet1[[#This Row],[claim_date]],"mmmm")</f>
        <v>November</v>
      </c>
      <c r="J1361" s="2">
        <f>YEAR(Sheet1[[#This Row],[claim_date]])</f>
        <v>2023</v>
      </c>
      <c r="K1361" s="2" t="str">
        <f>"Q"&amp;ROUNDUP(MONTH(Sheet1[[#This Row],[claim_date]])/3,0)</f>
        <v>Q4</v>
      </c>
      <c r="L1361" s="2" t="str">
        <f>IF(Sheet1[[#This Row],[claim_amount]]&lt;100000,"Low",IF(Sheet1[[#This Row],[claim_amount]]&lt;200000,"Medium","High"))</f>
        <v>Low</v>
      </c>
      <c r="M1361" s="2" t="str">
        <f>IF(Sheet1[[#This Row],[days_to_process]]&lt;=30,"Fast","Slow")</f>
        <v>Slow</v>
      </c>
    </row>
    <row r="1362" spans="1:13" x14ac:dyDescent="0.3">
      <c r="A1362" t="s">
        <v>2483</v>
      </c>
      <c r="B1362" s="2" t="s">
        <v>2484</v>
      </c>
      <c r="C1362" s="1">
        <v>44942</v>
      </c>
      <c r="D1362" s="35">
        <v>169159.85</v>
      </c>
      <c r="E1362" s="2" t="s">
        <v>10</v>
      </c>
      <c r="F1362" s="2" t="s">
        <v>34</v>
      </c>
      <c r="G1362" s="2" t="s">
        <v>12</v>
      </c>
      <c r="H1362">
        <v>45</v>
      </c>
      <c r="I1362" s="2" t="str">
        <f>TEXT(Sheet1[[#This Row],[claim_date]],"mmmm")</f>
        <v>January</v>
      </c>
      <c r="J1362" s="2">
        <f>YEAR(Sheet1[[#This Row],[claim_date]])</f>
        <v>2023</v>
      </c>
      <c r="K1362" s="2" t="str">
        <f>"Q"&amp;ROUNDUP(MONTH(Sheet1[[#This Row],[claim_date]])/3,0)</f>
        <v>Q1</v>
      </c>
      <c r="L1362" s="2" t="str">
        <f>IF(Sheet1[[#This Row],[claim_amount]]&lt;100000,"Low",IF(Sheet1[[#This Row],[claim_amount]]&lt;200000,"Medium","High"))</f>
        <v>Medium</v>
      </c>
      <c r="M1362" s="2" t="str">
        <f>IF(Sheet1[[#This Row],[days_to_process]]&lt;=30,"Fast","Slow")</f>
        <v>Slow</v>
      </c>
    </row>
    <row r="1363" spans="1:13" x14ac:dyDescent="0.3">
      <c r="A1363" t="s">
        <v>2485</v>
      </c>
      <c r="B1363" s="2" t="s">
        <v>557</v>
      </c>
      <c r="C1363" s="1">
        <v>45296</v>
      </c>
      <c r="D1363" s="35">
        <v>203702.43</v>
      </c>
      <c r="E1363" s="2" t="s">
        <v>19</v>
      </c>
      <c r="F1363" s="2" t="s">
        <v>11</v>
      </c>
      <c r="G1363" s="2" t="s">
        <v>12</v>
      </c>
      <c r="H1363">
        <v>17</v>
      </c>
      <c r="I1363" s="2" t="str">
        <f>TEXT(Sheet1[[#This Row],[claim_date]],"mmmm")</f>
        <v>January</v>
      </c>
      <c r="J1363" s="2">
        <f>YEAR(Sheet1[[#This Row],[claim_date]])</f>
        <v>2024</v>
      </c>
      <c r="K1363" s="2" t="str">
        <f>"Q"&amp;ROUNDUP(MONTH(Sheet1[[#This Row],[claim_date]])/3,0)</f>
        <v>Q1</v>
      </c>
      <c r="L1363" s="2" t="str">
        <f>IF(Sheet1[[#This Row],[claim_amount]]&lt;100000,"Low",IF(Sheet1[[#This Row],[claim_amount]]&lt;200000,"Medium","High"))</f>
        <v>High</v>
      </c>
      <c r="M1363" s="2" t="str">
        <f>IF(Sheet1[[#This Row],[days_to_process]]&lt;=30,"Fast","Slow")</f>
        <v>Fast</v>
      </c>
    </row>
    <row r="1364" spans="1:13" x14ac:dyDescent="0.3">
      <c r="A1364" t="s">
        <v>2486</v>
      </c>
      <c r="B1364" s="2" t="s">
        <v>1814</v>
      </c>
      <c r="C1364" s="1">
        <v>45209</v>
      </c>
      <c r="D1364" s="35">
        <v>490321.32</v>
      </c>
      <c r="E1364" s="2" t="s">
        <v>19</v>
      </c>
      <c r="F1364" s="2" t="s">
        <v>11</v>
      </c>
      <c r="G1364" s="2" t="s">
        <v>12</v>
      </c>
      <c r="H1364">
        <v>8</v>
      </c>
      <c r="I1364" s="2" t="str">
        <f>TEXT(Sheet1[[#This Row],[claim_date]],"mmmm")</f>
        <v>October</v>
      </c>
      <c r="J1364" s="2">
        <f>YEAR(Sheet1[[#This Row],[claim_date]])</f>
        <v>2023</v>
      </c>
      <c r="K1364" s="2" t="str">
        <f>"Q"&amp;ROUNDUP(MONTH(Sheet1[[#This Row],[claim_date]])/3,0)</f>
        <v>Q4</v>
      </c>
      <c r="L1364" s="2" t="str">
        <f>IF(Sheet1[[#This Row],[claim_amount]]&lt;100000,"Low",IF(Sheet1[[#This Row],[claim_amount]]&lt;200000,"Medium","High"))</f>
        <v>High</v>
      </c>
      <c r="M1364" s="2" t="str">
        <f>IF(Sheet1[[#This Row],[days_to_process]]&lt;=30,"Fast","Slow")</f>
        <v>Fast</v>
      </c>
    </row>
    <row r="1365" spans="1:13" x14ac:dyDescent="0.3">
      <c r="A1365" t="s">
        <v>2487</v>
      </c>
      <c r="B1365" s="2" t="s">
        <v>1506</v>
      </c>
      <c r="C1365" s="1">
        <v>45287</v>
      </c>
      <c r="D1365" s="35">
        <v>346264.63</v>
      </c>
      <c r="E1365" s="2" t="s">
        <v>19</v>
      </c>
      <c r="F1365" s="2" t="s">
        <v>11</v>
      </c>
      <c r="G1365" s="2" t="s">
        <v>12</v>
      </c>
      <c r="H1365">
        <v>27</v>
      </c>
      <c r="I1365" s="2" t="str">
        <f>TEXT(Sheet1[[#This Row],[claim_date]],"mmmm")</f>
        <v>December</v>
      </c>
      <c r="J1365" s="2">
        <f>YEAR(Sheet1[[#This Row],[claim_date]])</f>
        <v>2023</v>
      </c>
      <c r="K1365" s="2" t="str">
        <f>"Q"&amp;ROUNDUP(MONTH(Sheet1[[#This Row],[claim_date]])/3,0)</f>
        <v>Q4</v>
      </c>
      <c r="L1365" s="2" t="str">
        <f>IF(Sheet1[[#This Row],[claim_amount]]&lt;100000,"Low",IF(Sheet1[[#This Row],[claim_amount]]&lt;200000,"Medium","High"))</f>
        <v>High</v>
      </c>
      <c r="M1365" s="2" t="str">
        <f>IF(Sheet1[[#This Row],[days_to_process]]&lt;=30,"Fast","Slow")</f>
        <v>Fast</v>
      </c>
    </row>
    <row r="1366" spans="1:13" x14ac:dyDescent="0.3">
      <c r="A1366" t="s">
        <v>2488</v>
      </c>
      <c r="B1366" s="2" t="s">
        <v>1058</v>
      </c>
      <c r="C1366" s="1">
        <v>44980</v>
      </c>
      <c r="D1366" s="35">
        <v>67283.679999999993</v>
      </c>
      <c r="E1366" s="2" t="s">
        <v>19</v>
      </c>
      <c r="F1366" s="2" t="s">
        <v>11</v>
      </c>
      <c r="G1366" s="2" t="s">
        <v>12</v>
      </c>
      <c r="H1366">
        <v>33</v>
      </c>
      <c r="I1366" s="2" t="str">
        <f>TEXT(Sheet1[[#This Row],[claim_date]],"mmmm")</f>
        <v>February</v>
      </c>
      <c r="J1366" s="2">
        <f>YEAR(Sheet1[[#This Row],[claim_date]])</f>
        <v>2023</v>
      </c>
      <c r="K1366" s="2" t="str">
        <f>"Q"&amp;ROUNDUP(MONTH(Sheet1[[#This Row],[claim_date]])/3,0)</f>
        <v>Q1</v>
      </c>
      <c r="L1366" s="2" t="str">
        <f>IF(Sheet1[[#This Row],[claim_amount]]&lt;100000,"Low",IF(Sheet1[[#This Row],[claim_amount]]&lt;200000,"Medium","High"))</f>
        <v>Low</v>
      </c>
      <c r="M1366" s="2" t="str">
        <f>IF(Sheet1[[#This Row],[days_to_process]]&lt;=30,"Fast","Slow")</f>
        <v>Slow</v>
      </c>
    </row>
    <row r="1367" spans="1:13" x14ac:dyDescent="0.3">
      <c r="A1367" t="s">
        <v>2489</v>
      </c>
      <c r="B1367" s="2" t="s">
        <v>2490</v>
      </c>
      <c r="C1367" s="1">
        <v>44781</v>
      </c>
      <c r="D1367" s="35">
        <v>131719.76</v>
      </c>
      <c r="E1367" s="2" t="s">
        <v>19</v>
      </c>
      <c r="F1367" s="2" t="s">
        <v>34</v>
      </c>
      <c r="G1367" s="2" t="s">
        <v>24</v>
      </c>
      <c r="H1367">
        <v>46</v>
      </c>
      <c r="I1367" s="2" t="str">
        <f>TEXT(Sheet1[[#This Row],[claim_date]],"mmmm")</f>
        <v>August</v>
      </c>
      <c r="J1367" s="2">
        <f>YEAR(Sheet1[[#This Row],[claim_date]])</f>
        <v>2022</v>
      </c>
      <c r="K1367" s="2" t="str">
        <f>"Q"&amp;ROUNDUP(MONTH(Sheet1[[#This Row],[claim_date]])/3,0)</f>
        <v>Q3</v>
      </c>
      <c r="L1367" s="2" t="str">
        <f>IF(Sheet1[[#This Row],[claim_amount]]&lt;100000,"Low",IF(Sheet1[[#This Row],[claim_amount]]&lt;200000,"Medium","High"))</f>
        <v>Medium</v>
      </c>
      <c r="M1367" s="2" t="str">
        <f>IF(Sheet1[[#This Row],[days_to_process]]&lt;=30,"Fast","Slow")</f>
        <v>Slow</v>
      </c>
    </row>
    <row r="1368" spans="1:13" x14ac:dyDescent="0.3">
      <c r="A1368" t="s">
        <v>2491</v>
      </c>
      <c r="B1368" s="2" t="s">
        <v>2492</v>
      </c>
      <c r="C1368" s="1">
        <v>45322</v>
      </c>
      <c r="D1368" s="35">
        <v>432486.37</v>
      </c>
      <c r="E1368" s="2" t="s">
        <v>15</v>
      </c>
      <c r="F1368" s="2" t="s">
        <v>20</v>
      </c>
      <c r="G1368" s="2" t="s">
        <v>24</v>
      </c>
      <c r="H1368">
        <v>42</v>
      </c>
      <c r="I1368" s="2" t="str">
        <f>TEXT(Sheet1[[#This Row],[claim_date]],"mmmm")</f>
        <v>January</v>
      </c>
      <c r="J1368" s="2">
        <f>YEAR(Sheet1[[#This Row],[claim_date]])</f>
        <v>2024</v>
      </c>
      <c r="K1368" s="2" t="str">
        <f>"Q"&amp;ROUNDUP(MONTH(Sheet1[[#This Row],[claim_date]])/3,0)</f>
        <v>Q1</v>
      </c>
      <c r="L1368" s="2" t="str">
        <f>IF(Sheet1[[#This Row],[claim_amount]]&lt;100000,"Low",IF(Sheet1[[#This Row],[claim_amount]]&lt;200000,"Medium","High"))</f>
        <v>High</v>
      </c>
      <c r="M1368" s="2" t="str">
        <f>IF(Sheet1[[#This Row],[days_to_process]]&lt;=30,"Fast","Slow")</f>
        <v>Slow</v>
      </c>
    </row>
    <row r="1369" spans="1:13" x14ac:dyDescent="0.3">
      <c r="A1369" t="s">
        <v>2493</v>
      </c>
      <c r="B1369" s="2" t="s">
        <v>2494</v>
      </c>
      <c r="C1369" s="1">
        <v>45217</v>
      </c>
      <c r="D1369" s="35">
        <v>176826.83</v>
      </c>
      <c r="E1369" s="2" t="s">
        <v>19</v>
      </c>
      <c r="F1369" s="2" t="s">
        <v>34</v>
      </c>
      <c r="G1369" s="2" t="s">
        <v>12</v>
      </c>
      <c r="H1369">
        <v>34</v>
      </c>
      <c r="I1369" s="2" t="str">
        <f>TEXT(Sheet1[[#This Row],[claim_date]],"mmmm")</f>
        <v>October</v>
      </c>
      <c r="J1369" s="2">
        <f>YEAR(Sheet1[[#This Row],[claim_date]])</f>
        <v>2023</v>
      </c>
      <c r="K1369" s="2" t="str">
        <f>"Q"&amp;ROUNDUP(MONTH(Sheet1[[#This Row],[claim_date]])/3,0)</f>
        <v>Q4</v>
      </c>
      <c r="L1369" s="2" t="str">
        <f>IF(Sheet1[[#This Row],[claim_amount]]&lt;100000,"Low",IF(Sheet1[[#This Row],[claim_amount]]&lt;200000,"Medium","High"))</f>
        <v>Medium</v>
      </c>
      <c r="M1369" s="2" t="str">
        <f>IF(Sheet1[[#This Row],[days_to_process]]&lt;=30,"Fast","Slow")</f>
        <v>Slow</v>
      </c>
    </row>
    <row r="1370" spans="1:13" x14ac:dyDescent="0.3">
      <c r="A1370" t="s">
        <v>2495</v>
      </c>
      <c r="B1370" s="2" t="s">
        <v>2496</v>
      </c>
      <c r="C1370" s="1">
        <v>45353</v>
      </c>
      <c r="D1370" s="35">
        <v>42409.64</v>
      </c>
      <c r="E1370" s="2" t="s">
        <v>15</v>
      </c>
      <c r="F1370" s="2" t="s">
        <v>23</v>
      </c>
      <c r="G1370" s="2" t="s">
        <v>24</v>
      </c>
      <c r="H1370">
        <v>3</v>
      </c>
      <c r="I1370" s="2" t="str">
        <f>TEXT(Sheet1[[#This Row],[claim_date]],"mmmm")</f>
        <v>March</v>
      </c>
      <c r="J1370" s="2">
        <f>YEAR(Sheet1[[#This Row],[claim_date]])</f>
        <v>2024</v>
      </c>
      <c r="K1370" s="2" t="str">
        <f>"Q"&amp;ROUNDUP(MONTH(Sheet1[[#This Row],[claim_date]])/3,0)</f>
        <v>Q1</v>
      </c>
      <c r="L1370" s="2" t="str">
        <f>IF(Sheet1[[#This Row],[claim_amount]]&lt;100000,"Low",IF(Sheet1[[#This Row],[claim_amount]]&lt;200000,"Medium","High"))</f>
        <v>Low</v>
      </c>
      <c r="M1370" s="2" t="str">
        <f>IF(Sheet1[[#This Row],[days_to_process]]&lt;=30,"Fast","Slow")</f>
        <v>Fast</v>
      </c>
    </row>
    <row r="1371" spans="1:13" x14ac:dyDescent="0.3">
      <c r="A1371" t="s">
        <v>2497</v>
      </c>
      <c r="B1371" s="2" t="s">
        <v>2498</v>
      </c>
      <c r="C1371" s="1">
        <v>45332</v>
      </c>
      <c r="D1371" s="35">
        <v>296454.08</v>
      </c>
      <c r="E1371" s="2" t="s">
        <v>19</v>
      </c>
      <c r="F1371" s="2" t="s">
        <v>23</v>
      </c>
      <c r="G1371" s="2" t="s">
        <v>24</v>
      </c>
      <c r="H1371">
        <v>59</v>
      </c>
      <c r="I1371" s="2" t="str">
        <f>TEXT(Sheet1[[#This Row],[claim_date]],"mmmm")</f>
        <v>February</v>
      </c>
      <c r="J1371" s="2">
        <f>YEAR(Sheet1[[#This Row],[claim_date]])</f>
        <v>2024</v>
      </c>
      <c r="K1371" s="2" t="str">
        <f>"Q"&amp;ROUNDUP(MONTH(Sheet1[[#This Row],[claim_date]])/3,0)</f>
        <v>Q1</v>
      </c>
      <c r="L1371" s="2" t="str">
        <f>IF(Sheet1[[#This Row],[claim_amount]]&lt;100000,"Low",IF(Sheet1[[#This Row],[claim_amount]]&lt;200000,"Medium","High"))</f>
        <v>High</v>
      </c>
      <c r="M1371" s="2" t="str">
        <f>IF(Sheet1[[#This Row],[days_to_process]]&lt;=30,"Fast","Slow")</f>
        <v>Slow</v>
      </c>
    </row>
    <row r="1372" spans="1:13" x14ac:dyDescent="0.3">
      <c r="A1372" t="s">
        <v>2499</v>
      </c>
      <c r="B1372" s="2" t="s">
        <v>2500</v>
      </c>
      <c r="C1372" s="1">
        <v>45652</v>
      </c>
      <c r="D1372" s="35">
        <v>274101.78000000003</v>
      </c>
      <c r="E1372" s="2" t="s">
        <v>15</v>
      </c>
      <c r="F1372" s="2" t="s">
        <v>11</v>
      </c>
      <c r="G1372" s="2" t="s">
        <v>12</v>
      </c>
      <c r="H1372">
        <v>51</v>
      </c>
      <c r="I1372" s="2" t="str">
        <f>TEXT(Sheet1[[#This Row],[claim_date]],"mmmm")</f>
        <v>December</v>
      </c>
      <c r="J1372" s="2">
        <f>YEAR(Sheet1[[#This Row],[claim_date]])</f>
        <v>2024</v>
      </c>
      <c r="K1372" s="2" t="str">
        <f>"Q"&amp;ROUNDUP(MONTH(Sheet1[[#This Row],[claim_date]])/3,0)</f>
        <v>Q4</v>
      </c>
      <c r="L1372" s="2" t="str">
        <f>IF(Sheet1[[#This Row],[claim_amount]]&lt;100000,"Low",IF(Sheet1[[#This Row],[claim_amount]]&lt;200000,"Medium","High"))</f>
        <v>High</v>
      </c>
      <c r="M1372" s="2" t="str">
        <f>IF(Sheet1[[#This Row],[days_to_process]]&lt;=30,"Fast","Slow")</f>
        <v>Slow</v>
      </c>
    </row>
    <row r="1373" spans="1:13" x14ac:dyDescent="0.3">
      <c r="A1373" t="s">
        <v>2501</v>
      </c>
      <c r="B1373" s="2" t="s">
        <v>229</v>
      </c>
      <c r="C1373" s="1">
        <v>45556</v>
      </c>
      <c r="D1373" s="35">
        <v>276931.21000000002</v>
      </c>
      <c r="E1373" s="2" t="s">
        <v>15</v>
      </c>
      <c r="F1373" s="2" t="s">
        <v>20</v>
      </c>
      <c r="G1373" s="2" t="s">
        <v>12</v>
      </c>
      <c r="H1373">
        <v>37</v>
      </c>
      <c r="I1373" s="2" t="str">
        <f>TEXT(Sheet1[[#This Row],[claim_date]],"mmmm")</f>
        <v>September</v>
      </c>
      <c r="J1373" s="2">
        <f>YEAR(Sheet1[[#This Row],[claim_date]])</f>
        <v>2024</v>
      </c>
      <c r="K1373" s="2" t="str">
        <f>"Q"&amp;ROUNDUP(MONTH(Sheet1[[#This Row],[claim_date]])/3,0)</f>
        <v>Q3</v>
      </c>
      <c r="L1373" s="2" t="str">
        <f>IF(Sheet1[[#This Row],[claim_amount]]&lt;100000,"Low",IF(Sheet1[[#This Row],[claim_amount]]&lt;200000,"Medium","High"))</f>
        <v>High</v>
      </c>
      <c r="M1373" s="2" t="str">
        <f>IF(Sheet1[[#This Row],[days_to_process]]&lt;=30,"Fast","Slow")</f>
        <v>Slow</v>
      </c>
    </row>
    <row r="1374" spans="1:13" x14ac:dyDescent="0.3">
      <c r="A1374" t="s">
        <v>2502</v>
      </c>
      <c r="B1374" s="2" t="s">
        <v>672</v>
      </c>
      <c r="C1374" s="1">
        <v>44925</v>
      </c>
      <c r="D1374" s="35">
        <v>118840.39</v>
      </c>
      <c r="E1374" s="2" t="s">
        <v>15</v>
      </c>
      <c r="F1374" s="2" t="s">
        <v>16</v>
      </c>
      <c r="G1374" s="2" t="s">
        <v>24</v>
      </c>
      <c r="H1374">
        <v>48</v>
      </c>
      <c r="I1374" s="2" t="str">
        <f>TEXT(Sheet1[[#This Row],[claim_date]],"mmmm")</f>
        <v>December</v>
      </c>
      <c r="J1374" s="2">
        <f>YEAR(Sheet1[[#This Row],[claim_date]])</f>
        <v>2022</v>
      </c>
      <c r="K1374" s="2" t="str">
        <f>"Q"&amp;ROUNDUP(MONTH(Sheet1[[#This Row],[claim_date]])/3,0)</f>
        <v>Q4</v>
      </c>
      <c r="L1374" s="2" t="str">
        <f>IF(Sheet1[[#This Row],[claim_amount]]&lt;100000,"Low",IF(Sheet1[[#This Row],[claim_amount]]&lt;200000,"Medium","High"))</f>
        <v>Medium</v>
      </c>
      <c r="M1374" s="2" t="str">
        <f>IF(Sheet1[[#This Row],[days_to_process]]&lt;=30,"Fast","Slow")</f>
        <v>Slow</v>
      </c>
    </row>
    <row r="1375" spans="1:13" x14ac:dyDescent="0.3">
      <c r="A1375" t="s">
        <v>2503</v>
      </c>
      <c r="B1375" s="2" t="s">
        <v>2504</v>
      </c>
      <c r="C1375" s="1">
        <v>45633</v>
      </c>
      <c r="D1375" s="35">
        <v>262744.96000000002</v>
      </c>
      <c r="E1375" s="2" t="s">
        <v>15</v>
      </c>
      <c r="F1375" s="2" t="s">
        <v>20</v>
      </c>
      <c r="G1375" s="2" t="s">
        <v>24</v>
      </c>
      <c r="H1375">
        <v>13</v>
      </c>
      <c r="I1375" s="2" t="str">
        <f>TEXT(Sheet1[[#This Row],[claim_date]],"mmmm")</f>
        <v>December</v>
      </c>
      <c r="J1375" s="2">
        <f>YEAR(Sheet1[[#This Row],[claim_date]])</f>
        <v>2024</v>
      </c>
      <c r="K1375" s="2" t="str">
        <f>"Q"&amp;ROUNDUP(MONTH(Sheet1[[#This Row],[claim_date]])/3,0)</f>
        <v>Q4</v>
      </c>
      <c r="L1375" s="2" t="str">
        <f>IF(Sheet1[[#This Row],[claim_amount]]&lt;100000,"Low",IF(Sheet1[[#This Row],[claim_amount]]&lt;200000,"Medium","High"))</f>
        <v>High</v>
      </c>
      <c r="M1375" s="2" t="str">
        <f>IF(Sheet1[[#This Row],[days_to_process]]&lt;=30,"Fast","Slow")</f>
        <v>Fast</v>
      </c>
    </row>
    <row r="1376" spans="1:13" x14ac:dyDescent="0.3">
      <c r="A1376" t="s">
        <v>2505</v>
      </c>
      <c r="B1376" s="2" t="s">
        <v>2506</v>
      </c>
      <c r="C1376" s="1">
        <v>45149</v>
      </c>
      <c r="D1376" s="35">
        <v>151121.42000000001</v>
      </c>
      <c r="E1376" s="2" t="s">
        <v>10</v>
      </c>
      <c r="F1376" s="2" t="s">
        <v>34</v>
      </c>
      <c r="G1376" s="2" t="s">
        <v>24</v>
      </c>
      <c r="H1376">
        <v>36</v>
      </c>
      <c r="I1376" s="2" t="str">
        <f>TEXT(Sheet1[[#This Row],[claim_date]],"mmmm")</f>
        <v>August</v>
      </c>
      <c r="J1376" s="2">
        <f>YEAR(Sheet1[[#This Row],[claim_date]])</f>
        <v>2023</v>
      </c>
      <c r="K1376" s="2" t="str">
        <f>"Q"&amp;ROUNDUP(MONTH(Sheet1[[#This Row],[claim_date]])/3,0)</f>
        <v>Q3</v>
      </c>
      <c r="L1376" s="2" t="str">
        <f>IF(Sheet1[[#This Row],[claim_amount]]&lt;100000,"Low",IF(Sheet1[[#This Row],[claim_amount]]&lt;200000,"Medium","High"))</f>
        <v>Medium</v>
      </c>
      <c r="M1376" s="2" t="str">
        <f>IF(Sheet1[[#This Row],[days_to_process]]&lt;=30,"Fast","Slow")</f>
        <v>Slow</v>
      </c>
    </row>
    <row r="1377" spans="1:13" x14ac:dyDescent="0.3">
      <c r="A1377" t="s">
        <v>2507</v>
      </c>
      <c r="B1377" s="2" t="s">
        <v>2288</v>
      </c>
      <c r="C1377" s="1">
        <v>45222</v>
      </c>
      <c r="D1377" s="35">
        <v>225216.92</v>
      </c>
      <c r="E1377" s="2" t="s">
        <v>19</v>
      </c>
      <c r="F1377" s="2" t="s">
        <v>20</v>
      </c>
      <c r="G1377" s="2" t="s">
        <v>24</v>
      </c>
      <c r="H1377">
        <v>54</v>
      </c>
      <c r="I1377" s="2" t="str">
        <f>TEXT(Sheet1[[#This Row],[claim_date]],"mmmm")</f>
        <v>October</v>
      </c>
      <c r="J1377" s="2">
        <f>YEAR(Sheet1[[#This Row],[claim_date]])</f>
        <v>2023</v>
      </c>
      <c r="K1377" s="2" t="str">
        <f>"Q"&amp;ROUNDUP(MONTH(Sheet1[[#This Row],[claim_date]])/3,0)</f>
        <v>Q4</v>
      </c>
      <c r="L1377" s="2" t="str">
        <f>IF(Sheet1[[#This Row],[claim_amount]]&lt;100000,"Low",IF(Sheet1[[#This Row],[claim_amount]]&lt;200000,"Medium","High"))</f>
        <v>High</v>
      </c>
      <c r="M1377" s="2" t="str">
        <f>IF(Sheet1[[#This Row],[days_to_process]]&lt;=30,"Fast","Slow")</f>
        <v>Slow</v>
      </c>
    </row>
    <row r="1378" spans="1:13" x14ac:dyDescent="0.3">
      <c r="A1378" t="s">
        <v>2508</v>
      </c>
      <c r="B1378" s="2" t="s">
        <v>1067</v>
      </c>
      <c r="C1378" s="1">
        <v>44411</v>
      </c>
      <c r="D1378" s="35">
        <v>263091.40999999997</v>
      </c>
      <c r="E1378" s="2" t="s">
        <v>19</v>
      </c>
      <c r="F1378" s="2" t="s">
        <v>11</v>
      </c>
      <c r="G1378" s="2" t="s">
        <v>24</v>
      </c>
      <c r="H1378">
        <v>38</v>
      </c>
      <c r="I1378" s="2" t="str">
        <f>TEXT(Sheet1[[#This Row],[claim_date]],"mmmm")</f>
        <v>August</v>
      </c>
      <c r="J1378" s="2">
        <f>YEAR(Sheet1[[#This Row],[claim_date]])</f>
        <v>2021</v>
      </c>
      <c r="K1378" s="2" t="str">
        <f>"Q"&amp;ROUNDUP(MONTH(Sheet1[[#This Row],[claim_date]])/3,0)</f>
        <v>Q3</v>
      </c>
      <c r="L1378" s="2" t="str">
        <f>IF(Sheet1[[#This Row],[claim_amount]]&lt;100000,"Low",IF(Sheet1[[#This Row],[claim_amount]]&lt;200000,"Medium","High"))</f>
        <v>High</v>
      </c>
      <c r="M1378" s="2" t="str">
        <f>IF(Sheet1[[#This Row],[days_to_process]]&lt;=30,"Fast","Slow")</f>
        <v>Slow</v>
      </c>
    </row>
    <row r="1379" spans="1:13" x14ac:dyDescent="0.3">
      <c r="A1379" t="s">
        <v>2509</v>
      </c>
      <c r="B1379" s="2" t="s">
        <v>250</v>
      </c>
      <c r="C1379" s="1">
        <v>45563</v>
      </c>
      <c r="D1379" s="35">
        <v>221928.7</v>
      </c>
      <c r="E1379" s="2" t="s">
        <v>10</v>
      </c>
      <c r="F1379" s="2" t="s">
        <v>23</v>
      </c>
      <c r="G1379" s="2" t="s">
        <v>12</v>
      </c>
      <c r="H1379">
        <v>56</v>
      </c>
      <c r="I1379" s="2" t="str">
        <f>TEXT(Sheet1[[#This Row],[claim_date]],"mmmm")</f>
        <v>September</v>
      </c>
      <c r="J1379" s="2">
        <f>YEAR(Sheet1[[#This Row],[claim_date]])</f>
        <v>2024</v>
      </c>
      <c r="K1379" s="2" t="str">
        <f>"Q"&amp;ROUNDUP(MONTH(Sheet1[[#This Row],[claim_date]])/3,0)</f>
        <v>Q3</v>
      </c>
      <c r="L1379" s="2" t="str">
        <f>IF(Sheet1[[#This Row],[claim_amount]]&lt;100000,"Low",IF(Sheet1[[#This Row],[claim_amount]]&lt;200000,"Medium","High"))</f>
        <v>High</v>
      </c>
      <c r="M1379" s="2" t="str">
        <f>IF(Sheet1[[#This Row],[days_to_process]]&lt;=30,"Fast","Slow")</f>
        <v>Slow</v>
      </c>
    </row>
    <row r="1380" spans="1:13" x14ac:dyDescent="0.3">
      <c r="A1380" t="s">
        <v>2510</v>
      </c>
      <c r="B1380" s="2" t="s">
        <v>2511</v>
      </c>
      <c r="C1380" s="1">
        <v>45175</v>
      </c>
      <c r="D1380" s="35">
        <v>134037.46</v>
      </c>
      <c r="E1380" s="2" t="s">
        <v>19</v>
      </c>
      <c r="F1380" s="2" t="s">
        <v>20</v>
      </c>
      <c r="G1380" s="2" t="s">
        <v>24</v>
      </c>
      <c r="H1380">
        <v>42</v>
      </c>
      <c r="I1380" s="2" t="str">
        <f>TEXT(Sheet1[[#This Row],[claim_date]],"mmmm")</f>
        <v>September</v>
      </c>
      <c r="J1380" s="2">
        <f>YEAR(Sheet1[[#This Row],[claim_date]])</f>
        <v>2023</v>
      </c>
      <c r="K1380" s="2" t="str">
        <f>"Q"&amp;ROUNDUP(MONTH(Sheet1[[#This Row],[claim_date]])/3,0)</f>
        <v>Q3</v>
      </c>
      <c r="L1380" s="2" t="str">
        <f>IF(Sheet1[[#This Row],[claim_amount]]&lt;100000,"Low",IF(Sheet1[[#This Row],[claim_amount]]&lt;200000,"Medium","High"))</f>
        <v>Medium</v>
      </c>
      <c r="M1380" s="2" t="str">
        <f>IF(Sheet1[[#This Row],[days_to_process]]&lt;=30,"Fast","Slow")</f>
        <v>Slow</v>
      </c>
    </row>
    <row r="1381" spans="1:13" x14ac:dyDescent="0.3">
      <c r="A1381" t="s">
        <v>2512</v>
      </c>
      <c r="B1381" s="2" t="s">
        <v>2513</v>
      </c>
      <c r="C1381" s="1">
        <v>44704</v>
      </c>
      <c r="D1381" s="35">
        <v>319703.82</v>
      </c>
      <c r="E1381" s="2" t="s">
        <v>10</v>
      </c>
      <c r="F1381" s="2" t="s">
        <v>11</v>
      </c>
      <c r="G1381" s="2" t="s">
        <v>24</v>
      </c>
      <c r="H1381">
        <v>43</v>
      </c>
      <c r="I1381" s="2" t="str">
        <f>TEXT(Sheet1[[#This Row],[claim_date]],"mmmm")</f>
        <v>May</v>
      </c>
      <c r="J1381" s="2">
        <f>YEAR(Sheet1[[#This Row],[claim_date]])</f>
        <v>2022</v>
      </c>
      <c r="K1381" s="2" t="str">
        <f>"Q"&amp;ROUNDUP(MONTH(Sheet1[[#This Row],[claim_date]])/3,0)</f>
        <v>Q2</v>
      </c>
      <c r="L1381" s="2" t="str">
        <f>IF(Sheet1[[#This Row],[claim_amount]]&lt;100000,"Low",IF(Sheet1[[#This Row],[claim_amount]]&lt;200000,"Medium","High"))</f>
        <v>High</v>
      </c>
      <c r="M1381" s="2" t="str">
        <f>IF(Sheet1[[#This Row],[days_to_process]]&lt;=30,"Fast","Slow")</f>
        <v>Slow</v>
      </c>
    </row>
    <row r="1382" spans="1:13" x14ac:dyDescent="0.3">
      <c r="A1382" t="s">
        <v>2514</v>
      </c>
      <c r="B1382" s="2" t="s">
        <v>1476</v>
      </c>
      <c r="C1382" s="1">
        <v>44900</v>
      </c>
      <c r="D1382" s="35">
        <v>63264.45</v>
      </c>
      <c r="E1382" s="2" t="s">
        <v>10</v>
      </c>
      <c r="F1382" s="2" t="s">
        <v>23</v>
      </c>
      <c r="G1382" s="2" t="s">
        <v>12</v>
      </c>
      <c r="H1382">
        <v>3</v>
      </c>
      <c r="I1382" s="2" t="str">
        <f>TEXT(Sheet1[[#This Row],[claim_date]],"mmmm")</f>
        <v>December</v>
      </c>
      <c r="J1382" s="2">
        <f>YEAR(Sheet1[[#This Row],[claim_date]])</f>
        <v>2022</v>
      </c>
      <c r="K1382" s="2" t="str">
        <f>"Q"&amp;ROUNDUP(MONTH(Sheet1[[#This Row],[claim_date]])/3,0)</f>
        <v>Q4</v>
      </c>
      <c r="L1382" s="2" t="str">
        <f>IF(Sheet1[[#This Row],[claim_amount]]&lt;100000,"Low",IF(Sheet1[[#This Row],[claim_amount]]&lt;200000,"Medium","High"))</f>
        <v>Low</v>
      </c>
      <c r="M1382" s="2" t="str">
        <f>IF(Sheet1[[#This Row],[days_to_process]]&lt;=30,"Fast","Slow")</f>
        <v>Fast</v>
      </c>
    </row>
    <row r="1383" spans="1:13" x14ac:dyDescent="0.3">
      <c r="A1383" t="s">
        <v>2515</v>
      </c>
      <c r="B1383" s="2" t="s">
        <v>1305</v>
      </c>
      <c r="C1383" s="1">
        <v>44676</v>
      </c>
      <c r="D1383" s="35">
        <v>237510.38</v>
      </c>
      <c r="E1383" s="2" t="s">
        <v>15</v>
      </c>
      <c r="F1383" s="2" t="s">
        <v>16</v>
      </c>
      <c r="G1383" s="2" t="s">
        <v>24</v>
      </c>
      <c r="H1383">
        <v>20</v>
      </c>
      <c r="I1383" s="2" t="str">
        <f>TEXT(Sheet1[[#This Row],[claim_date]],"mmmm")</f>
        <v>April</v>
      </c>
      <c r="J1383" s="2">
        <f>YEAR(Sheet1[[#This Row],[claim_date]])</f>
        <v>2022</v>
      </c>
      <c r="K1383" s="2" t="str">
        <f>"Q"&amp;ROUNDUP(MONTH(Sheet1[[#This Row],[claim_date]])/3,0)</f>
        <v>Q2</v>
      </c>
      <c r="L1383" s="2" t="str">
        <f>IF(Sheet1[[#This Row],[claim_amount]]&lt;100000,"Low",IF(Sheet1[[#This Row],[claim_amount]]&lt;200000,"Medium","High"))</f>
        <v>High</v>
      </c>
      <c r="M1383" s="2" t="str">
        <f>IF(Sheet1[[#This Row],[days_to_process]]&lt;=30,"Fast","Slow")</f>
        <v>Fast</v>
      </c>
    </row>
    <row r="1384" spans="1:13" x14ac:dyDescent="0.3">
      <c r="A1384" t="s">
        <v>2516</v>
      </c>
      <c r="B1384" s="2" t="s">
        <v>2517</v>
      </c>
      <c r="C1384" s="1">
        <v>45450</v>
      </c>
      <c r="D1384" s="35">
        <v>428852.71</v>
      </c>
      <c r="E1384" s="2" t="s">
        <v>19</v>
      </c>
      <c r="F1384" s="2" t="s">
        <v>20</v>
      </c>
      <c r="G1384" s="2" t="s">
        <v>24</v>
      </c>
      <c r="H1384">
        <v>44</v>
      </c>
      <c r="I1384" s="2" t="str">
        <f>TEXT(Sheet1[[#This Row],[claim_date]],"mmmm")</f>
        <v>June</v>
      </c>
      <c r="J1384" s="2">
        <f>YEAR(Sheet1[[#This Row],[claim_date]])</f>
        <v>2024</v>
      </c>
      <c r="K1384" s="2" t="str">
        <f>"Q"&amp;ROUNDUP(MONTH(Sheet1[[#This Row],[claim_date]])/3,0)</f>
        <v>Q2</v>
      </c>
      <c r="L1384" s="2" t="str">
        <f>IF(Sheet1[[#This Row],[claim_amount]]&lt;100000,"Low",IF(Sheet1[[#This Row],[claim_amount]]&lt;200000,"Medium","High"))</f>
        <v>High</v>
      </c>
      <c r="M1384" s="2" t="str">
        <f>IF(Sheet1[[#This Row],[days_to_process]]&lt;=30,"Fast","Slow")</f>
        <v>Slow</v>
      </c>
    </row>
    <row r="1385" spans="1:13" x14ac:dyDescent="0.3">
      <c r="A1385" t="s">
        <v>2518</v>
      </c>
      <c r="B1385" s="2" t="s">
        <v>2519</v>
      </c>
      <c r="C1385" s="1">
        <v>45210</v>
      </c>
      <c r="D1385" s="35">
        <v>120374.43</v>
      </c>
      <c r="E1385" s="2" t="s">
        <v>10</v>
      </c>
      <c r="F1385" s="2" t="s">
        <v>20</v>
      </c>
      <c r="G1385" s="2" t="s">
        <v>24</v>
      </c>
      <c r="H1385">
        <v>19</v>
      </c>
      <c r="I1385" s="2" t="str">
        <f>TEXT(Sheet1[[#This Row],[claim_date]],"mmmm")</f>
        <v>October</v>
      </c>
      <c r="J1385" s="2">
        <f>YEAR(Sheet1[[#This Row],[claim_date]])</f>
        <v>2023</v>
      </c>
      <c r="K1385" s="2" t="str">
        <f>"Q"&amp;ROUNDUP(MONTH(Sheet1[[#This Row],[claim_date]])/3,0)</f>
        <v>Q4</v>
      </c>
      <c r="L1385" s="2" t="str">
        <f>IF(Sheet1[[#This Row],[claim_amount]]&lt;100000,"Low",IF(Sheet1[[#This Row],[claim_amount]]&lt;200000,"Medium","High"))</f>
        <v>Medium</v>
      </c>
      <c r="M1385" s="2" t="str">
        <f>IF(Sheet1[[#This Row],[days_to_process]]&lt;=30,"Fast","Slow")</f>
        <v>Fast</v>
      </c>
    </row>
    <row r="1386" spans="1:13" x14ac:dyDescent="0.3">
      <c r="A1386" t="s">
        <v>2520</v>
      </c>
      <c r="B1386" s="2" t="s">
        <v>1219</v>
      </c>
      <c r="C1386" s="1">
        <v>44827</v>
      </c>
      <c r="D1386" s="35">
        <v>391752.99</v>
      </c>
      <c r="E1386" s="2" t="s">
        <v>15</v>
      </c>
      <c r="F1386" s="2" t="s">
        <v>11</v>
      </c>
      <c r="G1386" s="2" t="s">
        <v>12</v>
      </c>
      <c r="H1386">
        <v>57</v>
      </c>
      <c r="I1386" s="2" t="str">
        <f>TEXT(Sheet1[[#This Row],[claim_date]],"mmmm")</f>
        <v>September</v>
      </c>
      <c r="J1386" s="2">
        <f>YEAR(Sheet1[[#This Row],[claim_date]])</f>
        <v>2022</v>
      </c>
      <c r="K1386" s="2" t="str">
        <f>"Q"&amp;ROUNDUP(MONTH(Sheet1[[#This Row],[claim_date]])/3,0)</f>
        <v>Q3</v>
      </c>
      <c r="L1386" s="2" t="str">
        <f>IF(Sheet1[[#This Row],[claim_amount]]&lt;100000,"Low",IF(Sheet1[[#This Row],[claim_amount]]&lt;200000,"Medium","High"))</f>
        <v>High</v>
      </c>
      <c r="M1386" s="2" t="str">
        <f>IF(Sheet1[[#This Row],[days_to_process]]&lt;=30,"Fast","Slow")</f>
        <v>Slow</v>
      </c>
    </row>
    <row r="1387" spans="1:13" x14ac:dyDescent="0.3">
      <c r="A1387" t="s">
        <v>2521</v>
      </c>
      <c r="B1387" s="2" t="s">
        <v>2458</v>
      </c>
      <c r="C1387" s="1">
        <v>45261</v>
      </c>
      <c r="D1387" s="35">
        <v>85469.97</v>
      </c>
      <c r="E1387" s="2" t="s">
        <v>15</v>
      </c>
      <c r="F1387" s="2" t="s">
        <v>23</v>
      </c>
      <c r="G1387" s="2" t="s">
        <v>12</v>
      </c>
      <c r="H1387">
        <v>16</v>
      </c>
      <c r="I1387" s="2" t="str">
        <f>TEXT(Sheet1[[#This Row],[claim_date]],"mmmm")</f>
        <v>December</v>
      </c>
      <c r="J1387" s="2">
        <f>YEAR(Sheet1[[#This Row],[claim_date]])</f>
        <v>2023</v>
      </c>
      <c r="K1387" s="2" t="str">
        <f>"Q"&amp;ROUNDUP(MONTH(Sheet1[[#This Row],[claim_date]])/3,0)</f>
        <v>Q4</v>
      </c>
      <c r="L1387" s="2" t="str">
        <f>IF(Sheet1[[#This Row],[claim_amount]]&lt;100000,"Low",IF(Sheet1[[#This Row],[claim_amount]]&lt;200000,"Medium","High"))</f>
        <v>Low</v>
      </c>
      <c r="M1387" s="2" t="str">
        <f>IF(Sheet1[[#This Row],[days_to_process]]&lt;=30,"Fast","Slow")</f>
        <v>Fast</v>
      </c>
    </row>
    <row r="1388" spans="1:13" x14ac:dyDescent="0.3">
      <c r="A1388" t="s">
        <v>2522</v>
      </c>
      <c r="B1388" s="2" t="s">
        <v>2523</v>
      </c>
      <c r="C1388" s="1">
        <v>44810</v>
      </c>
      <c r="D1388" s="35">
        <v>71058.73</v>
      </c>
      <c r="E1388" s="2" t="s">
        <v>10</v>
      </c>
      <c r="F1388" s="2" t="s">
        <v>20</v>
      </c>
      <c r="G1388" s="2" t="s">
        <v>24</v>
      </c>
      <c r="H1388">
        <v>55</v>
      </c>
      <c r="I1388" s="2" t="str">
        <f>TEXT(Sheet1[[#This Row],[claim_date]],"mmmm")</f>
        <v>September</v>
      </c>
      <c r="J1388" s="2">
        <f>YEAR(Sheet1[[#This Row],[claim_date]])</f>
        <v>2022</v>
      </c>
      <c r="K1388" s="2" t="str">
        <f>"Q"&amp;ROUNDUP(MONTH(Sheet1[[#This Row],[claim_date]])/3,0)</f>
        <v>Q3</v>
      </c>
      <c r="L1388" s="2" t="str">
        <f>IF(Sheet1[[#This Row],[claim_amount]]&lt;100000,"Low",IF(Sheet1[[#This Row],[claim_amount]]&lt;200000,"Medium","High"))</f>
        <v>Low</v>
      </c>
      <c r="M1388" s="2" t="str">
        <f>IF(Sheet1[[#This Row],[days_to_process]]&lt;=30,"Fast","Slow")</f>
        <v>Slow</v>
      </c>
    </row>
    <row r="1389" spans="1:13" x14ac:dyDescent="0.3">
      <c r="A1389" t="s">
        <v>2524</v>
      </c>
      <c r="B1389" s="2" t="s">
        <v>2525</v>
      </c>
      <c r="C1389" s="1">
        <v>45271</v>
      </c>
      <c r="D1389" s="35">
        <v>103092.28</v>
      </c>
      <c r="E1389" s="2" t="s">
        <v>10</v>
      </c>
      <c r="F1389" s="2" t="s">
        <v>16</v>
      </c>
      <c r="G1389" s="2" t="s">
        <v>12</v>
      </c>
      <c r="H1389">
        <v>30</v>
      </c>
      <c r="I1389" s="2" t="str">
        <f>TEXT(Sheet1[[#This Row],[claim_date]],"mmmm")</f>
        <v>December</v>
      </c>
      <c r="J1389" s="2">
        <f>YEAR(Sheet1[[#This Row],[claim_date]])</f>
        <v>2023</v>
      </c>
      <c r="K1389" s="2" t="str">
        <f>"Q"&amp;ROUNDUP(MONTH(Sheet1[[#This Row],[claim_date]])/3,0)</f>
        <v>Q4</v>
      </c>
      <c r="L1389" s="2" t="str">
        <f>IF(Sheet1[[#This Row],[claim_amount]]&lt;100000,"Low",IF(Sheet1[[#This Row],[claim_amount]]&lt;200000,"Medium","High"))</f>
        <v>Medium</v>
      </c>
      <c r="M1389" s="2" t="str">
        <f>IF(Sheet1[[#This Row],[days_to_process]]&lt;=30,"Fast","Slow")</f>
        <v>Fast</v>
      </c>
    </row>
    <row r="1390" spans="1:13" x14ac:dyDescent="0.3">
      <c r="A1390" t="s">
        <v>2526</v>
      </c>
      <c r="B1390" s="2" t="s">
        <v>634</v>
      </c>
      <c r="C1390" s="1">
        <v>45156</v>
      </c>
      <c r="D1390" s="35">
        <v>37759.589999999997</v>
      </c>
      <c r="E1390" s="2" t="s">
        <v>10</v>
      </c>
      <c r="F1390" s="2" t="s">
        <v>34</v>
      </c>
      <c r="G1390" s="2" t="s">
        <v>12</v>
      </c>
      <c r="H1390">
        <v>22</v>
      </c>
      <c r="I1390" s="2" t="str">
        <f>TEXT(Sheet1[[#This Row],[claim_date]],"mmmm")</f>
        <v>August</v>
      </c>
      <c r="J1390" s="2">
        <f>YEAR(Sheet1[[#This Row],[claim_date]])</f>
        <v>2023</v>
      </c>
      <c r="K1390" s="2" t="str">
        <f>"Q"&amp;ROUNDUP(MONTH(Sheet1[[#This Row],[claim_date]])/3,0)</f>
        <v>Q3</v>
      </c>
      <c r="L1390" s="2" t="str">
        <f>IF(Sheet1[[#This Row],[claim_amount]]&lt;100000,"Low",IF(Sheet1[[#This Row],[claim_amount]]&lt;200000,"Medium","High"))</f>
        <v>Low</v>
      </c>
      <c r="M1390" s="2" t="str">
        <f>IF(Sheet1[[#This Row],[days_to_process]]&lt;=30,"Fast","Slow")</f>
        <v>Fast</v>
      </c>
    </row>
    <row r="1391" spans="1:13" x14ac:dyDescent="0.3">
      <c r="A1391" t="s">
        <v>2527</v>
      </c>
      <c r="B1391" s="2" t="s">
        <v>2528</v>
      </c>
      <c r="C1391" s="1">
        <v>44415</v>
      </c>
      <c r="D1391" s="35">
        <v>217827.22</v>
      </c>
      <c r="E1391" s="2" t="s">
        <v>10</v>
      </c>
      <c r="F1391" s="2" t="s">
        <v>23</v>
      </c>
      <c r="G1391" s="2" t="s">
        <v>12</v>
      </c>
      <c r="H1391">
        <v>28</v>
      </c>
      <c r="I1391" s="2" t="str">
        <f>TEXT(Sheet1[[#This Row],[claim_date]],"mmmm")</f>
        <v>August</v>
      </c>
      <c r="J1391" s="2">
        <f>YEAR(Sheet1[[#This Row],[claim_date]])</f>
        <v>2021</v>
      </c>
      <c r="K1391" s="2" t="str">
        <f>"Q"&amp;ROUNDUP(MONTH(Sheet1[[#This Row],[claim_date]])/3,0)</f>
        <v>Q3</v>
      </c>
      <c r="L1391" s="2" t="str">
        <f>IF(Sheet1[[#This Row],[claim_amount]]&lt;100000,"Low",IF(Sheet1[[#This Row],[claim_amount]]&lt;200000,"Medium","High"))</f>
        <v>High</v>
      </c>
      <c r="M1391" s="2" t="str">
        <f>IF(Sheet1[[#This Row],[days_to_process]]&lt;=30,"Fast","Slow")</f>
        <v>Fast</v>
      </c>
    </row>
    <row r="1392" spans="1:13" x14ac:dyDescent="0.3">
      <c r="A1392" t="s">
        <v>2529</v>
      </c>
      <c r="B1392" s="2" t="s">
        <v>2530</v>
      </c>
      <c r="C1392" s="1">
        <v>44810</v>
      </c>
      <c r="D1392" s="35">
        <v>423430.23</v>
      </c>
      <c r="E1392" s="2" t="s">
        <v>15</v>
      </c>
      <c r="F1392" s="2" t="s">
        <v>34</v>
      </c>
      <c r="G1392" s="2" t="s">
        <v>12</v>
      </c>
      <c r="H1392">
        <v>3</v>
      </c>
      <c r="I1392" s="2" t="str">
        <f>TEXT(Sheet1[[#This Row],[claim_date]],"mmmm")</f>
        <v>September</v>
      </c>
      <c r="J1392" s="2">
        <f>YEAR(Sheet1[[#This Row],[claim_date]])</f>
        <v>2022</v>
      </c>
      <c r="K1392" s="2" t="str">
        <f>"Q"&amp;ROUNDUP(MONTH(Sheet1[[#This Row],[claim_date]])/3,0)</f>
        <v>Q3</v>
      </c>
      <c r="L1392" s="2" t="str">
        <f>IF(Sheet1[[#This Row],[claim_amount]]&lt;100000,"Low",IF(Sheet1[[#This Row],[claim_amount]]&lt;200000,"Medium","High"))</f>
        <v>High</v>
      </c>
      <c r="M1392" s="2" t="str">
        <f>IF(Sheet1[[#This Row],[days_to_process]]&lt;=30,"Fast","Slow")</f>
        <v>Fast</v>
      </c>
    </row>
    <row r="1393" spans="1:13" x14ac:dyDescent="0.3">
      <c r="A1393" t="s">
        <v>2531</v>
      </c>
      <c r="B1393" s="2" t="s">
        <v>2532</v>
      </c>
      <c r="C1393" s="1">
        <v>44715</v>
      </c>
      <c r="D1393" s="35">
        <v>265306.09999999998</v>
      </c>
      <c r="E1393" s="2" t="s">
        <v>19</v>
      </c>
      <c r="F1393" s="2" t="s">
        <v>20</v>
      </c>
      <c r="G1393" s="2" t="s">
        <v>24</v>
      </c>
      <c r="H1393">
        <v>10</v>
      </c>
      <c r="I1393" s="2" t="str">
        <f>TEXT(Sheet1[[#This Row],[claim_date]],"mmmm")</f>
        <v>June</v>
      </c>
      <c r="J1393" s="2">
        <f>YEAR(Sheet1[[#This Row],[claim_date]])</f>
        <v>2022</v>
      </c>
      <c r="K1393" s="2" t="str">
        <f>"Q"&amp;ROUNDUP(MONTH(Sheet1[[#This Row],[claim_date]])/3,0)</f>
        <v>Q2</v>
      </c>
      <c r="L1393" s="2" t="str">
        <f>IF(Sheet1[[#This Row],[claim_amount]]&lt;100000,"Low",IF(Sheet1[[#This Row],[claim_amount]]&lt;200000,"Medium","High"))</f>
        <v>High</v>
      </c>
      <c r="M1393" s="2" t="str">
        <f>IF(Sheet1[[#This Row],[days_to_process]]&lt;=30,"Fast","Slow")</f>
        <v>Fast</v>
      </c>
    </row>
    <row r="1394" spans="1:13" x14ac:dyDescent="0.3">
      <c r="A1394" t="s">
        <v>2533</v>
      </c>
      <c r="B1394" s="2" t="s">
        <v>2534</v>
      </c>
      <c r="C1394" s="1">
        <v>44528</v>
      </c>
      <c r="D1394" s="35">
        <v>409509.86</v>
      </c>
      <c r="E1394" s="2" t="s">
        <v>19</v>
      </c>
      <c r="F1394" s="2" t="s">
        <v>16</v>
      </c>
      <c r="G1394" s="2" t="s">
        <v>24</v>
      </c>
      <c r="H1394">
        <v>8</v>
      </c>
      <c r="I1394" s="2" t="str">
        <f>TEXT(Sheet1[[#This Row],[claim_date]],"mmmm")</f>
        <v>November</v>
      </c>
      <c r="J1394" s="2">
        <f>YEAR(Sheet1[[#This Row],[claim_date]])</f>
        <v>2021</v>
      </c>
      <c r="K1394" s="2" t="str">
        <f>"Q"&amp;ROUNDUP(MONTH(Sheet1[[#This Row],[claim_date]])/3,0)</f>
        <v>Q4</v>
      </c>
      <c r="L1394" s="2" t="str">
        <f>IF(Sheet1[[#This Row],[claim_amount]]&lt;100000,"Low",IF(Sheet1[[#This Row],[claim_amount]]&lt;200000,"Medium","High"))</f>
        <v>High</v>
      </c>
      <c r="M1394" s="2" t="str">
        <f>IF(Sheet1[[#This Row],[days_to_process]]&lt;=30,"Fast","Slow")</f>
        <v>Fast</v>
      </c>
    </row>
    <row r="1395" spans="1:13" x14ac:dyDescent="0.3">
      <c r="A1395" t="s">
        <v>2535</v>
      </c>
      <c r="B1395" s="2" t="s">
        <v>2536</v>
      </c>
      <c r="C1395" s="1">
        <v>44354</v>
      </c>
      <c r="D1395" s="35">
        <v>339086.82</v>
      </c>
      <c r="E1395" s="2" t="s">
        <v>10</v>
      </c>
      <c r="F1395" s="2" t="s">
        <v>16</v>
      </c>
      <c r="G1395" s="2" t="s">
        <v>24</v>
      </c>
      <c r="H1395">
        <v>6</v>
      </c>
      <c r="I1395" s="2" t="str">
        <f>TEXT(Sheet1[[#This Row],[claim_date]],"mmmm")</f>
        <v>June</v>
      </c>
      <c r="J1395" s="2">
        <f>YEAR(Sheet1[[#This Row],[claim_date]])</f>
        <v>2021</v>
      </c>
      <c r="K1395" s="2" t="str">
        <f>"Q"&amp;ROUNDUP(MONTH(Sheet1[[#This Row],[claim_date]])/3,0)</f>
        <v>Q2</v>
      </c>
      <c r="L1395" s="2" t="str">
        <f>IF(Sheet1[[#This Row],[claim_amount]]&lt;100000,"Low",IF(Sheet1[[#This Row],[claim_amount]]&lt;200000,"Medium","High"))</f>
        <v>High</v>
      </c>
      <c r="M1395" s="2" t="str">
        <f>IF(Sheet1[[#This Row],[days_to_process]]&lt;=30,"Fast","Slow")</f>
        <v>Fast</v>
      </c>
    </row>
    <row r="1396" spans="1:13" x14ac:dyDescent="0.3">
      <c r="A1396" t="s">
        <v>2537</v>
      </c>
      <c r="B1396" s="2" t="s">
        <v>46</v>
      </c>
      <c r="C1396" s="1">
        <v>45258</v>
      </c>
      <c r="D1396" s="35">
        <v>182027.58</v>
      </c>
      <c r="E1396" s="2" t="s">
        <v>15</v>
      </c>
      <c r="F1396" s="2" t="s">
        <v>23</v>
      </c>
      <c r="G1396" s="2" t="s">
        <v>24</v>
      </c>
      <c r="H1396">
        <v>38</v>
      </c>
      <c r="I1396" s="2" t="str">
        <f>TEXT(Sheet1[[#This Row],[claim_date]],"mmmm")</f>
        <v>November</v>
      </c>
      <c r="J1396" s="2">
        <f>YEAR(Sheet1[[#This Row],[claim_date]])</f>
        <v>2023</v>
      </c>
      <c r="K1396" s="2" t="str">
        <f>"Q"&amp;ROUNDUP(MONTH(Sheet1[[#This Row],[claim_date]])/3,0)</f>
        <v>Q4</v>
      </c>
      <c r="L1396" s="2" t="str">
        <f>IF(Sheet1[[#This Row],[claim_amount]]&lt;100000,"Low",IF(Sheet1[[#This Row],[claim_amount]]&lt;200000,"Medium","High"))</f>
        <v>Medium</v>
      </c>
      <c r="M1396" s="2" t="str">
        <f>IF(Sheet1[[#This Row],[days_to_process]]&lt;=30,"Fast","Slow")</f>
        <v>Slow</v>
      </c>
    </row>
    <row r="1397" spans="1:13" x14ac:dyDescent="0.3">
      <c r="A1397" t="s">
        <v>2538</v>
      </c>
      <c r="B1397" s="2" t="s">
        <v>2539</v>
      </c>
      <c r="C1397" s="1">
        <v>45480</v>
      </c>
      <c r="D1397" s="35">
        <v>440888.59</v>
      </c>
      <c r="E1397" s="2" t="s">
        <v>10</v>
      </c>
      <c r="F1397" s="2" t="s">
        <v>23</v>
      </c>
      <c r="G1397" s="2" t="s">
        <v>24</v>
      </c>
      <c r="H1397">
        <v>33</v>
      </c>
      <c r="I1397" s="2" t="str">
        <f>TEXT(Sheet1[[#This Row],[claim_date]],"mmmm")</f>
        <v>July</v>
      </c>
      <c r="J1397" s="2">
        <f>YEAR(Sheet1[[#This Row],[claim_date]])</f>
        <v>2024</v>
      </c>
      <c r="K1397" s="2" t="str">
        <f>"Q"&amp;ROUNDUP(MONTH(Sheet1[[#This Row],[claim_date]])/3,0)</f>
        <v>Q3</v>
      </c>
      <c r="L1397" s="2" t="str">
        <f>IF(Sheet1[[#This Row],[claim_amount]]&lt;100000,"Low",IF(Sheet1[[#This Row],[claim_amount]]&lt;200000,"Medium","High"))</f>
        <v>High</v>
      </c>
      <c r="M1397" s="2" t="str">
        <f>IF(Sheet1[[#This Row],[days_to_process]]&lt;=30,"Fast","Slow")</f>
        <v>Slow</v>
      </c>
    </row>
    <row r="1398" spans="1:13" x14ac:dyDescent="0.3">
      <c r="A1398" t="s">
        <v>2540</v>
      </c>
      <c r="B1398" s="2" t="s">
        <v>2541</v>
      </c>
      <c r="C1398" s="1">
        <v>45621</v>
      </c>
      <c r="D1398" s="35">
        <v>448047.75</v>
      </c>
      <c r="E1398" s="2" t="s">
        <v>10</v>
      </c>
      <c r="F1398" s="2" t="s">
        <v>23</v>
      </c>
      <c r="G1398" s="2" t="s">
        <v>12</v>
      </c>
      <c r="H1398">
        <v>30</v>
      </c>
      <c r="I1398" s="2" t="str">
        <f>TEXT(Sheet1[[#This Row],[claim_date]],"mmmm")</f>
        <v>November</v>
      </c>
      <c r="J1398" s="2">
        <f>YEAR(Sheet1[[#This Row],[claim_date]])</f>
        <v>2024</v>
      </c>
      <c r="K1398" s="2" t="str">
        <f>"Q"&amp;ROUNDUP(MONTH(Sheet1[[#This Row],[claim_date]])/3,0)</f>
        <v>Q4</v>
      </c>
      <c r="L1398" s="2" t="str">
        <f>IF(Sheet1[[#This Row],[claim_amount]]&lt;100000,"Low",IF(Sheet1[[#This Row],[claim_amount]]&lt;200000,"Medium","High"))</f>
        <v>High</v>
      </c>
      <c r="M1398" s="2" t="str">
        <f>IF(Sheet1[[#This Row],[days_to_process]]&lt;=30,"Fast","Slow")</f>
        <v>Fast</v>
      </c>
    </row>
    <row r="1399" spans="1:13" x14ac:dyDescent="0.3">
      <c r="A1399" t="s">
        <v>2542</v>
      </c>
      <c r="B1399" s="2" t="s">
        <v>2543</v>
      </c>
      <c r="C1399" s="1">
        <v>45366</v>
      </c>
      <c r="D1399" s="35">
        <v>229672.11</v>
      </c>
      <c r="E1399" s="2" t="s">
        <v>15</v>
      </c>
      <c r="F1399" s="2" t="s">
        <v>20</v>
      </c>
      <c r="G1399" s="2" t="s">
        <v>12</v>
      </c>
      <c r="H1399">
        <v>29</v>
      </c>
      <c r="I1399" s="2" t="str">
        <f>TEXT(Sheet1[[#This Row],[claim_date]],"mmmm")</f>
        <v>March</v>
      </c>
      <c r="J1399" s="2">
        <f>YEAR(Sheet1[[#This Row],[claim_date]])</f>
        <v>2024</v>
      </c>
      <c r="K1399" s="2" t="str">
        <f>"Q"&amp;ROUNDUP(MONTH(Sheet1[[#This Row],[claim_date]])/3,0)</f>
        <v>Q1</v>
      </c>
      <c r="L1399" s="2" t="str">
        <f>IF(Sheet1[[#This Row],[claim_amount]]&lt;100000,"Low",IF(Sheet1[[#This Row],[claim_amount]]&lt;200000,"Medium","High"))</f>
        <v>High</v>
      </c>
      <c r="M1399" s="2" t="str">
        <f>IF(Sheet1[[#This Row],[days_to_process]]&lt;=30,"Fast","Slow")</f>
        <v>Fast</v>
      </c>
    </row>
    <row r="1400" spans="1:13" x14ac:dyDescent="0.3">
      <c r="A1400" t="s">
        <v>2544</v>
      </c>
      <c r="B1400" s="2" t="s">
        <v>2299</v>
      </c>
      <c r="C1400" s="1">
        <v>45383</v>
      </c>
      <c r="D1400" s="35">
        <v>381721.67</v>
      </c>
      <c r="E1400" s="2" t="s">
        <v>10</v>
      </c>
      <c r="F1400" s="2" t="s">
        <v>34</v>
      </c>
      <c r="G1400" s="2" t="s">
        <v>24</v>
      </c>
      <c r="H1400">
        <v>4</v>
      </c>
      <c r="I1400" s="2" t="str">
        <f>TEXT(Sheet1[[#This Row],[claim_date]],"mmmm")</f>
        <v>April</v>
      </c>
      <c r="J1400" s="2">
        <f>YEAR(Sheet1[[#This Row],[claim_date]])</f>
        <v>2024</v>
      </c>
      <c r="K1400" s="2" t="str">
        <f>"Q"&amp;ROUNDUP(MONTH(Sheet1[[#This Row],[claim_date]])/3,0)</f>
        <v>Q2</v>
      </c>
      <c r="L1400" s="2" t="str">
        <f>IF(Sheet1[[#This Row],[claim_amount]]&lt;100000,"Low",IF(Sheet1[[#This Row],[claim_amount]]&lt;200000,"Medium","High"))</f>
        <v>High</v>
      </c>
      <c r="M1400" s="2" t="str">
        <f>IF(Sheet1[[#This Row],[days_to_process]]&lt;=30,"Fast","Slow")</f>
        <v>Fast</v>
      </c>
    </row>
    <row r="1401" spans="1:13" x14ac:dyDescent="0.3">
      <c r="A1401" t="s">
        <v>2545</v>
      </c>
      <c r="B1401" s="2" t="s">
        <v>209</v>
      </c>
      <c r="C1401" s="1">
        <v>45191</v>
      </c>
      <c r="D1401" s="35">
        <v>423005.08</v>
      </c>
      <c r="E1401" s="2" t="s">
        <v>19</v>
      </c>
      <c r="F1401" s="2" t="s">
        <v>34</v>
      </c>
      <c r="G1401" s="2" t="s">
        <v>24</v>
      </c>
      <c r="H1401">
        <v>17</v>
      </c>
      <c r="I1401" s="2" t="str">
        <f>TEXT(Sheet1[[#This Row],[claim_date]],"mmmm")</f>
        <v>September</v>
      </c>
      <c r="J1401" s="2">
        <f>YEAR(Sheet1[[#This Row],[claim_date]])</f>
        <v>2023</v>
      </c>
      <c r="K1401" s="2" t="str">
        <f>"Q"&amp;ROUNDUP(MONTH(Sheet1[[#This Row],[claim_date]])/3,0)</f>
        <v>Q3</v>
      </c>
      <c r="L1401" s="2" t="str">
        <f>IF(Sheet1[[#This Row],[claim_amount]]&lt;100000,"Low",IF(Sheet1[[#This Row],[claim_amount]]&lt;200000,"Medium","High"))</f>
        <v>High</v>
      </c>
      <c r="M1401" s="2" t="str">
        <f>IF(Sheet1[[#This Row],[days_to_process]]&lt;=30,"Fast","Slow")</f>
        <v>Fast</v>
      </c>
    </row>
    <row r="1402" spans="1:13" x14ac:dyDescent="0.3">
      <c r="A1402" t="s">
        <v>2546</v>
      </c>
      <c r="B1402" s="2" t="s">
        <v>437</v>
      </c>
      <c r="C1402" s="1">
        <v>45248</v>
      </c>
      <c r="D1402" s="35">
        <v>125443.45</v>
      </c>
      <c r="E1402" s="2" t="s">
        <v>15</v>
      </c>
      <c r="F1402" s="2" t="s">
        <v>11</v>
      </c>
      <c r="G1402" s="2" t="s">
        <v>12</v>
      </c>
      <c r="H1402">
        <v>34</v>
      </c>
      <c r="I1402" s="2" t="str">
        <f>TEXT(Sheet1[[#This Row],[claim_date]],"mmmm")</f>
        <v>November</v>
      </c>
      <c r="J1402" s="2">
        <f>YEAR(Sheet1[[#This Row],[claim_date]])</f>
        <v>2023</v>
      </c>
      <c r="K1402" s="2" t="str">
        <f>"Q"&amp;ROUNDUP(MONTH(Sheet1[[#This Row],[claim_date]])/3,0)</f>
        <v>Q4</v>
      </c>
      <c r="L1402" s="2" t="str">
        <f>IF(Sheet1[[#This Row],[claim_amount]]&lt;100000,"Low",IF(Sheet1[[#This Row],[claim_amount]]&lt;200000,"Medium","High"))</f>
        <v>Medium</v>
      </c>
      <c r="M1402" s="2" t="str">
        <f>IF(Sheet1[[#This Row],[days_to_process]]&lt;=30,"Fast","Slow")</f>
        <v>Slow</v>
      </c>
    </row>
    <row r="1403" spans="1:13" x14ac:dyDescent="0.3">
      <c r="A1403" t="s">
        <v>2547</v>
      </c>
      <c r="B1403" s="2" t="s">
        <v>2548</v>
      </c>
      <c r="C1403" s="1">
        <v>45557</v>
      </c>
      <c r="D1403" s="35">
        <v>399400.01</v>
      </c>
      <c r="E1403" s="2" t="s">
        <v>19</v>
      </c>
      <c r="F1403" s="2" t="s">
        <v>34</v>
      </c>
      <c r="G1403" s="2" t="s">
        <v>12</v>
      </c>
      <c r="H1403">
        <v>50</v>
      </c>
      <c r="I1403" s="2" t="str">
        <f>TEXT(Sheet1[[#This Row],[claim_date]],"mmmm")</f>
        <v>September</v>
      </c>
      <c r="J1403" s="2">
        <f>YEAR(Sheet1[[#This Row],[claim_date]])</f>
        <v>2024</v>
      </c>
      <c r="K1403" s="2" t="str">
        <f>"Q"&amp;ROUNDUP(MONTH(Sheet1[[#This Row],[claim_date]])/3,0)</f>
        <v>Q3</v>
      </c>
      <c r="L1403" s="2" t="str">
        <f>IF(Sheet1[[#This Row],[claim_amount]]&lt;100000,"Low",IF(Sheet1[[#This Row],[claim_amount]]&lt;200000,"Medium","High"))</f>
        <v>High</v>
      </c>
      <c r="M1403" s="2" t="str">
        <f>IF(Sheet1[[#This Row],[days_to_process]]&lt;=30,"Fast","Slow")</f>
        <v>Slow</v>
      </c>
    </row>
    <row r="1404" spans="1:13" x14ac:dyDescent="0.3">
      <c r="A1404" t="s">
        <v>2549</v>
      </c>
      <c r="B1404" s="2" t="s">
        <v>2550</v>
      </c>
      <c r="C1404" s="1">
        <v>45320</v>
      </c>
      <c r="D1404" s="35">
        <v>109732.19</v>
      </c>
      <c r="E1404" s="2" t="s">
        <v>19</v>
      </c>
      <c r="F1404" s="2" t="s">
        <v>16</v>
      </c>
      <c r="G1404" s="2" t="s">
        <v>24</v>
      </c>
      <c r="H1404">
        <v>41</v>
      </c>
      <c r="I1404" s="2" t="str">
        <f>TEXT(Sheet1[[#This Row],[claim_date]],"mmmm")</f>
        <v>January</v>
      </c>
      <c r="J1404" s="2">
        <f>YEAR(Sheet1[[#This Row],[claim_date]])</f>
        <v>2024</v>
      </c>
      <c r="K1404" s="2" t="str">
        <f>"Q"&amp;ROUNDUP(MONTH(Sheet1[[#This Row],[claim_date]])/3,0)</f>
        <v>Q1</v>
      </c>
      <c r="L1404" s="2" t="str">
        <f>IF(Sheet1[[#This Row],[claim_amount]]&lt;100000,"Low",IF(Sheet1[[#This Row],[claim_amount]]&lt;200000,"Medium","High"))</f>
        <v>Medium</v>
      </c>
      <c r="M1404" s="2" t="str">
        <f>IF(Sheet1[[#This Row],[days_to_process]]&lt;=30,"Fast","Slow")</f>
        <v>Slow</v>
      </c>
    </row>
    <row r="1405" spans="1:13" x14ac:dyDescent="0.3">
      <c r="A1405" t="s">
        <v>2551</v>
      </c>
      <c r="B1405" s="2" t="s">
        <v>2552</v>
      </c>
      <c r="C1405" s="1">
        <v>45335</v>
      </c>
      <c r="D1405" s="35">
        <v>438345.46</v>
      </c>
      <c r="E1405" s="2" t="s">
        <v>15</v>
      </c>
      <c r="F1405" s="2" t="s">
        <v>23</v>
      </c>
      <c r="G1405" s="2" t="s">
        <v>12</v>
      </c>
      <c r="H1405">
        <v>46</v>
      </c>
      <c r="I1405" s="2" t="str">
        <f>TEXT(Sheet1[[#This Row],[claim_date]],"mmmm")</f>
        <v>February</v>
      </c>
      <c r="J1405" s="2">
        <f>YEAR(Sheet1[[#This Row],[claim_date]])</f>
        <v>2024</v>
      </c>
      <c r="K1405" s="2" t="str">
        <f>"Q"&amp;ROUNDUP(MONTH(Sheet1[[#This Row],[claim_date]])/3,0)</f>
        <v>Q1</v>
      </c>
      <c r="L1405" s="2" t="str">
        <f>IF(Sheet1[[#This Row],[claim_amount]]&lt;100000,"Low",IF(Sheet1[[#This Row],[claim_amount]]&lt;200000,"Medium","High"))</f>
        <v>High</v>
      </c>
      <c r="M1405" s="2" t="str">
        <f>IF(Sheet1[[#This Row],[days_to_process]]&lt;=30,"Fast","Slow")</f>
        <v>Slow</v>
      </c>
    </row>
    <row r="1406" spans="1:13" x14ac:dyDescent="0.3">
      <c r="A1406" t="s">
        <v>2553</v>
      </c>
      <c r="B1406" s="2" t="s">
        <v>288</v>
      </c>
      <c r="C1406" s="1">
        <v>44650</v>
      </c>
      <c r="D1406" s="35">
        <v>373093.5</v>
      </c>
      <c r="E1406" s="2" t="s">
        <v>19</v>
      </c>
      <c r="F1406" s="2" t="s">
        <v>34</v>
      </c>
      <c r="G1406" s="2" t="s">
        <v>12</v>
      </c>
      <c r="H1406">
        <v>23</v>
      </c>
      <c r="I1406" s="2" t="str">
        <f>TEXT(Sheet1[[#This Row],[claim_date]],"mmmm")</f>
        <v>March</v>
      </c>
      <c r="J1406" s="2">
        <f>YEAR(Sheet1[[#This Row],[claim_date]])</f>
        <v>2022</v>
      </c>
      <c r="K1406" s="2" t="str">
        <f>"Q"&amp;ROUNDUP(MONTH(Sheet1[[#This Row],[claim_date]])/3,0)</f>
        <v>Q1</v>
      </c>
      <c r="L1406" s="2" t="str">
        <f>IF(Sheet1[[#This Row],[claim_amount]]&lt;100000,"Low",IF(Sheet1[[#This Row],[claim_amount]]&lt;200000,"Medium","High"))</f>
        <v>High</v>
      </c>
      <c r="M1406" s="2" t="str">
        <f>IF(Sheet1[[#This Row],[days_to_process]]&lt;=30,"Fast","Slow")</f>
        <v>Fast</v>
      </c>
    </row>
    <row r="1407" spans="1:13" x14ac:dyDescent="0.3">
      <c r="A1407" t="s">
        <v>2554</v>
      </c>
      <c r="B1407" s="2" t="s">
        <v>2555</v>
      </c>
      <c r="C1407" s="1">
        <v>45265</v>
      </c>
      <c r="D1407" s="35">
        <v>124149.71</v>
      </c>
      <c r="E1407" s="2" t="s">
        <v>19</v>
      </c>
      <c r="F1407" s="2" t="s">
        <v>23</v>
      </c>
      <c r="G1407" s="2" t="s">
        <v>24</v>
      </c>
      <c r="H1407">
        <v>5</v>
      </c>
      <c r="I1407" s="2" t="str">
        <f>TEXT(Sheet1[[#This Row],[claim_date]],"mmmm")</f>
        <v>December</v>
      </c>
      <c r="J1407" s="2">
        <f>YEAR(Sheet1[[#This Row],[claim_date]])</f>
        <v>2023</v>
      </c>
      <c r="K1407" s="2" t="str">
        <f>"Q"&amp;ROUNDUP(MONTH(Sheet1[[#This Row],[claim_date]])/3,0)</f>
        <v>Q4</v>
      </c>
      <c r="L1407" s="2" t="str">
        <f>IF(Sheet1[[#This Row],[claim_amount]]&lt;100000,"Low",IF(Sheet1[[#This Row],[claim_amount]]&lt;200000,"Medium","High"))</f>
        <v>Medium</v>
      </c>
      <c r="M1407" s="2" t="str">
        <f>IF(Sheet1[[#This Row],[days_to_process]]&lt;=30,"Fast","Slow")</f>
        <v>Fast</v>
      </c>
    </row>
  </sheetData>
  <conditionalFormatting sqref="E2:E1407">
    <cfRule type="cellIs" dxfId="9" priority="1" operator="equal">
      <formula>"Approved"</formula>
    </cfRule>
    <cfRule type="cellIs" dxfId="8" priority="2" operator="equal">
      <formula>"Pending"</formula>
    </cfRule>
    <cfRule type="cellIs" dxfId="7" priority="3" operator="equal">
      <formula>"Rejected"</formula>
    </cfRule>
    <cfRule type="colorScale" priority="4">
      <colorScale>
        <cfvo type="min"/>
        <cfvo type="percentile" val="50"/>
        <cfvo type="max"/>
        <color rgb="FFF8696B"/>
        <color rgb="FFFFEB84"/>
        <color rgb="FF63BE7B"/>
      </colorScale>
    </cfRule>
  </conditionalFormatting>
  <conditionalFormatting sqref="H2:H1407">
    <cfRule type="dataBar" priority="8">
      <dataBar>
        <cfvo type="min"/>
        <cfvo type="max"/>
        <color rgb="FF638EC6"/>
      </dataBar>
      <extLst>
        <ext xmlns:x14="http://schemas.microsoft.com/office/spreadsheetml/2009/9/main" uri="{B025F937-C7B1-47D3-B67F-A62EFF666E3E}">
          <x14:id>{112F9F42-B6B3-458D-B8D5-67EC85C37A68}</x14:id>
        </ext>
      </extLst>
    </cfRule>
  </conditionalFormatting>
  <conditionalFormatting sqref="L2:L1407">
    <cfRule type="cellIs" dxfId="6" priority="10" operator="equal">
      <formula>"Low"</formula>
    </cfRule>
    <cfRule type="cellIs" dxfId="5" priority="11" operator="equal">
      <formula>"Low"</formula>
    </cfRule>
    <cfRule type="cellIs" dxfId="4" priority="12" operator="equal">
      <formula>"Medium"</formula>
    </cfRule>
    <cfRule type="cellIs" dxfId="3" priority="13" operator="equal">
      <formula>"High"</formula>
    </cfRule>
  </conditionalFormatting>
  <conditionalFormatting sqref="M2">
    <cfRule type="expression" dxfId="2" priority="9">
      <formula>"Slow"</formula>
    </cfRule>
  </conditionalFormatting>
  <conditionalFormatting sqref="M2:M1407">
    <cfRule type="cellIs" dxfId="1" priority="5" operator="equal">
      <formula>"fast"</formula>
    </cfRule>
    <cfRule type="cellIs" dxfId="0" priority="6" operator="equal">
      <formula>"Slow"</formula>
    </cfRule>
    <cfRule type="colorScale" priority="7">
      <colorScale>
        <cfvo type="min"/>
        <cfvo type="max"/>
        <color theme="5" tint="0.39997558519241921"/>
        <color theme="9" tint="0.39997558519241921"/>
      </colorScale>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112F9F42-B6B3-458D-B8D5-67EC85C37A68}">
            <x14:dataBar minLength="0" maxLength="100" border="1" negativeBarBorderColorSameAsPositive="0">
              <x14:cfvo type="autoMin"/>
              <x14:cfvo type="autoMax"/>
              <x14:borderColor rgb="FF638EC6"/>
              <x14:negativeFillColor rgb="FFFF0000"/>
              <x14:negativeBorderColor rgb="FFFF0000"/>
              <x14:axisColor rgb="FF000000"/>
            </x14:dataBar>
          </x14:cfRule>
          <xm:sqref>H2:H1407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A09FF-3A22-4837-855C-4900E98D1DED}">
  <dimension ref="B1:O85"/>
  <sheetViews>
    <sheetView showGridLines="0" zoomScale="85" zoomScaleNormal="85" workbookViewId="0">
      <selection activeCell="I20" sqref="I20"/>
    </sheetView>
  </sheetViews>
  <sheetFormatPr defaultRowHeight="14.4" x14ac:dyDescent="0.3"/>
  <cols>
    <col min="1" max="1" width="8.88671875" style="12"/>
    <col min="2" max="2" width="13.44140625" style="12" bestFit="1" customWidth="1"/>
    <col min="3" max="3" width="26.21875" style="12" bestFit="1" customWidth="1"/>
    <col min="4" max="4" width="8.21875" style="12" bestFit="1" customWidth="1"/>
    <col min="5" max="5" width="8.5546875" style="12" customWidth="1"/>
    <col min="6" max="6" width="16.6640625" style="12" customWidth="1"/>
    <col min="7" max="7" width="20.77734375" style="12" bestFit="1" customWidth="1"/>
    <col min="8" max="8" width="8.21875" style="12" bestFit="1" customWidth="1"/>
    <col min="9" max="9" width="13.109375" style="12" customWidth="1"/>
    <col min="10" max="10" width="11.44140625" style="12" customWidth="1"/>
    <col min="11" max="11" width="13.44140625" style="12" bestFit="1" customWidth="1"/>
    <col min="12" max="12" width="16.6640625" style="12" bestFit="1" customWidth="1"/>
    <col min="13" max="13" width="5.21875" style="12" bestFit="1" customWidth="1"/>
    <col min="14" max="15" width="11.44140625" style="12" bestFit="1" customWidth="1"/>
    <col min="16" max="16" width="9.88671875" style="12" bestFit="1" customWidth="1"/>
    <col min="17" max="17" width="6.77734375" style="12" customWidth="1"/>
    <col min="18" max="18" width="12.5546875" style="12" bestFit="1" customWidth="1"/>
    <col min="19" max="19" width="10.33203125" style="12" bestFit="1" customWidth="1"/>
    <col min="20" max="20" width="4" style="12" bestFit="1" customWidth="1"/>
    <col min="21" max="21" width="13.109375" style="12" bestFit="1" customWidth="1"/>
    <col min="22" max="22" width="10.77734375" style="12" bestFit="1" customWidth="1"/>
    <col min="23" max="16384" width="8.88671875" style="12"/>
  </cols>
  <sheetData>
    <row r="1" spans="2:12" ht="15" thickBot="1" x14ac:dyDescent="0.35"/>
    <row r="2" spans="2:12" x14ac:dyDescent="0.3">
      <c r="F2" s="39" t="s">
        <v>2602</v>
      </c>
      <c r="G2" s="40"/>
      <c r="H2" s="40"/>
      <c r="I2" s="41"/>
    </row>
    <row r="3" spans="2:12" ht="15" thickBot="1" x14ac:dyDescent="0.35">
      <c r="F3" s="42"/>
      <c r="G3" s="43"/>
      <c r="H3" s="43"/>
      <c r="I3" s="44"/>
    </row>
    <row r="6" spans="2:12" ht="15" thickBot="1" x14ac:dyDescent="0.35"/>
    <row r="7" spans="2:12" x14ac:dyDescent="0.3">
      <c r="B7" s="36" t="s">
        <v>2564</v>
      </c>
      <c r="C7" s="38"/>
      <c r="F7" s="36" t="s">
        <v>2584</v>
      </c>
      <c r="G7" s="38"/>
      <c r="K7" s="36" t="s">
        <v>2585</v>
      </c>
      <c r="L7" s="38"/>
    </row>
    <row r="8" spans="2:12" ht="15" thickBot="1" x14ac:dyDescent="0.35">
      <c r="B8" s="13"/>
      <c r="C8" s="14"/>
      <c r="F8" s="13"/>
      <c r="G8" s="14"/>
      <c r="K8" s="13"/>
      <c r="L8" s="14"/>
    </row>
    <row r="9" spans="2:12" ht="15" thickBot="1" x14ac:dyDescent="0.35">
      <c r="B9" s="15" t="s">
        <v>2561</v>
      </c>
      <c r="C9" s="15" t="s">
        <v>2563</v>
      </c>
      <c r="F9" s="15" t="s">
        <v>2561</v>
      </c>
      <c r="G9" s="15" t="s">
        <v>2565</v>
      </c>
      <c r="K9" s="15" t="s">
        <v>2561</v>
      </c>
      <c r="L9" s="15" t="s">
        <v>2563</v>
      </c>
    </row>
    <row r="10" spans="2:12" x14ac:dyDescent="0.3">
      <c r="B10" s="16" t="s">
        <v>15</v>
      </c>
      <c r="C10" s="32">
        <v>504</v>
      </c>
      <c r="F10" s="16" t="s">
        <v>23</v>
      </c>
      <c r="G10" s="32">
        <v>71004172.029999971</v>
      </c>
      <c r="K10" s="16" t="s">
        <v>2580</v>
      </c>
      <c r="L10" s="32">
        <v>106</v>
      </c>
    </row>
    <row r="11" spans="2:12" x14ac:dyDescent="0.3">
      <c r="B11" s="17" t="s">
        <v>10</v>
      </c>
      <c r="C11" s="33">
        <v>454</v>
      </c>
      <c r="F11" s="17" t="s">
        <v>20</v>
      </c>
      <c r="G11" s="33">
        <v>73819295.030000016</v>
      </c>
      <c r="K11" s="17" t="s">
        <v>2582</v>
      </c>
      <c r="L11" s="33">
        <v>115</v>
      </c>
    </row>
    <row r="12" spans="2:12" ht="15" thickBot="1" x14ac:dyDescent="0.35">
      <c r="B12" s="18" t="s">
        <v>19</v>
      </c>
      <c r="C12" s="33">
        <v>448</v>
      </c>
      <c r="F12" s="17" t="s">
        <v>16</v>
      </c>
      <c r="G12" s="33">
        <v>67837287.929999992</v>
      </c>
      <c r="K12" s="17" t="s">
        <v>2583</v>
      </c>
      <c r="L12" s="33">
        <v>99</v>
      </c>
    </row>
    <row r="13" spans="2:12" ht="15" thickBot="1" x14ac:dyDescent="0.35">
      <c r="B13" s="19" t="s">
        <v>2562</v>
      </c>
      <c r="C13" s="34">
        <v>1406</v>
      </c>
      <c r="F13" s="17" t="s">
        <v>34</v>
      </c>
      <c r="G13" s="33">
        <v>67671430.840000018</v>
      </c>
      <c r="K13" s="17" t="s">
        <v>2569</v>
      </c>
      <c r="L13" s="33">
        <v>105</v>
      </c>
    </row>
    <row r="14" spans="2:12" ht="15" thickBot="1" x14ac:dyDescent="0.35">
      <c r="F14" s="18" t="s">
        <v>11</v>
      </c>
      <c r="G14" s="33">
        <v>75290811.920000032</v>
      </c>
      <c r="K14" s="17" t="s">
        <v>2579</v>
      </c>
      <c r="L14" s="33">
        <v>125</v>
      </c>
    </row>
    <row r="15" spans="2:12" ht="15" thickBot="1" x14ac:dyDescent="0.35">
      <c r="F15" s="19" t="s">
        <v>2562</v>
      </c>
      <c r="G15" s="34">
        <v>355622997.75000006</v>
      </c>
      <c r="K15" s="17" t="s">
        <v>2575</v>
      </c>
      <c r="L15" s="33">
        <v>119</v>
      </c>
    </row>
    <row r="16" spans="2:12" x14ac:dyDescent="0.3">
      <c r="K16" s="17" t="s">
        <v>2573</v>
      </c>
      <c r="L16" s="33">
        <v>122</v>
      </c>
    </row>
    <row r="17" spans="2:12" x14ac:dyDescent="0.3">
      <c r="K17" s="17" t="s">
        <v>2576</v>
      </c>
      <c r="L17" s="33">
        <v>146</v>
      </c>
    </row>
    <row r="18" spans="2:12" x14ac:dyDescent="0.3">
      <c r="K18" s="17" t="s">
        <v>2578</v>
      </c>
      <c r="L18" s="33">
        <v>119</v>
      </c>
    </row>
    <row r="19" spans="2:12" x14ac:dyDescent="0.3">
      <c r="K19" s="17" t="s">
        <v>2566</v>
      </c>
      <c r="L19" s="33">
        <v>117</v>
      </c>
    </row>
    <row r="20" spans="2:12" x14ac:dyDescent="0.3">
      <c r="K20" s="17" t="s">
        <v>2572</v>
      </c>
      <c r="L20" s="33">
        <v>117</v>
      </c>
    </row>
    <row r="21" spans="2:12" ht="15" thickBot="1" x14ac:dyDescent="0.35">
      <c r="K21" s="18" t="s">
        <v>2577</v>
      </c>
      <c r="L21" s="33">
        <v>116</v>
      </c>
    </row>
    <row r="22" spans="2:12" ht="15" thickBot="1" x14ac:dyDescent="0.35">
      <c r="K22" s="19" t="s">
        <v>2562</v>
      </c>
      <c r="L22" s="34">
        <v>1406</v>
      </c>
    </row>
    <row r="26" spans="2:12" ht="15" thickBot="1" x14ac:dyDescent="0.35"/>
    <row r="27" spans="2:12" x14ac:dyDescent="0.3">
      <c r="B27" s="36" t="s">
        <v>2586</v>
      </c>
      <c r="C27" s="38"/>
      <c r="F27" s="45" t="s">
        <v>2587</v>
      </c>
      <c r="G27" s="38"/>
      <c r="K27" s="36" t="s">
        <v>2588</v>
      </c>
      <c r="L27" s="38"/>
    </row>
    <row r="28" spans="2:12" ht="15" thickBot="1" x14ac:dyDescent="0.35">
      <c r="B28" s="13"/>
      <c r="C28" s="14"/>
      <c r="F28" s="13"/>
      <c r="G28" s="14"/>
      <c r="K28" s="13"/>
      <c r="L28" s="14"/>
    </row>
    <row r="29" spans="2:12" ht="15" thickBot="1" x14ac:dyDescent="0.35">
      <c r="B29" s="15" t="s">
        <v>2561</v>
      </c>
      <c r="C29" s="15" t="s">
        <v>2563</v>
      </c>
      <c r="F29" s="15" t="s">
        <v>2561</v>
      </c>
      <c r="G29" s="15" t="s">
        <v>2563</v>
      </c>
      <c r="K29" s="15" t="s">
        <v>2561</v>
      </c>
      <c r="L29" s="15" t="s">
        <v>2563</v>
      </c>
    </row>
    <row r="30" spans="2:12" x14ac:dyDescent="0.3">
      <c r="B30" s="16">
        <v>2020</v>
      </c>
      <c r="C30" s="32">
        <v>16</v>
      </c>
      <c r="F30" s="16" t="s">
        <v>2581</v>
      </c>
      <c r="G30" s="32">
        <v>320</v>
      </c>
      <c r="K30" s="16" t="s">
        <v>12</v>
      </c>
      <c r="L30" s="32">
        <v>717</v>
      </c>
    </row>
    <row r="31" spans="2:12" ht="15" thickBot="1" x14ac:dyDescent="0.35">
      <c r="B31" s="17">
        <v>2021</v>
      </c>
      <c r="C31" s="33">
        <v>114</v>
      </c>
      <c r="F31" s="17" t="s">
        <v>2570</v>
      </c>
      <c r="G31" s="33">
        <v>349</v>
      </c>
      <c r="K31" s="18" t="s">
        <v>24</v>
      </c>
      <c r="L31" s="33">
        <v>689</v>
      </c>
    </row>
    <row r="32" spans="2:12" ht="15" thickBot="1" x14ac:dyDescent="0.35">
      <c r="B32" s="17">
        <v>2022</v>
      </c>
      <c r="C32" s="33">
        <v>237</v>
      </c>
      <c r="F32" s="17" t="s">
        <v>2574</v>
      </c>
      <c r="G32" s="33">
        <v>387</v>
      </c>
      <c r="K32" s="19" t="s">
        <v>2562</v>
      </c>
      <c r="L32" s="34">
        <v>1406</v>
      </c>
    </row>
    <row r="33" spans="2:15" ht="15" thickBot="1" x14ac:dyDescent="0.35">
      <c r="B33" s="17">
        <v>2023</v>
      </c>
      <c r="C33" s="33">
        <v>437</v>
      </c>
      <c r="F33" s="18" t="s">
        <v>2567</v>
      </c>
      <c r="G33" s="33">
        <v>350</v>
      </c>
    </row>
    <row r="34" spans="2:15" ht="15" thickBot="1" x14ac:dyDescent="0.35">
      <c r="B34" s="17">
        <v>2024</v>
      </c>
      <c r="C34" s="33">
        <v>540</v>
      </c>
      <c r="F34" s="19" t="s">
        <v>2562</v>
      </c>
      <c r="G34" s="34">
        <v>1406</v>
      </c>
    </row>
    <row r="35" spans="2:15" ht="15" thickBot="1" x14ac:dyDescent="0.35">
      <c r="B35" s="18">
        <v>2025</v>
      </c>
      <c r="C35" s="33">
        <v>62</v>
      </c>
    </row>
    <row r="36" spans="2:15" ht="15" thickBot="1" x14ac:dyDescent="0.35">
      <c r="B36" s="19" t="s">
        <v>2562</v>
      </c>
      <c r="C36" s="34">
        <v>1406</v>
      </c>
    </row>
    <row r="39" spans="2:15" ht="15" thickBot="1" x14ac:dyDescent="0.35"/>
    <row r="40" spans="2:15" x14ac:dyDescent="0.3">
      <c r="B40" s="36" t="s">
        <v>2589</v>
      </c>
      <c r="C40" s="38"/>
      <c r="F40" s="36" t="s">
        <v>2592</v>
      </c>
      <c r="G40" s="37"/>
      <c r="H40" s="37"/>
      <c r="I40" s="37"/>
      <c r="J40" s="38"/>
      <c r="L40" s="36" t="s">
        <v>2593</v>
      </c>
      <c r="M40" s="37"/>
      <c r="N40" s="37"/>
      <c r="O40" s="38"/>
    </row>
    <row r="41" spans="2:15" ht="15" thickBot="1" x14ac:dyDescent="0.35">
      <c r="B41" s="13"/>
      <c r="C41" s="14"/>
      <c r="F41" s="13"/>
      <c r="J41" s="14"/>
      <c r="L41" s="13"/>
      <c r="O41" s="14"/>
    </row>
    <row r="42" spans="2:15" ht="15" thickBot="1" x14ac:dyDescent="0.35">
      <c r="B42" s="15" t="s">
        <v>2561</v>
      </c>
      <c r="C42" s="15" t="s">
        <v>2590</v>
      </c>
      <c r="F42" s="15" t="s">
        <v>2563</v>
      </c>
      <c r="G42" s="15" t="s">
        <v>2591</v>
      </c>
      <c r="H42" s="20"/>
      <c r="I42" s="21"/>
      <c r="J42" s="22"/>
      <c r="L42" s="15" t="s">
        <v>2563</v>
      </c>
      <c r="M42" s="15" t="s">
        <v>2591</v>
      </c>
      <c r="N42" s="20"/>
      <c r="O42" s="22"/>
    </row>
    <row r="43" spans="2:15" ht="15" thickBot="1" x14ac:dyDescent="0.35">
      <c r="B43" s="16" t="s">
        <v>23</v>
      </c>
      <c r="C43" s="23">
        <v>31.759581881533101</v>
      </c>
      <c r="F43" s="15" t="s">
        <v>2561</v>
      </c>
      <c r="G43" s="20" t="s">
        <v>15</v>
      </c>
      <c r="H43" s="21" t="s">
        <v>10</v>
      </c>
      <c r="I43" s="22" t="s">
        <v>19</v>
      </c>
      <c r="J43" s="15" t="s">
        <v>2562</v>
      </c>
      <c r="L43" s="15" t="s">
        <v>2561</v>
      </c>
      <c r="M43" s="20" t="s">
        <v>12</v>
      </c>
      <c r="N43" s="22" t="s">
        <v>24</v>
      </c>
      <c r="O43" s="15" t="s">
        <v>2562</v>
      </c>
    </row>
    <row r="44" spans="2:15" x14ac:dyDescent="0.3">
      <c r="B44" s="17" t="s">
        <v>20</v>
      </c>
      <c r="C44" s="24">
        <v>30.740350877192981</v>
      </c>
      <c r="F44" s="16" t="s">
        <v>23</v>
      </c>
      <c r="G44" s="26">
        <v>111</v>
      </c>
      <c r="H44" s="27">
        <v>97</v>
      </c>
      <c r="I44" s="27">
        <v>79</v>
      </c>
      <c r="J44" s="28">
        <v>287</v>
      </c>
      <c r="L44" s="16" t="s">
        <v>23</v>
      </c>
      <c r="M44" s="26">
        <v>147</v>
      </c>
      <c r="N44" s="27">
        <v>140</v>
      </c>
      <c r="O44" s="28">
        <v>287</v>
      </c>
    </row>
    <row r="45" spans="2:15" x14ac:dyDescent="0.3">
      <c r="B45" s="17" t="s">
        <v>16</v>
      </c>
      <c r="C45" s="24">
        <v>30.310861423220974</v>
      </c>
      <c r="F45" s="17" t="s">
        <v>20</v>
      </c>
      <c r="G45" s="13">
        <v>105</v>
      </c>
      <c r="H45" s="12">
        <v>81</v>
      </c>
      <c r="I45" s="12">
        <v>99</v>
      </c>
      <c r="J45" s="14">
        <v>285</v>
      </c>
      <c r="L45" s="17" t="s">
        <v>20</v>
      </c>
      <c r="M45" s="13">
        <v>128</v>
      </c>
      <c r="N45" s="12">
        <v>157</v>
      </c>
      <c r="O45" s="14">
        <v>285</v>
      </c>
    </row>
    <row r="46" spans="2:15" x14ac:dyDescent="0.3">
      <c r="B46" s="17" t="s">
        <v>34</v>
      </c>
      <c r="C46" s="24">
        <v>31.433212996389891</v>
      </c>
      <c r="F46" s="17" t="s">
        <v>16</v>
      </c>
      <c r="G46" s="13">
        <v>94</v>
      </c>
      <c r="H46" s="12">
        <v>91</v>
      </c>
      <c r="I46" s="12">
        <v>82</v>
      </c>
      <c r="J46" s="14">
        <v>267</v>
      </c>
      <c r="L46" s="17" t="s">
        <v>16</v>
      </c>
      <c r="M46" s="13">
        <v>136</v>
      </c>
      <c r="N46" s="12">
        <v>131</v>
      </c>
      <c r="O46" s="14">
        <v>267</v>
      </c>
    </row>
    <row r="47" spans="2:15" ht="15" thickBot="1" x14ac:dyDescent="0.35">
      <c r="B47" s="18" t="s">
        <v>11</v>
      </c>
      <c r="C47" s="24">
        <v>31.558620689655172</v>
      </c>
      <c r="F47" s="17" t="s">
        <v>34</v>
      </c>
      <c r="G47" s="13">
        <v>91</v>
      </c>
      <c r="H47" s="12">
        <v>93</v>
      </c>
      <c r="I47" s="12">
        <v>93</v>
      </c>
      <c r="J47" s="14">
        <v>277</v>
      </c>
      <c r="L47" s="17" t="s">
        <v>34</v>
      </c>
      <c r="M47" s="13">
        <v>146</v>
      </c>
      <c r="N47" s="12">
        <v>131</v>
      </c>
      <c r="O47" s="14">
        <v>277</v>
      </c>
    </row>
    <row r="48" spans="2:15" ht="15" thickBot="1" x14ac:dyDescent="0.35">
      <c r="B48" s="19" t="s">
        <v>2562</v>
      </c>
      <c r="C48" s="25">
        <v>31.172119487908962</v>
      </c>
      <c r="F48" s="18" t="s">
        <v>11</v>
      </c>
      <c r="G48" s="13">
        <v>103</v>
      </c>
      <c r="H48" s="12">
        <v>92</v>
      </c>
      <c r="I48" s="12">
        <v>95</v>
      </c>
      <c r="J48" s="14">
        <v>290</v>
      </c>
      <c r="L48" s="18" t="s">
        <v>11</v>
      </c>
      <c r="M48" s="13">
        <v>160</v>
      </c>
      <c r="N48" s="12">
        <v>130</v>
      </c>
      <c r="O48" s="14">
        <v>290</v>
      </c>
    </row>
    <row r="49" spans="2:15" ht="15" thickBot="1" x14ac:dyDescent="0.35">
      <c r="F49" s="19" t="s">
        <v>2562</v>
      </c>
      <c r="G49" s="29">
        <v>504</v>
      </c>
      <c r="H49" s="30">
        <v>454</v>
      </c>
      <c r="I49" s="30">
        <v>448</v>
      </c>
      <c r="J49" s="31">
        <v>1406</v>
      </c>
      <c r="L49" s="19" t="s">
        <v>2562</v>
      </c>
      <c r="M49" s="29">
        <v>717</v>
      </c>
      <c r="N49" s="30">
        <v>689</v>
      </c>
      <c r="O49" s="31">
        <v>1406</v>
      </c>
    </row>
    <row r="53" spans="2:15" ht="15" thickBot="1" x14ac:dyDescent="0.35"/>
    <row r="54" spans="2:15" x14ac:dyDescent="0.3">
      <c r="B54" s="36" t="s">
        <v>2595</v>
      </c>
      <c r="C54" s="38"/>
      <c r="F54" s="36" t="s">
        <v>2596</v>
      </c>
      <c r="G54" s="38"/>
      <c r="K54" s="36" t="s">
        <v>2597</v>
      </c>
      <c r="L54" s="37"/>
      <c r="M54" s="37"/>
      <c r="N54" s="38"/>
    </row>
    <row r="55" spans="2:15" ht="15" thickBot="1" x14ac:dyDescent="0.35">
      <c r="B55" s="13"/>
      <c r="C55" s="14"/>
      <c r="F55" s="13"/>
      <c r="G55" s="14"/>
      <c r="K55" s="13"/>
      <c r="N55" s="14"/>
    </row>
    <row r="56" spans="2:15" ht="15" thickBot="1" x14ac:dyDescent="0.35">
      <c r="B56" s="15" t="s">
        <v>2561</v>
      </c>
      <c r="C56" s="15" t="s">
        <v>2594</v>
      </c>
      <c r="F56" s="15" t="s">
        <v>2561</v>
      </c>
      <c r="G56" s="15" t="s">
        <v>2565</v>
      </c>
      <c r="K56" s="15" t="s">
        <v>2563</v>
      </c>
      <c r="L56" s="15" t="s">
        <v>2591</v>
      </c>
      <c r="M56" s="20"/>
      <c r="N56" s="22"/>
    </row>
    <row r="57" spans="2:15" ht="15" thickBot="1" x14ac:dyDescent="0.35">
      <c r="B57" s="16" t="s">
        <v>15</v>
      </c>
      <c r="C57" s="23">
        <v>252755.32680555535</v>
      </c>
      <c r="F57" s="16">
        <v>2020</v>
      </c>
      <c r="G57" s="32">
        <v>4682466.9600000009</v>
      </c>
      <c r="K57" s="15" t="s">
        <v>2561</v>
      </c>
      <c r="L57" s="20" t="s">
        <v>2571</v>
      </c>
      <c r="M57" s="22" t="s">
        <v>2568</v>
      </c>
      <c r="N57" s="15" t="s">
        <v>2562</v>
      </c>
    </row>
    <row r="58" spans="2:15" x14ac:dyDescent="0.3">
      <c r="B58" s="17" t="s">
        <v>10</v>
      </c>
      <c r="C58" s="24">
        <v>258949.23497797363</v>
      </c>
      <c r="F58" s="17">
        <v>2021</v>
      </c>
      <c r="G58" s="33">
        <v>30160853.540000003</v>
      </c>
      <c r="K58" s="16" t="s">
        <v>2580</v>
      </c>
      <c r="L58" s="26">
        <v>56</v>
      </c>
      <c r="M58" s="27">
        <v>50</v>
      </c>
      <c r="N58" s="28">
        <v>106</v>
      </c>
    </row>
    <row r="59" spans="2:15" ht="15" thickBot="1" x14ac:dyDescent="0.35">
      <c r="B59" s="18" t="s">
        <v>19</v>
      </c>
      <c r="C59" s="24">
        <v>247034.28651785728</v>
      </c>
      <c r="F59" s="17">
        <v>2022</v>
      </c>
      <c r="G59" s="33">
        <v>59120357.840000011</v>
      </c>
      <c r="K59" s="17" t="s">
        <v>2582</v>
      </c>
      <c r="L59" s="13">
        <v>49</v>
      </c>
      <c r="M59" s="12">
        <v>66</v>
      </c>
      <c r="N59" s="14">
        <v>115</v>
      </c>
    </row>
    <row r="60" spans="2:15" ht="15" thickBot="1" x14ac:dyDescent="0.35">
      <c r="B60" s="19" t="s">
        <v>2562</v>
      </c>
      <c r="C60" s="25">
        <v>252932.43083214803</v>
      </c>
      <c r="F60" s="17">
        <v>2023</v>
      </c>
      <c r="G60" s="33">
        <v>106192533.40000005</v>
      </c>
      <c r="K60" s="17" t="s">
        <v>2583</v>
      </c>
      <c r="L60" s="13">
        <v>47</v>
      </c>
      <c r="M60" s="12">
        <v>52</v>
      </c>
      <c r="N60" s="14">
        <v>99</v>
      </c>
    </row>
    <row r="61" spans="2:15" x14ac:dyDescent="0.3">
      <c r="F61" s="17">
        <v>2024</v>
      </c>
      <c r="G61" s="33">
        <v>139807294.53</v>
      </c>
      <c r="K61" s="17" t="s">
        <v>2569</v>
      </c>
      <c r="L61" s="13">
        <v>52</v>
      </c>
      <c r="M61" s="12">
        <v>53</v>
      </c>
      <c r="N61" s="14">
        <v>105</v>
      </c>
    </row>
    <row r="62" spans="2:15" ht="15" thickBot="1" x14ac:dyDescent="0.35">
      <c r="F62" s="18">
        <v>2025</v>
      </c>
      <c r="G62" s="33">
        <v>15659491.48</v>
      </c>
      <c r="K62" s="17" t="s">
        <v>2579</v>
      </c>
      <c r="L62" s="13">
        <v>54</v>
      </c>
      <c r="M62" s="12">
        <v>71</v>
      </c>
      <c r="N62" s="14">
        <v>125</v>
      </c>
    </row>
    <row r="63" spans="2:15" ht="15" thickBot="1" x14ac:dyDescent="0.35">
      <c r="F63" s="19" t="s">
        <v>2562</v>
      </c>
      <c r="G63" s="34">
        <v>355622997.75000012</v>
      </c>
      <c r="K63" s="17" t="s">
        <v>2575</v>
      </c>
      <c r="L63" s="13">
        <v>60</v>
      </c>
      <c r="M63" s="12">
        <v>59</v>
      </c>
      <c r="N63" s="14">
        <v>119</v>
      </c>
    </row>
    <row r="64" spans="2:15" x14ac:dyDescent="0.3">
      <c r="K64" s="17" t="s">
        <v>2573</v>
      </c>
      <c r="L64" s="13">
        <v>62</v>
      </c>
      <c r="M64" s="12">
        <v>60</v>
      </c>
      <c r="N64" s="14">
        <v>122</v>
      </c>
    </row>
    <row r="65" spans="2:14" x14ac:dyDescent="0.3">
      <c r="K65" s="17" t="s">
        <v>2576</v>
      </c>
      <c r="L65" s="13">
        <v>68</v>
      </c>
      <c r="M65" s="12">
        <v>78</v>
      </c>
      <c r="N65" s="14">
        <v>146</v>
      </c>
    </row>
    <row r="66" spans="2:14" x14ac:dyDescent="0.3">
      <c r="K66" s="17" t="s">
        <v>2578</v>
      </c>
      <c r="L66" s="13">
        <v>52</v>
      </c>
      <c r="M66" s="12">
        <v>67</v>
      </c>
      <c r="N66" s="14">
        <v>119</v>
      </c>
    </row>
    <row r="67" spans="2:14" x14ac:dyDescent="0.3">
      <c r="K67" s="17" t="s">
        <v>2566</v>
      </c>
      <c r="L67" s="13">
        <v>59</v>
      </c>
      <c r="M67" s="12">
        <v>58</v>
      </c>
      <c r="N67" s="14">
        <v>117</v>
      </c>
    </row>
    <row r="68" spans="2:14" x14ac:dyDescent="0.3">
      <c r="K68" s="17" t="s">
        <v>2572</v>
      </c>
      <c r="L68" s="13">
        <v>56</v>
      </c>
      <c r="M68" s="12">
        <v>61</v>
      </c>
      <c r="N68" s="14">
        <v>117</v>
      </c>
    </row>
    <row r="69" spans="2:14" ht="15" thickBot="1" x14ac:dyDescent="0.35">
      <c r="K69" s="18" t="s">
        <v>2577</v>
      </c>
      <c r="L69" s="13">
        <v>51</v>
      </c>
      <c r="M69" s="12">
        <v>65</v>
      </c>
      <c r="N69" s="14">
        <v>116</v>
      </c>
    </row>
    <row r="70" spans="2:14" ht="15" thickBot="1" x14ac:dyDescent="0.35">
      <c r="K70" s="19" t="s">
        <v>2562</v>
      </c>
      <c r="L70" s="29">
        <v>666</v>
      </c>
      <c r="M70" s="30">
        <v>740</v>
      </c>
      <c r="N70" s="31">
        <v>1406</v>
      </c>
    </row>
    <row r="74" spans="2:14" ht="15" thickBot="1" x14ac:dyDescent="0.35"/>
    <row r="75" spans="2:14" x14ac:dyDescent="0.3">
      <c r="B75" s="36" t="s">
        <v>2598</v>
      </c>
      <c r="C75" s="37"/>
      <c r="D75" s="37"/>
      <c r="E75" s="37"/>
      <c r="F75" s="38"/>
    </row>
    <row r="76" spans="2:14" ht="15" thickBot="1" x14ac:dyDescent="0.35">
      <c r="B76" s="13"/>
      <c r="F76" s="14"/>
    </row>
    <row r="77" spans="2:14" ht="15" thickBot="1" x14ac:dyDescent="0.35">
      <c r="B77" s="15" t="s">
        <v>2563</v>
      </c>
      <c r="C77" s="15" t="s">
        <v>2591</v>
      </c>
      <c r="D77" s="20"/>
      <c r="E77" s="21"/>
      <c r="F77" s="22"/>
    </row>
    <row r="78" spans="2:14" ht="15" thickBot="1" x14ac:dyDescent="0.35">
      <c r="B78" s="15" t="s">
        <v>2561</v>
      </c>
      <c r="C78" s="20" t="s">
        <v>15</v>
      </c>
      <c r="D78" s="21" t="s">
        <v>10</v>
      </c>
      <c r="E78" s="22" t="s">
        <v>19</v>
      </c>
      <c r="F78" s="15" t="s">
        <v>2562</v>
      </c>
    </row>
    <row r="79" spans="2:14" x14ac:dyDescent="0.3">
      <c r="B79" s="16">
        <v>2020</v>
      </c>
      <c r="C79" s="26">
        <v>12</v>
      </c>
      <c r="D79" s="27">
        <v>2</v>
      </c>
      <c r="E79" s="27">
        <v>2</v>
      </c>
      <c r="F79" s="28">
        <v>16</v>
      </c>
    </row>
    <row r="80" spans="2:14" x14ac:dyDescent="0.3">
      <c r="B80" s="17">
        <v>2021</v>
      </c>
      <c r="C80" s="13">
        <v>39</v>
      </c>
      <c r="D80" s="12">
        <v>40</v>
      </c>
      <c r="E80" s="12">
        <v>35</v>
      </c>
      <c r="F80" s="14">
        <v>114</v>
      </c>
    </row>
    <row r="81" spans="2:6" x14ac:dyDescent="0.3">
      <c r="B81" s="17">
        <v>2022</v>
      </c>
      <c r="C81" s="13">
        <v>72</v>
      </c>
      <c r="D81" s="12">
        <v>92</v>
      </c>
      <c r="E81" s="12">
        <v>73</v>
      </c>
      <c r="F81" s="14">
        <v>237</v>
      </c>
    </row>
    <row r="82" spans="2:6" x14ac:dyDescent="0.3">
      <c r="B82" s="17">
        <v>2023</v>
      </c>
      <c r="C82" s="13">
        <v>154</v>
      </c>
      <c r="D82" s="12">
        <v>142</v>
      </c>
      <c r="E82" s="12">
        <v>141</v>
      </c>
      <c r="F82" s="14">
        <v>437</v>
      </c>
    </row>
    <row r="83" spans="2:6" x14ac:dyDescent="0.3">
      <c r="B83" s="17">
        <v>2024</v>
      </c>
      <c r="C83" s="13">
        <v>205</v>
      </c>
      <c r="D83" s="12">
        <v>158</v>
      </c>
      <c r="E83" s="12">
        <v>177</v>
      </c>
      <c r="F83" s="14">
        <v>540</v>
      </c>
    </row>
    <row r="84" spans="2:6" ht="15" thickBot="1" x14ac:dyDescent="0.35">
      <c r="B84" s="18">
        <v>2025</v>
      </c>
      <c r="C84" s="13">
        <v>22</v>
      </c>
      <c r="D84" s="12">
        <v>20</v>
      </c>
      <c r="E84" s="12">
        <v>20</v>
      </c>
      <c r="F84" s="14">
        <v>62</v>
      </c>
    </row>
    <row r="85" spans="2:6" ht="15" thickBot="1" x14ac:dyDescent="0.35">
      <c r="B85" s="19" t="s">
        <v>2562</v>
      </c>
      <c r="C85" s="29">
        <v>504</v>
      </c>
      <c r="D85" s="30">
        <v>454</v>
      </c>
      <c r="E85" s="30">
        <v>448</v>
      </c>
      <c r="F85" s="31">
        <v>1406</v>
      </c>
    </row>
  </sheetData>
  <mergeCells count="14">
    <mergeCell ref="F2:I3"/>
    <mergeCell ref="B7:C7"/>
    <mergeCell ref="F7:G7"/>
    <mergeCell ref="K7:L7"/>
    <mergeCell ref="B27:C27"/>
    <mergeCell ref="F27:G27"/>
    <mergeCell ref="K27:L27"/>
    <mergeCell ref="B75:F75"/>
    <mergeCell ref="B40:C40"/>
    <mergeCell ref="F40:J40"/>
    <mergeCell ref="L40:O40"/>
    <mergeCell ref="B54:C54"/>
    <mergeCell ref="F54:G54"/>
    <mergeCell ref="K54:N5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87AE7-4473-4551-9769-DB2B9539A160}">
  <dimension ref="H1:P57"/>
  <sheetViews>
    <sheetView showGridLines="0" workbookViewId="0">
      <selection activeCell="H27" sqref="H27"/>
    </sheetView>
  </sheetViews>
  <sheetFormatPr defaultRowHeight="14.4" x14ac:dyDescent="0.3"/>
  <cols>
    <col min="1" max="16384" width="8.88671875" style="5"/>
  </cols>
  <sheetData>
    <row r="1" spans="8:16" ht="15" thickBot="1" x14ac:dyDescent="0.35"/>
    <row r="2" spans="8:16" x14ac:dyDescent="0.3">
      <c r="H2" s="48" t="s">
        <v>2603</v>
      </c>
      <c r="I2" s="49"/>
      <c r="J2" s="49"/>
      <c r="K2" s="49"/>
      <c r="L2" s="49"/>
      <c r="M2" s="49"/>
      <c r="N2" s="49"/>
      <c r="O2" s="49"/>
      <c r="P2" s="50"/>
    </row>
    <row r="3" spans="8:16" ht="15" thickBot="1" x14ac:dyDescent="0.35">
      <c r="H3" s="51"/>
      <c r="I3" s="52"/>
      <c r="J3" s="52"/>
      <c r="K3" s="52"/>
      <c r="L3" s="52"/>
      <c r="M3" s="52"/>
      <c r="N3" s="52"/>
      <c r="O3" s="52"/>
      <c r="P3" s="53"/>
    </row>
    <row r="16" spans="8:16" ht="23.4" x14ac:dyDescent="0.45">
      <c r="J16" s="46" t="s">
        <v>2599</v>
      </c>
      <c r="K16" s="47"/>
      <c r="L16" s="47"/>
      <c r="M16" s="47"/>
    </row>
    <row r="37" spans="10:13" ht="23.4" x14ac:dyDescent="0.45">
      <c r="J37" s="46" t="s">
        <v>2600</v>
      </c>
      <c r="K37" s="47"/>
      <c r="L37" s="47"/>
      <c r="M37" s="47"/>
    </row>
    <row r="57" spans="10:13" ht="23.4" x14ac:dyDescent="0.45">
      <c r="J57" s="46" t="s">
        <v>2601</v>
      </c>
      <c r="K57" s="47"/>
      <c r="L57" s="47"/>
      <c r="M57" s="47"/>
    </row>
  </sheetData>
  <mergeCells count="4">
    <mergeCell ref="J16:M16"/>
    <mergeCell ref="J37:M37"/>
    <mergeCell ref="J57:M57"/>
    <mergeCell ref="H2:P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62D4F-4F67-4CCB-8ECA-66C747F6A601}">
  <dimension ref="C2:V118"/>
  <sheetViews>
    <sheetView showGridLines="0" tabSelected="1" topLeftCell="A103" workbookViewId="0">
      <selection activeCell="P8" sqref="P8"/>
    </sheetView>
  </sheetViews>
  <sheetFormatPr defaultRowHeight="14.4" x14ac:dyDescent="0.3"/>
  <cols>
    <col min="1" max="16384" width="8.88671875" style="6"/>
  </cols>
  <sheetData>
    <row r="2" spans="3:12" x14ac:dyDescent="0.3">
      <c r="D2" s="59" t="s">
        <v>2604</v>
      </c>
      <c r="E2" s="60"/>
      <c r="F2" s="60"/>
      <c r="G2" s="60"/>
      <c r="H2" s="60"/>
      <c r="I2" s="60"/>
      <c r="J2" s="60"/>
      <c r="K2" s="60"/>
    </row>
    <row r="3" spans="3:12" x14ac:dyDescent="0.3">
      <c r="D3" s="60"/>
      <c r="E3" s="60"/>
      <c r="F3" s="60"/>
      <c r="G3" s="60"/>
      <c r="H3" s="60"/>
      <c r="I3" s="60"/>
      <c r="J3" s="60"/>
      <c r="K3" s="60"/>
    </row>
    <row r="7" spans="3:12" x14ac:dyDescent="0.3">
      <c r="C7" s="61" t="s">
        <v>2605</v>
      </c>
      <c r="D7" s="62"/>
      <c r="E7" s="62"/>
      <c r="F7" s="62"/>
      <c r="G7" s="62"/>
      <c r="H7" s="62"/>
      <c r="I7" s="62"/>
      <c r="J7" s="62"/>
      <c r="K7" s="62"/>
      <c r="L7" s="63"/>
    </row>
    <row r="8" spans="3:12" x14ac:dyDescent="0.3">
      <c r="C8" s="64"/>
      <c r="D8" s="65"/>
      <c r="E8" s="65"/>
      <c r="F8" s="65"/>
      <c r="G8" s="65"/>
      <c r="H8" s="65"/>
      <c r="I8" s="65"/>
      <c r="J8" s="65"/>
      <c r="K8" s="65"/>
      <c r="L8" s="66"/>
    </row>
    <row r="9" spans="3:12" x14ac:dyDescent="0.3">
      <c r="C9" s="64"/>
      <c r="D9" s="65"/>
      <c r="E9" s="65"/>
      <c r="F9" s="65"/>
      <c r="G9" s="65"/>
      <c r="H9" s="65"/>
      <c r="I9" s="65"/>
      <c r="J9" s="65"/>
      <c r="K9" s="65"/>
      <c r="L9" s="66"/>
    </row>
    <row r="10" spans="3:12" x14ac:dyDescent="0.3">
      <c r="C10" s="64"/>
      <c r="D10" s="65"/>
      <c r="E10" s="65"/>
      <c r="F10" s="65"/>
      <c r="G10" s="65"/>
      <c r="H10" s="65"/>
      <c r="I10" s="65"/>
      <c r="J10" s="65"/>
      <c r="K10" s="65"/>
      <c r="L10" s="66"/>
    </row>
    <row r="11" spans="3:12" x14ac:dyDescent="0.3">
      <c r="C11" s="64"/>
      <c r="D11" s="65"/>
      <c r="E11" s="65"/>
      <c r="F11" s="65"/>
      <c r="G11" s="65"/>
      <c r="H11" s="65"/>
      <c r="I11" s="65"/>
      <c r="J11" s="65"/>
      <c r="K11" s="65"/>
      <c r="L11" s="66"/>
    </row>
    <row r="12" spans="3:12" x14ac:dyDescent="0.3">
      <c r="C12" s="64"/>
      <c r="D12" s="65"/>
      <c r="E12" s="65"/>
      <c r="F12" s="65"/>
      <c r="G12" s="65"/>
      <c r="H12" s="65"/>
      <c r="I12" s="65"/>
      <c r="J12" s="65"/>
      <c r="K12" s="65"/>
      <c r="L12" s="66"/>
    </row>
    <row r="13" spans="3:12" x14ac:dyDescent="0.3">
      <c r="C13" s="64"/>
      <c r="D13" s="65"/>
      <c r="E13" s="65"/>
      <c r="F13" s="65"/>
      <c r="G13" s="65"/>
      <c r="H13" s="65"/>
      <c r="I13" s="65"/>
      <c r="J13" s="65"/>
      <c r="K13" s="65"/>
      <c r="L13" s="66"/>
    </row>
    <row r="14" spans="3:12" x14ac:dyDescent="0.3">
      <c r="C14" s="67"/>
      <c r="D14" s="68"/>
      <c r="E14" s="68"/>
      <c r="F14" s="68"/>
      <c r="G14" s="68"/>
      <c r="H14" s="68"/>
      <c r="I14" s="68"/>
      <c r="J14" s="68"/>
      <c r="K14" s="68"/>
      <c r="L14" s="69"/>
    </row>
    <row r="18" spans="3:22" ht="21.6" thickBot="1" x14ac:dyDescent="0.45">
      <c r="C18" s="54" t="s">
        <v>2606</v>
      </c>
      <c r="D18" s="55"/>
      <c r="E18" s="55"/>
      <c r="F18" s="55"/>
    </row>
    <row r="20" spans="3:22" ht="18" x14ac:dyDescent="0.35">
      <c r="C20" s="56" t="s">
        <v>2607</v>
      </c>
      <c r="D20" s="58"/>
      <c r="E20" s="58"/>
      <c r="F20" s="58"/>
      <c r="G20" s="58"/>
      <c r="H20" s="58"/>
      <c r="I20" s="58"/>
    </row>
    <row r="21" spans="3:22" ht="18" x14ac:dyDescent="0.35">
      <c r="C21" s="56" t="s">
        <v>2608</v>
      </c>
      <c r="D21" s="58"/>
      <c r="E21" s="58"/>
      <c r="F21" s="58"/>
      <c r="G21" s="58"/>
      <c r="H21" s="58"/>
      <c r="I21" s="58"/>
      <c r="J21" s="58"/>
      <c r="K21" s="58"/>
      <c r="L21" s="58"/>
      <c r="M21" s="58"/>
    </row>
    <row r="22" spans="3:22" ht="18" x14ac:dyDescent="0.35">
      <c r="C22" s="56" t="s">
        <v>2609</v>
      </c>
      <c r="D22" s="58"/>
      <c r="E22" s="58"/>
      <c r="F22" s="58"/>
      <c r="G22" s="58"/>
      <c r="H22" s="58"/>
      <c r="I22" s="58"/>
      <c r="J22" s="58"/>
      <c r="K22" s="58"/>
      <c r="L22" s="58"/>
      <c r="M22" s="58"/>
      <c r="N22" s="58"/>
      <c r="O22" s="58"/>
      <c r="P22" s="58"/>
      <c r="Q22" s="58"/>
      <c r="R22" s="58"/>
      <c r="S22" s="58"/>
      <c r="T22" s="58"/>
    </row>
    <row r="26" spans="3:22" ht="21.6" thickBot="1" x14ac:dyDescent="0.45">
      <c r="C26" s="54" t="s">
        <v>2610</v>
      </c>
      <c r="D26" s="55"/>
      <c r="E26" s="55"/>
      <c r="F26" s="55"/>
    </row>
    <row r="28" spans="3:22" ht="18" x14ac:dyDescent="0.35">
      <c r="C28" s="7" t="s">
        <v>2611</v>
      </c>
    </row>
    <row r="29" spans="3:22" ht="18" x14ac:dyDescent="0.35">
      <c r="C29" s="56" t="s">
        <v>2612</v>
      </c>
      <c r="D29" s="58"/>
      <c r="E29" s="58"/>
      <c r="F29" s="58"/>
      <c r="G29" s="58"/>
      <c r="H29" s="58"/>
      <c r="I29" s="58"/>
      <c r="J29" s="58"/>
      <c r="K29" s="58"/>
      <c r="L29" s="58"/>
      <c r="M29" s="58"/>
      <c r="N29" s="58"/>
      <c r="O29" s="58"/>
      <c r="P29" s="58"/>
      <c r="Q29" s="58"/>
      <c r="R29" s="58"/>
      <c r="S29" s="58"/>
      <c r="T29" s="58"/>
      <c r="U29" s="58"/>
      <c r="V29" s="58"/>
    </row>
    <row r="33" spans="3:15" ht="21.6" thickBot="1" x14ac:dyDescent="0.45">
      <c r="C33" s="54" t="s">
        <v>2613</v>
      </c>
      <c r="D33" s="55"/>
      <c r="E33" s="55"/>
      <c r="F33" s="55"/>
      <c r="G33" s="55"/>
    </row>
    <row r="35" spans="3:15" ht="18" x14ac:dyDescent="0.35">
      <c r="C35" s="56" t="s">
        <v>2614</v>
      </c>
      <c r="D35" s="56"/>
      <c r="E35" s="56"/>
      <c r="F35" s="56"/>
      <c r="G35" s="56"/>
      <c r="H35" s="56"/>
      <c r="I35" s="56"/>
    </row>
    <row r="36" spans="3:15" ht="18" x14ac:dyDescent="0.35">
      <c r="C36" s="56" t="s">
        <v>2615</v>
      </c>
      <c r="D36" s="56"/>
      <c r="E36" s="56"/>
      <c r="F36" s="56"/>
      <c r="G36" s="56"/>
      <c r="H36" s="56"/>
      <c r="I36" s="56"/>
      <c r="J36" s="56"/>
      <c r="K36" s="56"/>
      <c r="L36" s="56"/>
    </row>
    <row r="40" spans="3:15" ht="21.6" thickBot="1" x14ac:dyDescent="0.45">
      <c r="C40" s="54" t="s">
        <v>2616</v>
      </c>
      <c r="D40" s="55"/>
      <c r="E40" s="55"/>
      <c r="F40" s="55"/>
      <c r="G40" s="55"/>
    </row>
    <row r="42" spans="3:15" ht="18" x14ac:dyDescent="0.35">
      <c r="C42" s="56" t="s">
        <v>2617</v>
      </c>
      <c r="D42" s="56"/>
      <c r="E42" s="56"/>
      <c r="F42" s="56"/>
      <c r="G42" s="56"/>
      <c r="H42" s="56"/>
      <c r="I42" s="56"/>
      <c r="J42" s="56"/>
      <c r="K42" s="56"/>
      <c r="L42" s="56"/>
      <c r="M42" s="56"/>
      <c r="N42" s="56"/>
      <c r="O42" s="56"/>
    </row>
    <row r="43" spans="3:15" ht="18" x14ac:dyDescent="0.35">
      <c r="C43" s="56" t="s">
        <v>2618</v>
      </c>
      <c r="D43" s="56"/>
      <c r="E43" s="56"/>
      <c r="F43" s="56"/>
      <c r="G43" s="56"/>
      <c r="H43" s="56"/>
      <c r="I43" s="56"/>
      <c r="J43" s="56"/>
    </row>
    <row r="47" spans="3:15" ht="21.6" thickBot="1" x14ac:dyDescent="0.45">
      <c r="C47" s="54" t="s">
        <v>2619</v>
      </c>
      <c r="D47" s="55"/>
      <c r="E47" s="55"/>
      <c r="F47" s="55"/>
      <c r="G47" s="55"/>
    </row>
    <row r="49" spans="3:14" ht="18" x14ac:dyDescent="0.35">
      <c r="C49" s="56" t="s">
        <v>2620</v>
      </c>
      <c r="D49" s="56"/>
      <c r="E49" s="56"/>
      <c r="F49" s="56"/>
      <c r="G49" s="56"/>
      <c r="H49" s="56"/>
      <c r="I49" s="56"/>
      <c r="J49" s="56"/>
      <c r="K49" s="56"/>
      <c r="L49" s="56"/>
      <c r="M49" s="56"/>
      <c r="N49" s="56"/>
    </row>
    <row r="50" spans="3:14" ht="18" x14ac:dyDescent="0.35">
      <c r="C50" s="56" t="s">
        <v>2621</v>
      </c>
      <c r="D50" s="58"/>
      <c r="E50" s="58"/>
      <c r="F50" s="58"/>
      <c r="G50" s="58"/>
      <c r="H50" s="58"/>
      <c r="I50" s="58"/>
    </row>
    <row r="54" spans="3:14" ht="21.6" thickBot="1" x14ac:dyDescent="0.45">
      <c r="C54" s="54" t="s">
        <v>2585</v>
      </c>
      <c r="D54" s="54"/>
      <c r="E54" s="54"/>
      <c r="F54" s="54"/>
      <c r="G54" s="54"/>
    </row>
    <row r="56" spans="3:14" ht="18" x14ac:dyDescent="0.35">
      <c r="C56" s="56" t="s">
        <v>2622</v>
      </c>
      <c r="D56" s="56"/>
      <c r="E56" s="56"/>
      <c r="F56" s="56"/>
      <c r="G56" s="56"/>
      <c r="H56" s="56"/>
      <c r="I56" s="56"/>
      <c r="J56" s="56"/>
      <c r="K56" s="56"/>
      <c r="L56" s="56"/>
      <c r="M56" s="56"/>
      <c r="N56" s="56"/>
    </row>
    <row r="57" spans="3:14" ht="18" x14ac:dyDescent="0.35">
      <c r="C57" s="56" t="s">
        <v>2623</v>
      </c>
      <c r="D57" s="58"/>
      <c r="E57" s="58"/>
      <c r="F57" s="58"/>
      <c r="G57" s="58"/>
      <c r="H57" s="58"/>
    </row>
    <row r="58" spans="3:14" ht="18" x14ac:dyDescent="0.35">
      <c r="C58" s="56" t="s">
        <v>2624</v>
      </c>
      <c r="D58" s="56"/>
      <c r="E58" s="56"/>
      <c r="F58" s="56"/>
      <c r="G58" s="56"/>
      <c r="H58" s="56"/>
      <c r="I58" s="56"/>
    </row>
    <row r="59" spans="3:14" ht="18" x14ac:dyDescent="0.35">
      <c r="C59" s="56" t="s">
        <v>2625</v>
      </c>
      <c r="D59" s="56"/>
      <c r="E59" s="56"/>
      <c r="F59" s="56"/>
      <c r="G59" s="56"/>
      <c r="H59" s="56"/>
    </row>
    <row r="64" spans="3:14" ht="21.6" thickBot="1" x14ac:dyDescent="0.45">
      <c r="C64" s="54" t="s">
        <v>2589</v>
      </c>
      <c r="D64" s="54"/>
      <c r="E64" s="54"/>
      <c r="F64" s="54"/>
      <c r="G64" s="54"/>
    </row>
    <row r="66" spans="3:18" ht="18" x14ac:dyDescent="0.35">
      <c r="C66" s="7" t="s">
        <v>2626</v>
      </c>
    </row>
    <row r="67" spans="3:18" ht="18" x14ac:dyDescent="0.35">
      <c r="C67" s="56" t="s">
        <v>2627</v>
      </c>
      <c r="D67" s="56"/>
      <c r="E67" s="56"/>
      <c r="F67" s="56"/>
      <c r="G67" s="56"/>
      <c r="H67" s="56"/>
    </row>
    <row r="68" spans="3:18" ht="18" x14ac:dyDescent="0.35">
      <c r="C68" s="56" t="s">
        <v>2628</v>
      </c>
      <c r="D68" s="58"/>
      <c r="E68" s="58"/>
      <c r="F68" s="58"/>
      <c r="G68" s="58"/>
      <c r="H68" s="58"/>
      <c r="I68" s="58"/>
      <c r="J68" s="58"/>
      <c r="K68" s="58"/>
      <c r="L68" s="58"/>
      <c r="M68" s="58"/>
      <c r="N68" s="58"/>
      <c r="O68" s="58"/>
      <c r="P68" s="58"/>
      <c r="Q68" s="58"/>
      <c r="R68" s="58"/>
    </row>
    <row r="72" spans="3:18" ht="21.6" thickBot="1" x14ac:dyDescent="0.45">
      <c r="C72" s="54" t="s">
        <v>2595</v>
      </c>
      <c r="D72" s="54"/>
      <c r="E72" s="54"/>
      <c r="F72" s="54"/>
      <c r="G72" s="54"/>
    </row>
    <row r="74" spans="3:18" ht="18" x14ac:dyDescent="0.35">
      <c r="C74" s="56" t="s">
        <v>2629</v>
      </c>
      <c r="D74" s="56"/>
      <c r="E74" s="56"/>
      <c r="F74" s="56"/>
      <c r="G74" s="56"/>
      <c r="H74" s="56"/>
      <c r="I74" s="56"/>
    </row>
    <row r="75" spans="3:18" ht="18" x14ac:dyDescent="0.35">
      <c r="C75" s="7" t="s">
        <v>2630</v>
      </c>
    </row>
    <row r="76" spans="3:18" ht="18" x14ac:dyDescent="0.35">
      <c r="C76" s="56" t="s">
        <v>2631</v>
      </c>
      <c r="D76" s="56"/>
      <c r="E76" s="56"/>
      <c r="F76" s="56"/>
      <c r="G76" s="56"/>
      <c r="H76" s="56"/>
      <c r="I76" s="56"/>
      <c r="J76" s="56"/>
    </row>
    <row r="80" spans="3:18" ht="21.6" thickBot="1" x14ac:dyDescent="0.45">
      <c r="C80" s="54" t="s">
        <v>2596</v>
      </c>
      <c r="D80" s="54"/>
      <c r="E80" s="54"/>
      <c r="F80" s="54"/>
      <c r="G80" s="54"/>
    </row>
    <row r="82" spans="3:19" ht="18" x14ac:dyDescent="0.35">
      <c r="C82" s="57" t="s">
        <v>2632</v>
      </c>
      <c r="D82" s="57"/>
      <c r="E82" s="57"/>
      <c r="F82" s="57"/>
      <c r="G82" s="57"/>
      <c r="H82" s="57"/>
      <c r="I82" s="57"/>
    </row>
    <row r="83" spans="3:19" ht="18" x14ac:dyDescent="0.35">
      <c r="C83" s="56" t="s">
        <v>2633</v>
      </c>
      <c r="D83" s="58"/>
      <c r="E83" s="58"/>
      <c r="F83" s="58"/>
      <c r="G83" s="58"/>
      <c r="H83" s="58"/>
      <c r="I83" s="58"/>
      <c r="J83" s="58"/>
      <c r="K83" s="58"/>
      <c r="L83" s="58"/>
    </row>
    <row r="84" spans="3:19" ht="18" x14ac:dyDescent="0.35">
      <c r="C84" s="56" t="s">
        <v>2634</v>
      </c>
      <c r="D84" s="56"/>
      <c r="E84" s="56"/>
      <c r="F84" s="56"/>
      <c r="G84" s="56"/>
      <c r="H84" s="56"/>
      <c r="I84" s="56"/>
    </row>
    <row r="88" spans="3:19" ht="21.6" thickBot="1" x14ac:dyDescent="0.45">
      <c r="C88" s="54" t="s">
        <v>2635</v>
      </c>
      <c r="D88" s="54"/>
      <c r="E88" s="54"/>
      <c r="F88" s="54"/>
      <c r="G88" s="54"/>
    </row>
    <row r="90" spans="3:19" ht="18" x14ac:dyDescent="0.35">
      <c r="C90" s="57" t="s">
        <v>2636</v>
      </c>
      <c r="D90" s="57"/>
      <c r="E90" s="57"/>
      <c r="F90" s="57"/>
      <c r="G90" s="57"/>
    </row>
    <row r="91" spans="3:19" ht="18" x14ac:dyDescent="0.35">
      <c r="C91" s="56" t="s">
        <v>2637</v>
      </c>
      <c r="D91" s="56"/>
      <c r="E91" s="56"/>
      <c r="F91" s="56"/>
      <c r="G91" s="56"/>
    </row>
    <row r="92" spans="3:19" ht="18" x14ac:dyDescent="0.35">
      <c r="C92" s="56" t="s">
        <v>2638</v>
      </c>
      <c r="D92" s="56"/>
      <c r="E92" s="56"/>
      <c r="F92" s="56"/>
      <c r="G92" s="56"/>
    </row>
    <row r="93" spans="3:19" ht="18" x14ac:dyDescent="0.35">
      <c r="C93" s="56" t="s">
        <v>2639</v>
      </c>
      <c r="D93" s="56"/>
      <c r="E93" s="56"/>
      <c r="F93" s="56"/>
      <c r="G93" s="56"/>
      <c r="H93" s="56"/>
      <c r="I93" s="56"/>
    </row>
    <row r="94" spans="3:19" ht="18" x14ac:dyDescent="0.35">
      <c r="C94" s="56" t="s">
        <v>2640</v>
      </c>
      <c r="D94" s="56"/>
      <c r="E94" s="56"/>
      <c r="F94" s="56"/>
      <c r="G94" s="56"/>
      <c r="H94" s="56"/>
      <c r="I94" s="56"/>
      <c r="J94" s="56"/>
      <c r="K94" s="56"/>
      <c r="L94" s="56"/>
      <c r="M94" s="56"/>
      <c r="N94" s="56"/>
      <c r="O94" s="56"/>
      <c r="P94" s="56"/>
      <c r="Q94" s="56"/>
      <c r="R94" s="56"/>
      <c r="S94" s="56"/>
    </row>
    <row r="98" spans="3:17" ht="21.6" thickBot="1" x14ac:dyDescent="0.45">
      <c r="C98" s="54" t="s">
        <v>2588</v>
      </c>
      <c r="D98" s="55"/>
      <c r="E98" s="55"/>
      <c r="F98" s="55"/>
      <c r="G98" s="55"/>
    </row>
    <row r="100" spans="3:17" ht="18" x14ac:dyDescent="0.35">
      <c r="C100" s="7" t="s">
        <v>2641</v>
      </c>
    </row>
    <row r="101" spans="3:17" ht="18" x14ac:dyDescent="0.35">
      <c r="C101" s="56" t="s">
        <v>2642</v>
      </c>
      <c r="D101" s="56"/>
      <c r="E101" s="56"/>
      <c r="F101" s="56"/>
      <c r="G101" s="56"/>
      <c r="H101" s="56"/>
      <c r="I101" s="56"/>
      <c r="J101" s="56"/>
      <c r="K101" s="56"/>
      <c r="L101" s="56"/>
      <c r="M101" s="56"/>
      <c r="N101" s="56"/>
      <c r="O101" s="56"/>
      <c r="P101" s="56"/>
      <c r="Q101" s="56"/>
    </row>
    <row r="105" spans="3:17" ht="21.6" thickBot="1" x14ac:dyDescent="0.45">
      <c r="C105" s="54" t="s">
        <v>2643</v>
      </c>
      <c r="D105" s="55"/>
      <c r="E105" s="55"/>
      <c r="F105" s="55"/>
      <c r="G105" s="55"/>
    </row>
    <row r="107" spans="3:17" ht="18" x14ac:dyDescent="0.35">
      <c r="C107" s="56" t="s">
        <v>2644</v>
      </c>
      <c r="D107" s="56"/>
      <c r="E107" s="56"/>
      <c r="F107" s="56"/>
      <c r="G107" s="56"/>
      <c r="H107" s="56"/>
      <c r="I107" s="56"/>
      <c r="J107" s="56"/>
      <c r="K107" s="56"/>
      <c r="L107" s="56"/>
      <c r="M107" s="56"/>
      <c r="N107" s="56"/>
    </row>
    <row r="108" spans="3:17" ht="18" x14ac:dyDescent="0.35">
      <c r="C108" s="56" t="s">
        <v>2645</v>
      </c>
      <c r="D108" s="56"/>
      <c r="E108" s="56"/>
      <c r="F108" s="56"/>
      <c r="G108" s="56"/>
      <c r="H108" s="56"/>
      <c r="I108" s="56"/>
      <c r="J108" s="56"/>
    </row>
    <row r="109" spans="3:17" ht="18" x14ac:dyDescent="0.35">
      <c r="C109" s="56" t="s">
        <v>2646</v>
      </c>
      <c r="D109" s="56"/>
      <c r="E109" s="56"/>
      <c r="F109" s="56"/>
      <c r="G109" s="56"/>
      <c r="H109" s="56"/>
      <c r="I109" s="56"/>
      <c r="J109" s="56"/>
      <c r="K109" s="56"/>
      <c r="L109" s="56"/>
      <c r="M109" s="56"/>
      <c r="N109" s="56"/>
      <c r="O109" s="56"/>
    </row>
    <row r="113" spans="3:11" ht="21.6" thickBot="1" x14ac:dyDescent="0.45">
      <c r="C113" s="54" t="s">
        <v>2647</v>
      </c>
      <c r="D113" s="55"/>
      <c r="E113" s="55"/>
      <c r="F113" s="55"/>
      <c r="G113" s="55"/>
    </row>
    <row r="115" spans="3:11" ht="18" x14ac:dyDescent="0.35">
      <c r="C115" s="56" t="s">
        <v>2648</v>
      </c>
      <c r="D115" s="56"/>
    </row>
    <row r="116" spans="3:11" ht="18" x14ac:dyDescent="0.35">
      <c r="C116" s="56" t="s">
        <v>2649</v>
      </c>
      <c r="D116" s="56"/>
    </row>
    <row r="117" spans="3:11" ht="18" x14ac:dyDescent="0.35">
      <c r="C117" s="56" t="s">
        <v>2650</v>
      </c>
      <c r="D117" s="56"/>
      <c r="E117" s="56"/>
      <c r="F117" s="56"/>
      <c r="G117" s="56"/>
      <c r="H117" s="56"/>
      <c r="I117" s="56"/>
      <c r="J117" s="56"/>
    </row>
    <row r="118" spans="3:11" ht="18" x14ac:dyDescent="0.35">
      <c r="C118" s="56" t="s">
        <v>2651</v>
      </c>
      <c r="D118" s="56"/>
      <c r="E118" s="56"/>
      <c r="F118" s="56"/>
      <c r="G118" s="56"/>
      <c r="H118" s="56"/>
      <c r="I118" s="56"/>
      <c r="J118" s="56"/>
      <c r="K118" s="56"/>
    </row>
  </sheetData>
  <mergeCells count="49">
    <mergeCell ref="C26:F26"/>
    <mergeCell ref="C29:V29"/>
    <mergeCell ref="C33:G33"/>
    <mergeCell ref="C35:I35"/>
    <mergeCell ref="D2:K3"/>
    <mergeCell ref="C7:L14"/>
    <mergeCell ref="C18:F18"/>
    <mergeCell ref="C20:I20"/>
    <mergeCell ref="C21:M21"/>
    <mergeCell ref="C22:T22"/>
    <mergeCell ref="C50:I50"/>
    <mergeCell ref="C54:G54"/>
    <mergeCell ref="C56:N56"/>
    <mergeCell ref="C57:H57"/>
    <mergeCell ref="C36:L36"/>
    <mergeCell ref="C40:G40"/>
    <mergeCell ref="C42:O42"/>
    <mergeCell ref="C43:J43"/>
    <mergeCell ref="C47:G47"/>
    <mergeCell ref="C49:N49"/>
    <mergeCell ref="C84:I84"/>
    <mergeCell ref="C58:I58"/>
    <mergeCell ref="C59:H59"/>
    <mergeCell ref="C64:G64"/>
    <mergeCell ref="C67:H67"/>
    <mergeCell ref="C68:R68"/>
    <mergeCell ref="C72:G72"/>
    <mergeCell ref="C74:I74"/>
    <mergeCell ref="C76:J76"/>
    <mergeCell ref="C80:G80"/>
    <mergeCell ref="C82:I82"/>
    <mergeCell ref="C83:L83"/>
    <mergeCell ref="C109:O109"/>
    <mergeCell ref="C88:G88"/>
    <mergeCell ref="C90:G90"/>
    <mergeCell ref="C91:G91"/>
    <mergeCell ref="C92:G92"/>
    <mergeCell ref="C93:I93"/>
    <mergeCell ref="C94:S94"/>
    <mergeCell ref="C98:G98"/>
    <mergeCell ref="C101:Q101"/>
    <mergeCell ref="C105:G105"/>
    <mergeCell ref="C107:N107"/>
    <mergeCell ref="C108:J108"/>
    <mergeCell ref="C113:G113"/>
    <mergeCell ref="C115:D115"/>
    <mergeCell ref="C116:D116"/>
    <mergeCell ref="C117:J117"/>
    <mergeCell ref="C118:K11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099F685-EB4E-4479-BFE6-70852AFFAB1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vt:lpstr>
      <vt:lpstr>Cleaned</vt:lpstr>
      <vt:lpstr>PivotTable Analysis</vt:lpstr>
      <vt:lpstr>Dashboard</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 barua</dc:creator>
  <cp:lastModifiedBy>rohit barua</cp:lastModifiedBy>
  <dcterms:created xsi:type="dcterms:W3CDTF">2026-07-23T02:12:07Z</dcterms:created>
  <dcterms:modified xsi:type="dcterms:W3CDTF">2026-07-29T13:08:21Z</dcterms:modified>
</cp:coreProperties>
</file>